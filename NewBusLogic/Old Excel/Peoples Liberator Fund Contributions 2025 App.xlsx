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Projects\Test\September\V5\Resources\PLFDocs\"/>
    </mc:Choice>
  </mc:AlternateContent>
  <xr:revisionPtr revIDLastSave="0" documentId="8_{0B5EBC64-FDE8-4917-A970-C56DC10D1E2F}" xr6:coauthVersionLast="47" xr6:coauthVersionMax="47" xr10:uidLastSave="{00000000-0000-0000-0000-000000000000}"/>
  <bookViews>
    <workbookView xWindow="-98" yWindow="-98" windowWidth="21795" windowHeight="12975" firstSheet="3" activeTab="5" xr2:uid="{00000000-000D-0000-FFFF-FFFF00000000}"/>
  </bookViews>
  <sheets>
    <sheet name="Recon" sheetId="2" state="hidden" r:id="rId1"/>
    <sheet name="2018-2019 B STATEMENT " sheetId="9" state="hidden" r:id="rId2"/>
    <sheet name=" 2018-2019" sheetId="10" r:id="rId3"/>
    <sheet name="2019-2020 New" sheetId="22" r:id="rId4"/>
    <sheet name="2020-2021 New" sheetId="18" r:id="rId5"/>
    <sheet name="2021-2022 (A) New" sheetId="19" r:id="rId6"/>
    <sheet name="2021-2022 (B)" sheetId="20" r:id="rId7"/>
    <sheet name="2022-2023" sheetId="30" r:id="rId8"/>
    <sheet name="2022 Mar-Jun" sheetId="25" state="hidden" r:id="rId9"/>
    <sheet name="2023-2024" sheetId="26" r:id="rId10"/>
    <sheet name="2024-2025" sheetId="32" r:id="rId11"/>
    <sheet name="Claims Processed" sheetId="31" r:id="rId12"/>
    <sheet name="FNB PLF " sheetId="33" r:id="rId13"/>
    <sheet name="Interest Earned" sheetId="4" r:id="rId14"/>
    <sheet name="Dashboard" sheetId="24" r:id="rId15"/>
    <sheet name="Capped Penalties" sheetId="15" state="hidden" r:id="rId16"/>
    <sheet name="Catch up Fee" sheetId="21" r:id="rId17"/>
    <sheet name="Terminations" sheetId="7" r:id="rId18"/>
    <sheet name="Sheet3" sheetId="5" state="hidden" r:id="rId19"/>
    <sheet name="Sheet4" sheetId="6" state="hidden" r:id="rId20"/>
    <sheet name="Sheet2" sheetId="8" state="hidden" r:id="rId21"/>
  </sheets>
  <externalReferences>
    <externalReference r:id="rId22"/>
  </externalReferences>
  <definedNames>
    <definedName name="_xlnm._FilterDatabase" localSheetId="2" hidden="1">' 2018-2019'!$A$1:$BE$91</definedName>
    <definedName name="_xlnm._FilterDatabase" localSheetId="1" hidden="1">'2018-2019 B STATEMENT '!$A$1:$H$795</definedName>
    <definedName name="_xlnm._FilterDatabase" localSheetId="3" hidden="1">'2019-2020 New'!$A$1:$BL$90</definedName>
    <definedName name="_xlnm._FilterDatabase" localSheetId="4" hidden="1">'2020-2021 New'!$A$1:$BN$91</definedName>
    <definedName name="_xlnm._FilterDatabase" localSheetId="5" hidden="1">'2021-2022 (A) New'!$A$1:$AH$91</definedName>
    <definedName name="_xlnm._FilterDatabase" localSheetId="6" hidden="1">'2021-2022 (B)'!$A$1:$AX$91</definedName>
    <definedName name="_xlnm._FilterDatabase" localSheetId="7" hidden="1">'2022-2023'!$A$1:$BN$95</definedName>
    <definedName name="_xlnm._FilterDatabase" localSheetId="9" hidden="1">'2023-2024'!$A$1:$BL$94</definedName>
    <definedName name="_xlnm._FilterDatabase" localSheetId="10" hidden="1">'2024-2025'!$A$1:$BL$94</definedName>
    <definedName name="_xlnm._FilterDatabase" localSheetId="15" hidden="1">'Capped Penalties'!$A$4:$H$93</definedName>
    <definedName name="_xlnm._FilterDatabase" localSheetId="19" hidden="1">Sheet4!$B$1:$I$1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31" l="1"/>
  <c r="G4" i="33"/>
  <c r="N18" i="4" l="1"/>
  <c r="N17" i="4"/>
  <c r="B11" i="4"/>
  <c r="C11" i="4"/>
  <c r="D11" i="4"/>
  <c r="E11" i="4"/>
  <c r="F11" i="4"/>
  <c r="G11" i="4"/>
  <c r="H11" i="4"/>
  <c r="I11" i="4"/>
  <c r="L11" i="4"/>
  <c r="M11" i="4"/>
  <c r="C15" i="4"/>
  <c r="D15" i="4"/>
  <c r="E15" i="4"/>
  <c r="F15" i="4"/>
  <c r="G15" i="4"/>
  <c r="B15" i="4"/>
  <c r="M14" i="4"/>
  <c r="M15" i="4" s="1"/>
  <c r="L14" i="4"/>
  <c r="L15" i="4" s="1"/>
  <c r="K14" i="4"/>
  <c r="J14" i="4"/>
  <c r="I14" i="4"/>
  <c r="I15" i="4" s="1"/>
  <c r="H14" i="4"/>
  <c r="N25" i="4"/>
  <c r="N14" i="4" l="1"/>
  <c r="H15" i="4"/>
  <c r="G5" i="33"/>
  <c r="G6" i="33" s="1"/>
  <c r="G7" i="33" s="1"/>
  <c r="G8" i="33" s="1"/>
  <c r="G9" i="33" s="1"/>
  <c r="G10" i="33" s="1"/>
  <c r="G11" i="33" s="1"/>
  <c r="G12" i="33" s="1"/>
  <c r="G13" i="33" s="1"/>
  <c r="G14" i="33" s="1"/>
  <c r="G15" i="33" s="1"/>
  <c r="G16" i="33" s="1"/>
  <c r="G17" i="33" s="1"/>
  <c r="G18" i="33" s="1"/>
  <c r="G19" i="33" s="1"/>
  <c r="G20" i="33" s="1"/>
  <c r="G21" i="33" s="1"/>
  <c r="D12" i="31" l="1"/>
  <c r="AI81" i="32"/>
  <c r="AI20" i="32"/>
  <c r="AA23" i="32"/>
  <c r="AA35" i="32"/>
  <c r="N27" i="4"/>
  <c r="W23" i="32"/>
  <c r="W35" i="32"/>
  <c r="W25" i="32"/>
  <c r="M27" i="4"/>
  <c r="L27" i="4"/>
  <c r="I27" i="4"/>
  <c r="F27" i="4"/>
  <c r="E27" i="4"/>
  <c r="D27" i="4"/>
  <c r="C27" i="4"/>
  <c r="B27" i="4"/>
  <c r="K27" i="4"/>
  <c r="J27" i="4" l="1"/>
  <c r="K13" i="4"/>
  <c r="AS104" i="32"/>
  <c r="BK103" i="32"/>
  <c r="BG91" i="32"/>
  <c r="BC91" i="32"/>
  <c r="AY91" i="32"/>
  <c r="AU91" i="32"/>
  <c r="AQ91" i="32"/>
  <c r="AM91" i="32"/>
  <c r="S91" i="32"/>
  <c r="O91" i="32"/>
  <c r="C91" i="32"/>
  <c r="BK90" i="32"/>
  <c r="BH90" i="32"/>
  <c r="BD90" i="32"/>
  <c r="AZ90" i="32"/>
  <c r="AV90" i="32"/>
  <c r="AR90" i="32"/>
  <c r="AN90" i="32"/>
  <c r="AJ90" i="32"/>
  <c r="AF90" i="32"/>
  <c r="AB90" i="32"/>
  <c r="X90" i="32"/>
  <c r="T90" i="32"/>
  <c r="P90" i="32"/>
  <c r="D90" i="32"/>
  <c r="F90" i="32" s="1"/>
  <c r="BK89" i="32"/>
  <c r="G89" i="32" s="1"/>
  <c r="BH89" i="32"/>
  <c r="BD89" i="32"/>
  <c r="AZ89" i="32"/>
  <c r="AV89" i="32"/>
  <c r="AR89" i="32"/>
  <c r="AN89" i="32"/>
  <c r="AJ89" i="32"/>
  <c r="AF89" i="32"/>
  <c r="AB89" i="32"/>
  <c r="X89" i="32"/>
  <c r="T89" i="32"/>
  <c r="P89" i="32"/>
  <c r="D89" i="32"/>
  <c r="F89" i="32" s="1"/>
  <c r="BK88" i="32"/>
  <c r="G88" i="32" s="1"/>
  <c r="BH88" i="32"/>
  <c r="BD88" i="32"/>
  <c r="AZ88" i="32"/>
  <c r="AV88" i="32"/>
  <c r="AR88" i="32"/>
  <c r="AN88" i="32"/>
  <c r="AJ88" i="32"/>
  <c r="AF88" i="32"/>
  <c r="AB88" i="32"/>
  <c r="X88" i="32"/>
  <c r="T88" i="32"/>
  <c r="P88" i="32"/>
  <c r="D88" i="32"/>
  <c r="F88" i="32" s="1"/>
  <c r="BK87" i="32"/>
  <c r="BH87" i="32"/>
  <c r="BD87" i="32"/>
  <c r="AZ87" i="32"/>
  <c r="AV87" i="32"/>
  <c r="AR87" i="32"/>
  <c r="AN87" i="32"/>
  <c r="AJ87" i="32"/>
  <c r="AF87" i="32"/>
  <c r="AB87" i="32"/>
  <c r="X87" i="32"/>
  <c r="T87" i="32"/>
  <c r="P87" i="32"/>
  <c r="D87" i="32"/>
  <c r="F87" i="32" s="1"/>
  <c r="BK86" i="32"/>
  <c r="G86" i="32" s="1"/>
  <c r="BH86" i="32"/>
  <c r="BD86" i="32"/>
  <c r="AZ86" i="32"/>
  <c r="AV86" i="32"/>
  <c r="AR86" i="32"/>
  <c r="AN86" i="32"/>
  <c r="AJ86" i="32"/>
  <c r="AF86" i="32"/>
  <c r="AB86" i="32"/>
  <c r="X86" i="32"/>
  <c r="T86" i="32"/>
  <c r="P86" i="32"/>
  <c r="F86" i="32"/>
  <c r="D86" i="32"/>
  <c r="BK85" i="32"/>
  <c r="G85" i="32" s="1"/>
  <c r="BH85" i="32"/>
  <c r="BD85" i="32"/>
  <c r="AZ85" i="32"/>
  <c r="AV85" i="32"/>
  <c r="AR85" i="32"/>
  <c r="AN85" i="32"/>
  <c r="AJ85" i="32"/>
  <c r="AF85" i="32"/>
  <c r="AB85" i="32"/>
  <c r="X85" i="32"/>
  <c r="T85" i="32"/>
  <c r="P85" i="32"/>
  <c r="D85" i="32"/>
  <c r="F85" i="32" s="1"/>
  <c r="BK84" i="32"/>
  <c r="BH84" i="32"/>
  <c r="BD84" i="32"/>
  <c r="AZ84" i="32"/>
  <c r="AV84" i="32"/>
  <c r="AR84" i="32"/>
  <c r="AN84" i="32"/>
  <c r="AJ84" i="32"/>
  <c r="AF84" i="32"/>
  <c r="AB84" i="32"/>
  <c r="X84" i="32"/>
  <c r="T84" i="32"/>
  <c r="P84" i="32"/>
  <c r="D84" i="32"/>
  <c r="F84" i="32" s="1"/>
  <c r="BK83" i="32"/>
  <c r="BH83" i="32"/>
  <c r="BD83" i="32"/>
  <c r="AZ83" i="32"/>
  <c r="AV83" i="32"/>
  <c r="AR83" i="32"/>
  <c r="AN83" i="32"/>
  <c r="AJ83" i="32"/>
  <c r="AF83" i="32"/>
  <c r="AB83" i="32"/>
  <c r="X83" i="32"/>
  <c r="T83" i="32"/>
  <c r="P83" i="32"/>
  <c r="D83" i="32"/>
  <c r="F83" i="32" s="1"/>
  <c r="BK82" i="32"/>
  <c r="G82" i="32" s="1"/>
  <c r="BH82" i="32"/>
  <c r="BD82" i="32"/>
  <c r="AZ82" i="32"/>
  <c r="AV82" i="32"/>
  <c r="AR82" i="32"/>
  <c r="AN82" i="32"/>
  <c r="AJ82" i="32"/>
  <c r="AF82" i="32"/>
  <c r="AB82" i="32"/>
  <c r="X82" i="32"/>
  <c r="T82" i="32"/>
  <c r="P82" i="32"/>
  <c r="D82" i="32"/>
  <c r="F82" i="32" s="1"/>
  <c r="BK81" i="32"/>
  <c r="G81" i="32" s="1"/>
  <c r="BH81" i="32"/>
  <c r="BD81" i="32"/>
  <c r="AZ81" i="32"/>
  <c r="AV81" i="32"/>
  <c r="AR81" i="32"/>
  <c r="AN81" i="32"/>
  <c r="AJ81" i="32"/>
  <c r="AF81" i="32"/>
  <c r="AB81" i="32"/>
  <c r="X81" i="32"/>
  <c r="T81" i="32"/>
  <c r="P81" i="32"/>
  <c r="D81" i="32"/>
  <c r="F81" i="32" s="1"/>
  <c r="BK80" i="32"/>
  <c r="G80" i="32" s="1"/>
  <c r="BH80" i="32"/>
  <c r="BD80" i="32"/>
  <c r="AZ80" i="32"/>
  <c r="AV80" i="32"/>
  <c r="AR80" i="32"/>
  <c r="AN80" i="32"/>
  <c r="AJ80" i="32"/>
  <c r="AF80" i="32"/>
  <c r="AB80" i="32"/>
  <c r="X80" i="32"/>
  <c r="T80" i="32"/>
  <c r="P80" i="32"/>
  <c r="D80" i="32"/>
  <c r="F80" i="32" s="1"/>
  <c r="BK79" i="32"/>
  <c r="G79" i="32" s="1"/>
  <c r="BH79" i="32"/>
  <c r="BD79" i="32"/>
  <c r="AZ79" i="32"/>
  <c r="AV79" i="32"/>
  <c r="AR79" i="32"/>
  <c r="AN79" i="32"/>
  <c r="AJ79" i="32"/>
  <c r="AF79" i="32"/>
  <c r="AB79" i="32"/>
  <c r="X79" i="32"/>
  <c r="T79" i="32"/>
  <c r="P79" i="32"/>
  <c r="D79" i="32"/>
  <c r="F79" i="32" s="1"/>
  <c r="BK78" i="32"/>
  <c r="G78" i="32" s="1"/>
  <c r="BH78" i="32"/>
  <c r="BD78" i="32"/>
  <c r="AZ78" i="32"/>
  <c r="AV78" i="32"/>
  <c r="AR78" i="32"/>
  <c r="AN78" i="32"/>
  <c r="AJ78" i="32"/>
  <c r="AF78" i="32"/>
  <c r="AB78" i="32"/>
  <c r="X78" i="32"/>
  <c r="T78" i="32"/>
  <c r="P78" i="32"/>
  <c r="D78" i="32"/>
  <c r="F78" i="32" s="1"/>
  <c r="BK77" i="32"/>
  <c r="BH77" i="32"/>
  <c r="BD77" i="32"/>
  <c r="AZ77" i="32"/>
  <c r="AV77" i="32"/>
  <c r="AR77" i="32"/>
  <c r="AN77" i="32"/>
  <c r="AJ77" i="32"/>
  <c r="AF77" i="32"/>
  <c r="AB77" i="32"/>
  <c r="X77" i="32"/>
  <c r="T77" i="32"/>
  <c r="P77" i="32"/>
  <c r="D77" i="32"/>
  <c r="F77" i="32" s="1"/>
  <c r="BK76" i="32"/>
  <c r="BH76" i="32"/>
  <c r="BD76" i="32"/>
  <c r="AZ76" i="32"/>
  <c r="AV76" i="32"/>
  <c r="AR76" i="32"/>
  <c r="AN76" i="32"/>
  <c r="AJ76" i="32"/>
  <c r="AF76" i="32"/>
  <c r="AB76" i="32"/>
  <c r="X76" i="32"/>
  <c r="T76" i="32"/>
  <c r="P76" i="32"/>
  <c r="D76" i="32"/>
  <c r="F76" i="32" s="1"/>
  <c r="BN75" i="32"/>
  <c r="BN77" i="32" s="1"/>
  <c r="BK75" i="32"/>
  <c r="G75" i="32" s="1"/>
  <c r="BH75" i="32"/>
  <c r="BD75" i="32"/>
  <c r="AZ75" i="32"/>
  <c r="AV75" i="32"/>
  <c r="AR75" i="32"/>
  <c r="AN75" i="32"/>
  <c r="AJ75" i="32"/>
  <c r="AF75" i="32"/>
  <c r="AB75" i="32"/>
  <c r="X75" i="32"/>
  <c r="T75" i="32"/>
  <c r="P75" i="32"/>
  <c r="D75" i="32"/>
  <c r="F75" i="32" s="1"/>
  <c r="BK74" i="32"/>
  <c r="BH74" i="32"/>
  <c r="BD74" i="32"/>
  <c r="AZ74" i="32"/>
  <c r="AV74" i="32"/>
  <c r="AR74" i="32"/>
  <c r="AN74" i="32"/>
  <c r="AJ74" i="32"/>
  <c r="AF74" i="32"/>
  <c r="AB74" i="32"/>
  <c r="X74" i="32"/>
  <c r="T74" i="32"/>
  <c r="P74" i="32"/>
  <c r="D74" i="32"/>
  <c r="F74" i="32" s="1"/>
  <c r="BN73" i="32"/>
  <c r="BK73" i="32"/>
  <c r="BH73" i="32"/>
  <c r="BD73" i="32"/>
  <c r="AZ73" i="32"/>
  <c r="AV73" i="32"/>
  <c r="AR73" i="32"/>
  <c r="AN73" i="32"/>
  <c r="AJ73" i="32"/>
  <c r="AF73" i="32"/>
  <c r="AB73" i="32"/>
  <c r="X73" i="32"/>
  <c r="T73" i="32"/>
  <c r="P73" i="32"/>
  <c r="D73" i="32"/>
  <c r="F73" i="32" s="1"/>
  <c r="BK72" i="32"/>
  <c r="G72" i="32" s="1"/>
  <c r="BH72" i="32"/>
  <c r="BD72" i="32"/>
  <c r="AZ72" i="32"/>
  <c r="AV72" i="32"/>
  <c r="AR72" i="32"/>
  <c r="AN72" i="32"/>
  <c r="AJ72" i="32"/>
  <c r="AF72" i="32"/>
  <c r="AB72" i="32"/>
  <c r="X72" i="32"/>
  <c r="T72" i="32"/>
  <c r="P72" i="32"/>
  <c r="D72" i="32"/>
  <c r="F72" i="32" s="1"/>
  <c r="BK71" i="32"/>
  <c r="G71" i="32" s="1"/>
  <c r="BH71" i="32"/>
  <c r="BD71" i="32"/>
  <c r="AZ71" i="32"/>
  <c r="AV71" i="32"/>
  <c r="AR71" i="32"/>
  <c r="AN71" i="32"/>
  <c r="AJ71" i="32"/>
  <c r="AF71" i="32"/>
  <c r="AB71" i="32"/>
  <c r="X71" i="32"/>
  <c r="T71" i="32"/>
  <c r="P71" i="32"/>
  <c r="D71" i="32"/>
  <c r="F71" i="32" s="1"/>
  <c r="BK70" i="32"/>
  <c r="G70" i="32" s="1"/>
  <c r="BH70" i="32"/>
  <c r="BD70" i="32"/>
  <c r="AZ70" i="32"/>
  <c r="AV70" i="32"/>
  <c r="AR70" i="32"/>
  <c r="AN70" i="32"/>
  <c r="AJ70" i="32"/>
  <c r="AF70" i="32"/>
  <c r="AB70" i="32"/>
  <c r="X70" i="32"/>
  <c r="T70" i="32"/>
  <c r="P70" i="32"/>
  <c r="F70" i="32"/>
  <c r="D70" i="32"/>
  <c r="BK69" i="32"/>
  <c r="G69" i="32" s="1"/>
  <c r="BH69" i="32"/>
  <c r="BD69" i="32"/>
  <c r="AZ69" i="32"/>
  <c r="AV69" i="32"/>
  <c r="AR69" i="32"/>
  <c r="AN69" i="32"/>
  <c r="AJ69" i="32"/>
  <c r="AF69" i="32"/>
  <c r="AB69" i="32"/>
  <c r="X69" i="32"/>
  <c r="T69" i="32"/>
  <c r="P69" i="32"/>
  <c r="D69" i="32"/>
  <c r="F69" i="32" s="1"/>
  <c r="BK68" i="32"/>
  <c r="G68" i="32" s="1"/>
  <c r="H68" i="32" s="1"/>
  <c r="BH68" i="32"/>
  <c r="BD68" i="32"/>
  <c r="AZ68" i="32"/>
  <c r="AV68" i="32"/>
  <c r="AR68" i="32"/>
  <c r="AN68" i="32"/>
  <c r="AJ68" i="32"/>
  <c r="AF68" i="32"/>
  <c r="AB68" i="32"/>
  <c r="X68" i="32"/>
  <c r="T68" i="32"/>
  <c r="P68" i="32"/>
  <c r="D68" i="32"/>
  <c r="F68" i="32" s="1"/>
  <c r="BK67" i="32"/>
  <c r="G67" i="32" s="1"/>
  <c r="BH67" i="32"/>
  <c r="BD67" i="32"/>
  <c r="AZ67" i="32"/>
  <c r="AV67" i="32"/>
  <c r="AR67" i="32"/>
  <c r="AN67" i="32"/>
  <c r="AJ67" i="32"/>
  <c r="AF67" i="32"/>
  <c r="AB67" i="32"/>
  <c r="X67" i="32"/>
  <c r="T67" i="32"/>
  <c r="P67" i="32"/>
  <c r="D67" i="32"/>
  <c r="F67" i="32" s="1"/>
  <c r="BK66" i="32"/>
  <c r="BH66" i="32"/>
  <c r="BD66" i="32"/>
  <c r="AZ66" i="32"/>
  <c r="AV66" i="32"/>
  <c r="AR66" i="32"/>
  <c r="AN66" i="32"/>
  <c r="AJ66" i="32"/>
  <c r="AF66" i="32"/>
  <c r="AB66" i="32"/>
  <c r="X66" i="32"/>
  <c r="T66" i="32"/>
  <c r="P66" i="32"/>
  <c r="D66" i="32"/>
  <c r="F66" i="32" s="1"/>
  <c r="BK65" i="32"/>
  <c r="BH65" i="32"/>
  <c r="BD65" i="32"/>
  <c r="AZ65" i="32"/>
  <c r="AV65" i="32"/>
  <c r="AR65" i="32"/>
  <c r="AN65" i="32"/>
  <c r="AJ65" i="32"/>
  <c r="AF65" i="32"/>
  <c r="AB65" i="32"/>
  <c r="X65" i="32"/>
  <c r="T65" i="32"/>
  <c r="P65" i="32"/>
  <c r="D65" i="32"/>
  <c r="F65" i="32" s="1"/>
  <c r="BK64" i="32"/>
  <c r="BH64" i="32"/>
  <c r="BD64" i="32"/>
  <c r="AZ64" i="32"/>
  <c r="AV64" i="32"/>
  <c r="AR64" i="32"/>
  <c r="AN64" i="32"/>
  <c r="AJ64" i="32"/>
  <c r="AF64" i="32"/>
  <c r="AB64" i="32"/>
  <c r="X64" i="32"/>
  <c r="T64" i="32"/>
  <c r="P64" i="32"/>
  <c r="D64" i="32"/>
  <c r="F64" i="32" s="1"/>
  <c r="BK63" i="32"/>
  <c r="G63" i="32" s="1"/>
  <c r="BH63" i="32"/>
  <c r="BD63" i="32"/>
  <c r="AZ63" i="32"/>
  <c r="AV63" i="32"/>
  <c r="AR63" i="32"/>
  <c r="AN63" i="32"/>
  <c r="AJ63" i="32"/>
  <c r="AF63" i="32"/>
  <c r="AB63" i="32"/>
  <c r="X63" i="32"/>
  <c r="T63" i="32"/>
  <c r="P63" i="32"/>
  <c r="D63" i="32"/>
  <c r="F63" i="32" s="1"/>
  <c r="BK62" i="32"/>
  <c r="BH62" i="32"/>
  <c r="BD62" i="32"/>
  <c r="AZ62" i="32"/>
  <c r="AV62" i="32"/>
  <c r="AR62" i="32"/>
  <c r="AN62" i="32"/>
  <c r="AJ62" i="32"/>
  <c r="AF62" i="32"/>
  <c r="AB62" i="32"/>
  <c r="X62" i="32"/>
  <c r="T62" i="32"/>
  <c r="P62" i="32"/>
  <c r="D62" i="32"/>
  <c r="F62" i="32" s="1"/>
  <c r="BK61" i="32"/>
  <c r="G61" i="32" s="1"/>
  <c r="BH61" i="32"/>
  <c r="BD61" i="32"/>
  <c r="AZ61" i="32"/>
  <c r="AV61" i="32"/>
  <c r="AR61" i="32"/>
  <c r="AN61" i="32"/>
  <c r="AJ61" i="32"/>
  <c r="AF61" i="32"/>
  <c r="AB61" i="32"/>
  <c r="X61" i="32"/>
  <c r="T61" i="32"/>
  <c r="P61" i="32"/>
  <c r="D61" i="32"/>
  <c r="F61" i="32" s="1"/>
  <c r="BK60" i="32"/>
  <c r="BH60" i="32"/>
  <c r="BD60" i="32"/>
  <c r="AZ60" i="32"/>
  <c r="AV60" i="32"/>
  <c r="AR60" i="32"/>
  <c r="AN60" i="32"/>
  <c r="AJ60" i="32"/>
  <c r="AF60" i="32"/>
  <c r="AB60" i="32"/>
  <c r="X60" i="32"/>
  <c r="T60" i="32"/>
  <c r="P60" i="32"/>
  <c r="D60" i="32"/>
  <c r="F60" i="32" s="1"/>
  <c r="BK59" i="32"/>
  <c r="G59" i="32" s="1"/>
  <c r="BH59" i="32"/>
  <c r="BD59" i="32"/>
  <c r="AZ59" i="32"/>
  <c r="AV59" i="32"/>
  <c r="AR59" i="32"/>
  <c r="AN59" i="32"/>
  <c r="AJ59" i="32"/>
  <c r="AF59" i="32"/>
  <c r="AB59" i="32"/>
  <c r="X59" i="32"/>
  <c r="T59" i="32"/>
  <c r="P59" i="32"/>
  <c r="D59" i="32"/>
  <c r="F59" i="32" s="1"/>
  <c r="BK58" i="32"/>
  <c r="BH58" i="32"/>
  <c r="BD58" i="32"/>
  <c r="AZ58" i="32"/>
  <c r="AV58" i="32"/>
  <c r="AR58" i="32"/>
  <c r="AN58" i="32"/>
  <c r="AJ58" i="32"/>
  <c r="AF58" i="32"/>
  <c r="AB58" i="32"/>
  <c r="X58" i="32"/>
  <c r="T58" i="32"/>
  <c r="P58" i="32"/>
  <c r="D58" i="32"/>
  <c r="F58" i="32" s="1"/>
  <c r="BK57" i="32"/>
  <c r="G57" i="32" s="1"/>
  <c r="BH57" i="32"/>
  <c r="BD57" i="32"/>
  <c r="AZ57" i="32"/>
  <c r="AV57" i="32"/>
  <c r="AR57" i="32"/>
  <c r="AN57" i="32"/>
  <c r="AJ57" i="32"/>
  <c r="AF57" i="32"/>
  <c r="AB57" i="32"/>
  <c r="X57" i="32"/>
  <c r="T57" i="32"/>
  <c r="P57" i="32"/>
  <c r="D57" i="32"/>
  <c r="F57" i="32" s="1"/>
  <c r="BK56" i="32"/>
  <c r="BH56" i="32"/>
  <c r="BD56" i="32"/>
  <c r="AZ56" i="32"/>
  <c r="AV56" i="32"/>
  <c r="AR56" i="32"/>
  <c r="AN56" i="32"/>
  <c r="AJ56" i="32"/>
  <c r="AF56" i="32"/>
  <c r="AB56" i="32"/>
  <c r="W91" i="32"/>
  <c r="T56" i="32"/>
  <c r="P56" i="32"/>
  <c r="D56" i="32"/>
  <c r="F56" i="32" s="1"/>
  <c r="BK55" i="32"/>
  <c r="BH55" i="32"/>
  <c r="BD55" i="32"/>
  <c r="AZ55" i="32"/>
  <c r="AV55" i="32"/>
  <c r="AR55" i="32"/>
  <c r="AN55" i="32"/>
  <c r="AJ55" i="32"/>
  <c r="AF55" i="32"/>
  <c r="AB55" i="32"/>
  <c r="X55" i="32"/>
  <c r="T55" i="32"/>
  <c r="P55" i="32"/>
  <c r="D55" i="32"/>
  <c r="F55" i="32" s="1"/>
  <c r="BK54" i="32"/>
  <c r="BH54" i="32"/>
  <c r="BD54" i="32"/>
  <c r="AZ54" i="32"/>
  <c r="AV54" i="32"/>
  <c r="AR54" i="32"/>
  <c r="AN54" i="32"/>
  <c r="AJ54" i="32"/>
  <c r="AF54" i="32"/>
  <c r="AB54" i="32"/>
  <c r="X54" i="32"/>
  <c r="T54" i="32"/>
  <c r="P54" i="32"/>
  <c r="D54" i="32"/>
  <c r="F54" i="32" s="1"/>
  <c r="BK53" i="32"/>
  <c r="BH53" i="32"/>
  <c r="BD53" i="32"/>
  <c r="AZ53" i="32"/>
  <c r="AV53" i="32"/>
  <c r="AR53" i="32"/>
  <c r="AN53" i="32"/>
  <c r="AJ53" i="32"/>
  <c r="AF53" i="32"/>
  <c r="AB53" i="32"/>
  <c r="X53" i="32"/>
  <c r="T53" i="32"/>
  <c r="P53" i="32"/>
  <c r="D53" i="32"/>
  <c r="F53" i="32" s="1"/>
  <c r="BK52" i="32"/>
  <c r="BH52" i="32"/>
  <c r="BD52" i="32"/>
  <c r="AZ52" i="32"/>
  <c r="AV52" i="32"/>
  <c r="AR52" i="32"/>
  <c r="AN52" i="32"/>
  <c r="AJ52" i="32"/>
  <c r="AF52" i="32"/>
  <c r="AB52" i="32"/>
  <c r="X52" i="32"/>
  <c r="T52" i="32"/>
  <c r="P52" i="32"/>
  <c r="D52" i="32"/>
  <c r="F52" i="32" s="1"/>
  <c r="BK51" i="32"/>
  <c r="BH51" i="32"/>
  <c r="BD51" i="32"/>
  <c r="AZ51" i="32"/>
  <c r="AV51" i="32"/>
  <c r="AR51" i="32"/>
  <c r="AN51" i="32"/>
  <c r="AJ51" i="32"/>
  <c r="AF51" i="32"/>
  <c r="AB51" i="32"/>
  <c r="X51" i="32"/>
  <c r="T51" i="32"/>
  <c r="P51" i="32"/>
  <c r="D51" i="32"/>
  <c r="F51" i="32" s="1"/>
  <c r="BK50" i="32"/>
  <c r="BH50" i="32"/>
  <c r="BD50" i="32"/>
  <c r="AZ50" i="32"/>
  <c r="AV50" i="32"/>
  <c r="AR50" i="32"/>
  <c r="AN50" i="32"/>
  <c r="AJ50" i="32"/>
  <c r="AF50" i="32"/>
  <c r="AB50" i="32"/>
  <c r="X50" i="32"/>
  <c r="T50" i="32"/>
  <c r="P50" i="32"/>
  <c r="D50" i="32"/>
  <c r="F50" i="32" s="1"/>
  <c r="BK49" i="32"/>
  <c r="G49" i="32" s="1"/>
  <c r="BH49" i="32"/>
  <c r="BD49" i="32"/>
  <c r="AZ49" i="32"/>
  <c r="AV49" i="32"/>
  <c r="AR49" i="32"/>
  <c r="AN49" i="32"/>
  <c r="AJ49" i="32"/>
  <c r="AF49" i="32"/>
  <c r="AB49" i="32"/>
  <c r="X49" i="32"/>
  <c r="T49" i="32"/>
  <c r="P49" i="32"/>
  <c r="D49" i="32"/>
  <c r="F49" i="32" s="1"/>
  <c r="BK48" i="32"/>
  <c r="G48" i="32" s="1"/>
  <c r="H48" i="32" s="1"/>
  <c r="BH48" i="32"/>
  <c r="BD48" i="32"/>
  <c r="AZ48" i="32"/>
  <c r="AV48" i="32"/>
  <c r="AR48" i="32"/>
  <c r="AN48" i="32"/>
  <c r="AJ48" i="32"/>
  <c r="AF48" i="32"/>
  <c r="AB48" i="32"/>
  <c r="X48" i="32"/>
  <c r="T48" i="32"/>
  <c r="P48" i="32"/>
  <c r="D48" i="32"/>
  <c r="F48" i="32" s="1"/>
  <c r="BK47" i="32"/>
  <c r="G47" i="32" s="1"/>
  <c r="BH47" i="32"/>
  <c r="BD47" i="32"/>
  <c r="AZ47" i="32"/>
  <c r="AV47" i="32"/>
  <c r="AR47" i="32"/>
  <c r="AN47" i="32"/>
  <c r="AJ47" i="32"/>
  <c r="AF47" i="32"/>
  <c r="AB47" i="32"/>
  <c r="X47" i="32"/>
  <c r="T47" i="32"/>
  <c r="P47" i="32"/>
  <c r="D47" i="32"/>
  <c r="F47" i="32" s="1"/>
  <c r="BK46" i="32"/>
  <c r="G46" i="32" s="1"/>
  <c r="BH46" i="32"/>
  <c r="BD46" i="32"/>
  <c r="AZ46" i="32"/>
  <c r="AV46" i="32"/>
  <c r="AR46" i="32"/>
  <c r="AN46" i="32"/>
  <c r="AJ46" i="32"/>
  <c r="AF46" i="32"/>
  <c r="AB46" i="32"/>
  <c r="X46" i="32"/>
  <c r="T46" i="32"/>
  <c r="P46" i="32"/>
  <c r="D46" i="32"/>
  <c r="F46" i="32" s="1"/>
  <c r="BK45" i="32"/>
  <c r="BH45" i="32"/>
  <c r="BD45" i="32"/>
  <c r="AZ45" i="32"/>
  <c r="AV45" i="32"/>
  <c r="AR45" i="32"/>
  <c r="AN45" i="32"/>
  <c r="AJ45" i="32"/>
  <c r="AF45" i="32"/>
  <c r="AB45" i="32"/>
  <c r="X45" i="32"/>
  <c r="T45" i="32"/>
  <c r="P45" i="32"/>
  <c r="D45" i="32"/>
  <c r="F45" i="32" s="1"/>
  <c r="BK44" i="32"/>
  <c r="G44" i="32" s="1"/>
  <c r="BH44" i="32"/>
  <c r="BD44" i="32"/>
  <c r="AZ44" i="32"/>
  <c r="AV44" i="32"/>
  <c r="AR44" i="32"/>
  <c r="AN44" i="32"/>
  <c r="AJ44" i="32"/>
  <c r="AF44" i="32"/>
  <c r="AB44" i="32"/>
  <c r="X44" i="32"/>
  <c r="T44" i="32"/>
  <c r="P44" i="32"/>
  <c r="D44" i="32"/>
  <c r="F44" i="32" s="1"/>
  <c r="BK43" i="32"/>
  <c r="BH43" i="32"/>
  <c r="BD43" i="32"/>
  <c r="AZ43" i="32"/>
  <c r="AV43" i="32"/>
  <c r="AR43" i="32"/>
  <c r="AN43" i="32"/>
  <c r="AJ43" i="32"/>
  <c r="AF43" i="32"/>
  <c r="AB43" i="32"/>
  <c r="X43" i="32"/>
  <c r="T43" i="32"/>
  <c r="P43" i="32"/>
  <c r="D43" i="32"/>
  <c r="F43" i="32" s="1"/>
  <c r="BK42" i="32"/>
  <c r="BH42" i="32"/>
  <c r="BD42" i="32"/>
  <c r="AZ42" i="32"/>
  <c r="AV42" i="32"/>
  <c r="AR42" i="32"/>
  <c r="AN42" i="32"/>
  <c r="AJ42" i="32"/>
  <c r="AF42" i="32"/>
  <c r="AB42" i="32"/>
  <c r="X42" i="32"/>
  <c r="T42" i="32"/>
  <c r="P42" i="32"/>
  <c r="F42" i="32"/>
  <c r="D42" i="32"/>
  <c r="BK41" i="32"/>
  <c r="BH41" i="32"/>
  <c r="BD41" i="32"/>
  <c r="AZ41" i="32"/>
  <c r="AV41" i="32"/>
  <c r="AR41" i="32"/>
  <c r="AN41" i="32"/>
  <c r="AJ41" i="32"/>
  <c r="AF41" i="32"/>
  <c r="AB41" i="32"/>
  <c r="X41" i="32"/>
  <c r="T41" i="32"/>
  <c r="P41" i="32"/>
  <c r="D41" i="32"/>
  <c r="F41" i="32" s="1"/>
  <c r="BK40" i="32"/>
  <c r="BH40" i="32"/>
  <c r="BD40" i="32"/>
  <c r="AZ40" i="32"/>
  <c r="AV40" i="32"/>
  <c r="AR40" i="32"/>
  <c r="AN40" i="32"/>
  <c r="AJ40" i="32"/>
  <c r="AF40" i="32"/>
  <c r="AB40" i="32"/>
  <c r="X40" i="32"/>
  <c r="T40" i="32"/>
  <c r="P40" i="32"/>
  <c r="D40" i="32"/>
  <c r="F40" i="32" s="1"/>
  <c r="BK39" i="32"/>
  <c r="BH39" i="32"/>
  <c r="BD39" i="32"/>
  <c r="AZ39" i="32"/>
  <c r="AV39" i="32"/>
  <c r="AR39" i="32"/>
  <c r="AN39" i="32"/>
  <c r="AJ39" i="32"/>
  <c r="AF39" i="32"/>
  <c r="AB39" i="32"/>
  <c r="X39" i="32"/>
  <c r="T39" i="32"/>
  <c r="P39" i="32"/>
  <c r="D39" i="32"/>
  <c r="F39" i="32" s="1"/>
  <c r="BK38" i="32"/>
  <c r="G38" i="32" s="1"/>
  <c r="BH38" i="32"/>
  <c r="BD38" i="32"/>
  <c r="AZ38" i="32"/>
  <c r="AV38" i="32"/>
  <c r="AR38" i="32"/>
  <c r="AN38" i="32"/>
  <c r="AJ38" i="32"/>
  <c r="AF38" i="32"/>
  <c r="AB38" i="32"/>
  <c r="X38" i="32"/>
  <c r="T38" i="32"/>
  <c r="P38" i="32"/>
  <c r="F38" i="32"/>
  <c r="D38" i="32"/>
  <c r="BK37" i="32"/>
  <c r="G37" i="32" s="1"/>
  <c r="BH37" i="32"/>
  <c r="BD37" i="32"/>
  <c r="AZ37" i="32"/>
  <c r="AV37" i="32"/>
  <c r="AR37" i="32"/>
  <c r="AN37" i="32"/>
  <c r="AJ37" i="32"/>
  <c r="AF37" i="32"/>
  <c r="AB37" i="32"/>
  <c r="X37" i="32"/>
  <c r="T37" i="32"/>
  <c r="P37" i="32"/>
  <c r="D37" i="32"/>
  <c r="F37" i="32" s="1"/>
  <c r="BK36" i="32"/>
  <c r="G36" i="32" s="1"/>
  <c r="H36" i="32" s="1"/>
  <c r="BH36" i="32"/>
  <c r="BD36" i="32"/>
  <c r="AZ36" i="32"/>
  <c r="AV36" i="32"/>
  <c r="AR36" i="32"/>
  <c r="AN36" i="32"/>
  <c r="AJ36" i="32"/>
  <c r="AF36" i="32"/>
  <c r="AB36" i="32"/>
  <c r="X36" i="32"/>
  <c r="T36" i="32"/>
  <c r="P36" i="32"/>
  <c r="D36" i="32"/>
  <c r="F36" i="32" s="1"/>
  <c r="BH35" i="32"/>
  <c r="BD35" i="32"/>
  <c r="AZ35" i="32"/>
  <c r="AV35" i="32"/>
  <c r="AR35" i="32"/>
  <c r="AN35" i="32"/>
  <c r="AJ35" i="32"/>
  <c r="AF35" i="32"/>
  <c r="X35" i="32"/>
  <c r="T35" i="32"/>
  <c r="P35" i="32"/>
  <c r="D35" i="32"/>
  <c r="F35" i="32" s="1"/>
  <c r="BK34" i="32"/>
  <c r="BH34" i="32"/>
  <c r="BD34" i="32"/>
  <c r="AZ34" i="32"/>
  <c r="AV34" i="32"/>
  <c r="AR34" i="32"/>
  <c r="AN34" i="32"/>
  <c r="AJ34" i="32"/>
  <c r="AF34" i="32"/>
  <c r="AB34" i="32"/>
  <c r="X34" i="32"/>
  <c r="T34" i="32"/>
  <c r="P34" i="32"/>
  <c r="D34" i="32"/>
  <c r="F34" i="32" s="1"/>
  <c r="BK33" i="32"/>
  <c r="G33" i="32" s="1"/>
  <c r="BH33" i="32"/>
  <c r="BD33" i="32"/>
  <c r="AZ33" i="32"/>
  <c r="AV33" i="32"/>
  <c r="AR33" i="32"/>
  <c r="AN33" i="32"/>
  <c r="AJ33" i="32"/>
  <c r="AF33" i="32"/>
  <c r="AB33" i="32"/>
  <c r="X33" i="32"/>
  <c r="T33" i="32"/>
  <c r="P33" i="32"/>
  <c r="D33" i="32"/>
  <c r="F33" i="32" s="1"/>
  <c r="BK32" i="32"/>
  <c r="G32" i="32" s="1"/>
  <c r="BH32" i="32"/>
  <c r="BD32" i="32"/>
  <c r="AZ32" i="32"/>
  <c r="AV32" i="32"/>
  <c r="AR32" i="32"/>
  <c r="AN32" i="32"/>
  <c r="AJ32" i="32"/>
  <c r="AF32" i="32"/>
  <c r="AB32" i="32"/>
  <c r="X32" i="32"/>
  <c r="T32" i="32"/>
  <c r="P32" i="32"/>
  <c r="D32" i="32"/>
  <c r="F32" i="32" s="1"/>
  <c r="BK31" i="32"/>
  <c r="BH31" i="32"/>
  <c r="BD31" i="32"/>
  <c r="AZ31" i="32"/>
  <c r="AV31" i="32"/>
  <c r="AR31" i="32"/>
  <c r="AN31" i="32"/>
  <c r="AJ31" i="32"/>
  <c r="AF31" i="32"/>
  <c r="AB31" i="32"/>
  <c r="X31" i="32"/>
  <c r="T31" i="32"/>
  <c r="P31" i="32"/>
  <c r="D31" i="32"/>
  <c r="F31" i="32" s="1"/>
  <c r="BK30" i="32"/>
  <c r="G30" i="32" s="1"/>
  <c r="BH30" i="32"/>
  <c r="BD30" i="32"/>
  <c r="AZ30" i="32"/>
  <c r="AV30" i="32"/>
  <c r="AR30" i="32"/>
  <c r="AN30" i="32"/>
  <c r="AJ30" i="32"/>
  <c r="AF30" i="32"/>
  <c r="AB30" i="32"/>
  <c r="X30" i="32"/>
  <c r="T30" i="32"/>
  <c r="P30" i="32"/>
  <c r="D30" i="32"/>
  <c r="F30" i="32" s="1"/>
  <c r="BK29" i="32"/>
  <c r="G29" i="32" s="1"/>
  <c r="BH29" i="32"/>
  <c r="BD29" i="32"/>
  <c r="AZ29" i="32"/>
  <c r="AV29" i="32"/>
  <c r="AR29" i="32"/>
  <c r="AN29" i="32"/>
  <c r="AJ29" i="32"/>
  <c r="AF29" i="32"/>
  <c r="AB29" i="32"/>
  <c r="X29" i="32"/>
  <c r="T29" i="32"/>
  <c r="P29" i="32"/>
  <c r="D29" i="32"/>
  <c r="F29" i="32" s="1"/>
  <c r="BK28" i="32"/>
  <c r="BH28" i="32"/>
  <c r="BD28" i="32"/>
  <c r="AZ28" i="32"/>
  <c r="AV28" i="32"/>
  <c r="AR28" i="32"/>
  <c r="AN28" i="32"/>
  <c r="AJ28" i="32"/>
  <c r="AF28" i="32"/>
  <c r="AB28" i="32"/>
  <c r="X28" i="32"/>
  <c r="T28" i="32"/>
  <c r="P28" i="32"/>
  <c r="D28" i="32"/>
  <c r="F28" i="32" s="1"/>
  <c r="BK27" i="32"/>
  <c r="G27" i="32" s="1"/>
  <c r="BH27" i="32"/>
  <c r="BD27" i="32"/>
  <c r="AZ27" i="32"/>
  <c r="AV27" i="32"/>
  <c r="AR27" i="32"/>
  <c r="AN27" i="32"/>
  <c r="AJ27" i="32"/>
  <c r="AF27" i="32"/>
  <c r="AB27" i="32"/>
  <c r="X27" i="32"/>
  <c r="T27" i="32"/>
  <c r="P27" i="32"/>
  <c r="D27" i="32"/>
  <c r="F27" i="32" s="1"/>
  <c r="BK26" i="32"/>
  <c r="BH26" i="32"/>
  <c r="BD26" i="32"/>
  <c r="AZ26" i="32"/>
  <c r="AV26" i="32"/>
  <c r="AR26" i="32"/>
  <c r="AN26" i="32"/>
  <c r="AJ26" i="32"/>
  <c r="AF26" i="32"/>
  <c r="AB26" i="32"/>
  <c r="X26" i="32"/>
  <c r="T26" i="32"/>
  <c r="P26" i="32"/>
  <c r="D26" i="32"/>
  <c r="F26" i="32" s="1"/>
  <c r="BK25" i="32"/>
  <c r="BH25" i="32"/>
  <c r="BD25" i="32"/>
  <c r="AZ25" i="32"/>
  <c r="AV25" i="32"/>
  <c r="AR25" i="32"/>
  <c r="AN25" i="32"/>
  <c r="AJ25" i="32"/>
  <c r="AF25" i="32"/>
  <c r="AB25" i="32"/>
  <c r="X25" i="32"/>
  <c r="T25" i="32"/>
  <c r="P25" i="32"/>
  <c r="D25" i="32"/>
  <c r="F25" i="32" s="1"/>
  <c r="BK24" i="32"/>
  <c r="BH24" i="32"/>
  <c r="BD24" i="32"/>
  <c r="AZ24" i="32"/>
  <c r="AV24" i="32"/>
  <c r="AR24" i="32"/>
  <c r="AN24" i="32"/>
  <c r="AJ24" i="32"/>
  <c r="AF24" i="32"/>
  <c r="AB24" i="32"/>
  <c r="X24" i="32"/>
  <c r="T24" i="32"/>
  <c r="P24" i="32"/>
  <c r="D24" i="32"/>
  <c r="F24" i="32" s="1"/>
  <c r="BK23" i="32"/>
  <c r="BH23" i="32"/>
  <c r="BD23" i="32"/>
  <c r="AZ23" i="32"/>
  <c r="AV23" i="32"/>
  <c r="AR23" i="32"/>
  <c r="AN23" i="32"/>
  <c r="AJ23" i="32"/>
  <c r="AF23" i="32"/>
  <c r="AB23" i="32"/>
  <c r="X23" i="32"/>
  <c r="T23" i="32"/>
  <c r="P23" i="32"/>
  <c r="D23" i="32"/>
  <c r="F23" i="32" s="1"/>
  <c r="BK22" i="32"/>
  <c r="BH22" i="32"/>
  <c r="BD22" i="32"/>
  <c r="AZ22" i="32"/>
  <c r="AV22" i="32"/>
  <c r="AR22" i="32"/>
  <c r="AN22" i="32"/>
  <c r="AJ22" i="32"/>
  <c r="AF22" i="32"/>
  <c r="AB22" i="32"/>
  <c r="X22" i="32"/>
  <c r="T22" i="32"/>
  <c r="P22" i="32"/>
  <c r="D22" i="32"/>
  <c r="F22" i="32" s="1"/>
  <c r="BK21" i="32"/>
  <c r="BH21" i="32"/>
  <c r="BD21" i="32"/>
  <c r="AZ21" i="32"/>
  <c r="AV21" i="32"/>
  <c r="AR21" i="32"/>
  <c r="AN21" i="32"/>
  <c r="AJ21" i="32"/>
  <c r="AF21" i="32"/>
  <c r="AB21" i="32"/>
  <c r="X21" i="32"/>
  <c r="T21" i="32"/>
  <c r="P21" i="32"/>
  <c r="F21" i="32"/>
  <c r="D21" i="32"/>
  <c r="BK20" i="32"/>
  <c r="G20" i="32" s="1"/>
  <c r="BH20" i="32"/>
  <c r="BD20" i="32"/>
  <c r="AZ20" i="32"/>
  <c r="AV20" i="32"/>
  <c r="AR20" i="32"/>
  <c r="AN20" i="32"/>
  <c r="AJ20" i="32"/>
  <c r="AF20" i="32"/>
  <c r="AB20" i="32"/>
  <c r="X20" i="32"/>
  <c r="T20" i="32"/>
  <c r="P20" i="32"/>
  <c r="D20" i="32"/>
  <c r="F20" i="32" s="1"/>
  <c r="BH19" i="32"/>
  <c r="BD19" i="32"/>
  <c r="AZ19" i="32"/>
  <c r="AV19" i="32"/>
  <c r="AR19" i="32"/>
  <c r="AN19" i="32"/>
  <c r="AJ19" i="32"/>
  <c r="AB19" i="32"/>
  <c r="X19" i="32"/>
  <c r="T19" i="32"/>
  <c r="P19" i="32"/>
  <c r="D19" i="32"/>
  <c r="F19" i="32" s="1"/>
  <c r="BK18" i="32"/>
  <c r="G18" i="32" s="1"/>
  <c r="BH18" i="32"/>
  <c r="BD18" i="32"/>
  <c r="AZ18" i="32"/>
  <c r="AV18" i="32"/>
  <c r="AR18" i="32"/>
  <c r="AN18" i="32"/>
  <c r="AJ18" i="32"/>
  <c r="AF18" i="32"/>
  <c r="AB18" i="32"/>
  <c r="X18" i="32"/>
  <c r="T18" i="32"/>
  <c r="P18" i="32"/>
  <c r="D18" i="32"/>
  <c r="F18" i="32" s="1"/>
  <c r="BK17" i="32"/>
  <c r="G17" i="32" s="1"/>
  <c r="BH17" i="32"/>
  <c r="BD17" i="32"/>
  <c r="AZ17" i="32"/>
  <c r="AV17" i="32"/>
  <c r="AR17" i="32"/>
  <c r="AN17" i="32"/>
  <c r="AJ17" i="32"/>
  <c r="AF17" i="32"/>
  <c r="AB17" i="32"/>
  <c r="X17" i="32"/>
  <c r="T17" i="32"/>
  <c r="P17" i="32"/>
  <c r="D17" i="32"/>
  <c r="F17" i="32" s="1"/>
  <c r="BK16" i="32"/>
  <c r="BH16" i="32"/>
  <c r="BD16" i="32"/>
  <c r="AZ16" i="32"/>
  <c r="AV16" i="32"/>
  <c r="AR16" i="32"/>
  <c r="AN16" i="32"/>
  <c r="AJ16" i="32"/>
  <c r="AF16" i="32"/>
  <c r="AB16" i="32"/>
  <c r="X16" i="32"/>
  <c r="T16" i="32"/>
  <c r="P16" i="32"/>
  <c r="D16" i="32"/>
  <c r="F16" i="32" s="1"/>
  <c r="BK15" i="32"/>
  <c r="G15" i="32" s="1"/>
  <c r="BH15" i="32"/>
  <c r="BD15" i="32"/>
  <c r="AZ15" i="32"/>
  <c r="AV15" i="32"/>
  <c r="AR15" i="32"/>
  <c r="AN15" i="32"/>
  <c r="AJ15" i="32"/>
  <c r="AF15" i="32"/>
  <c r="AB15" i="32"/>
  <c r="X15" i="32"/>
  <c r="T15" i="32"/>
  <c r="P15" i="32"/>
  <c r="D15" i="32"/>
  <c r="F15" i="32" s="1"/>
  <c r="BK14" i="32"/>
  <c r="BH14" i="32"/>
  <c r="BD14" i="32"/>
  <c r="AZ14" i="32"/>
  <c r="AV14" i="32"/>
  <c r="AR14" i="32"/>
  <c r="AN14" i="32"/>
  <c r="AJ14" i="32"/>
  <c r="AF14" i="32"/>
  <c r="AB14" i="32"/>
  <c r="X14" i="32"/>
  <c r="T14" i="32"/>
  <c r="P14" i="32"/>
  <c r="F14" i="32"/>
  <c r="D14" i="32"/>
  <c r="BK13" i="32"/>
  <c r="G13" i="32" s="1"/>
  <c r="BH13" i="32"/>
  <c r="BD13" i="32"/>
  <c r="AZ13" i="32"/>
  <c r="AV13" i="32"/>
  <c r="AR13" i="32"/>
  <c r="AN13" i="32"/>
  <c r="AJ13" i="32"/>
  <c r="AF13" i="32"/>
  <c r="AB13" i="32"/>
  <c r="X13" i="32"/>
  <c r="T13" i="32"/>
  <c r="P13" i="32"/>
  <c r="D13" i="32"/>
  <c r="F13" i="32" s="1"/>
  <c r="BK12" i="32"/>
  <c r="BH12" i="32"/>
  <c r="BD12" i="32"/>
  <c r="AZ12" i="32"/>
  <c r="AV12" i="32"/>
  <c r="AR12" i="32"/>
  <c r="AN12" i="32"/>
  <c r="AJ12" i="32"/>
  <c r="AF12" i="32"/>
  <c r="AB12" i="32"/>
  <c r="X12" i="32"/>
  <c r="T12" i="32"/>
  <c r="P12" i="32"/>
  <c r="D12" i="32"/>
  <c r="F12" i="32" s="1"/>
  <c r="BK11" i="32"/>
  <c r="G11" i="32" s="1"/>
  <c r="H11" i="32" s="1"/>
  <c r="BH11" i="32"/>
  <c r="BD11" i="32"/>
  <c r="AZ11" i="32"/>
  <c r="AV11" i="32"/>
  <c r="AR11" i="32"/>
  <c r="AN11" i="32"/>
  <c r="AJ11" i="32"/>
  <c r="AF11" i="32"/>
  <c r="AB11" i="32"/>
  <c r="X11" i="32"/>
  <c r="T11" i="32"/>
  <c r="P11" i="32"/>
  <c r="D11" i="32"/>
  <c r="F11" i="32" s="1"/>
  <c r="BK10" i="32"/>
  <c r="BH10" i="32"/>
  <c r="BD10" i="32"/>
  <c r="AZ10" i="32"/>
  <c r="AV10" i="32"/>
  <c r="AR10" i="32"/>
  <c r="AN10" i="32"/>
  <c r="AJ10" i="32"/>
  <c r="AF10" i="32"/>
  <c r="AB10" i="32"/>
  <c r="X10" i="32"/>
  <c r="T10" i="32"/>
  <c r="P10" i="32"/>
  <c r="D10" i="32"/>
  <c r="F10" i="32" s="1"/>
  <c r="BK9" i="32"/>
  <c r="BH9" i="32"/>
  <c r="BD9" i="32"/>
  <c r="AZ9" i="32"/>
  <c r="AV9" i="32"/>
  <c r="AR9" i="32"/>
  <c r="AN9" i="32"/>
  <c r="AJ9" i="32"/>
  <c r="AF9" i="32"/>
  <c r="AB9" i="32"/>
  <c r="X9" i="32"/>
  <c r="T9" i="32"/>
  <c r="P9" i="32"/>
  <c r="D9" i="32"/>
  <c r="F9" i="32" s="1"/>
  <c r="BK8" i="32"/>
  <c r="BH8" i="32"/>
  <c r="BD8" i="32"/>
  <c r="AZ8" i="32"/>
  <c r="AV8" i="32"/>
  <c r="AR8" i="32"/>
  <c r="AN8" i="32"/>
  <c r="AJ8" i="32"/>
  <c r="AF8" i="32"/>
  <c r="AB8" i="32"/>
  <c r="X8" i="32"/>
  <c r="T8" i="32"/>
  <c r="P8" i="32"/>
  <c r="D8" i="32"/>
  <c r="F8" i="32" s="1"/>
  <c r="BK7" i="32"/>
  <c r="G7" i="32" s="1"/>
  <c r="BH7" i="32"/>
  <c r="BD7" i="32"/>
  <c r="AZ7" i="32"/>
  <c r="AV7" i="32"/>
  <c r="AR7" i="32"/>
  <c r="AN7" i="32"/>
  <c r="AJ7" i="32"/>
  <c r="AF7" i="32"/>
  <c r="AB7" i="32"/>
  <c r="X7" i="32"/>
  <c r="T7" i="32"/>
  <c r="P7" i="32"/>
  <c r="D7" i="32"/>
  <c r="F7" i="32" s="1"/>
  <c r="BK6" i="32"/>
  <c r="G6" i="32" s="1"/>
  <c r="BH6" i="32"/>
  <c r="BD6" i="32"/>
  <c r="AZ6" i="32"/>
  <c r="AV6" i="32"/>
  <c r="AR6" i="32"/>
  <c r="AN6" i="32"/>
  <c r="AJ6" i="32"/>
  <c r="AF6" i="32"/>
  <c r="AB6" i="32"/>
  <c r="X6" i="32"/>
  <c r="T6" i="32"/>
  <c r="P6" i="32"/>
  <c r="D6" i="32"/>
  <c r="F6" i="32" s="1"/>
  <c r="BK5" i="32"/>
  <c r="BH5" i="32"/>
  <c r="BD5" i="32"/>
  <c r="AZ5" i="32"/>
  <c r="AV5" i="32"/>
  <c r="AR5" i="32"/>
  <c r="AN5" i="32"/>
  <c r="AJ5" i="32"/>
  <c r="AF5" i="32"/>
  <c r="AB5" i="32"/>
  <c r="X5" i="32"/>
  <c r="T5" i="32"/>
  <c r="P5" i="32"/>
  <c r="D5" i="32"/>
  <c r="F5" i="32" s="1"/>
  <c r="BK4" i="32"/>
  <c r="BH4" i="32"/>
  <c r="BD4" i="32"/>
  <c r="AZ4" i="32"/>
  <c r="AV4" i="32"/>
  <c r="AR4" i="32"/>
  <c r="AN4" i="32"/>
  <c r="AJ4" i="32"/>
  <c r="AF4" i="32"/>
  <c r="AB4" i="32"/>
  <c r="X4" i="32"/>
  <c r="T4" i="32"/>
  <c r="P4" i="32"/>
  <c r="D4" i="32"/>
  <c r="F4" i="32" s="1"/>
  <c r="BK3" i="32"/>
  <c r="BH3" i="32"/>
  <c r="BD3" i="32"/>
  <c r="AZ3" i="32"/>
  <c r="AV3" i="32"/>
  <c r="AR3" i="32"/>
  <c r="AN3" i="32"/>
  <c r="AJ3" i="32"/>
  <c r="AF3" i="32"/>
  <c r="AB3" i="32"/>
  <c r="X3" i="32"/>
  <c r="T3" i="32"/>
  <c r="P3" i="32"/>
  <c r="D3" i="32"/>
  <c r="F3" i="32" s="1"/>
  <c r="BK2" i="32"/>
  <c r="BH2" i="32"/>
  <c r="BD2" i="32"/>
  <c r="AZ2" i="32"/>
  <c r="AV2" i="32"/>
  <c r="AR2" i="32"/>
  <c r="AN2" i="32"/>
  <c r="AJ2" i="32"/>
  <c r="AI91" i="32"/>
  <c r="AF2" i="32"/>
  <c r="AB2" i="32"/>
  <c r="X2" i="32"/>
  <c r="T2" i="32"/>
  <c r="P2" i="32"/>
  <c r="D2" i="32"/>
  <c r="J84" i="32" l="1"/>
  <c r="J50" i="32"/>
  <c r="H72" i="32"/>
  <c r="K11" i="4"/>
  <c r="K15" i="4"/>
  <c r="J40" i="32"/>
  <c r="J77" i="32"/>
  <c r="J14" i="32"/>
  <c r="J70" i="32"/>
  <c r="K70" i="32" s="1"/>
  <c r="J76" i="32"/>
  <c r="J81" i="32"/>
  <c r="K81" i="32" s="1"/>
  <c r="AJ91" i="32"/>
  <c r="J86" i="32"/>
  <c r="K86" i="32" s="1"/>
  <c r="J6" i="32"/>
  <c r="K6" i="32" s="1"/>
  <c r="J29" i="32"/>
  <c r="K29" i="32" s="1"/>
  <c r="J43" i="32"/>
  <c r="G10" i="32"/>
  <c r="H10" i="32" s="1"/>
  <c r="H57" i="32"/>
  <c r="G9" i="32"/>
  <c r="H9" i="32" s="1"/>
  <c r="J51" i="32"/>
  <c r="G55" i="32"/>
  <c r="H55" i="32" s="1"/>
  <c r="H18" i="32"/>
  <c r="H47" i="32"/>
  <c r="J18" i="32"/>
  <c r="K18" i="32" s="1"/>
  <c r="J22" i="32"/>
  <c r="H46" i="32"/>
  <c r="G60" i="32"/>
  <c r="H60" i="32" s="1"/>
  <c r="G65" i="32"/>
  <c r="G66" i="32"/>
  <c r="H66" i="32" s="1"/>
  <c r="J79" i="32"/>
  <c r="K79" i="32" s="1"/>
  <c r="G4" i="32"/>
  <c r="H4" i="32" s="1"/>
  <c r="G3" i="32"/>
  <c r="H3" i="32" s="1"/>
  <c r="J25" i="32"/>
  <c r="J52" i="32"/>
  <c r="T91" i="32"/>
  <c r="J7" i="32"/>
  <c r="K7" i="32" s="1"/>
  <c r="G23" i="32"/>
  <c r="H23" i="32" s="1"/>
  <c r="G24" i="32"/>
  <c r="H24" i="32" s="1"/>
  <c r="J87" i="32"/>
  <c r="J28" i="32"/>
  <c r="J34" i="32"/>
  <c r="J39" i="32"/>
  <c r="G50" i="32"/>
  <c r="H50" i="32" s="1"/>
  <c r="G53" i="32"/>
  <c r="H53" i="32" s="1"/>
  <c r="G54" i="32"/>
  <c r="G73" i="32"/>
  <c r="H73" i="32" s="1"/>
  <c r="J49" i="32"/>
  <c r="K49" i="32" s="1"/>
  <c r="J61" i="32"/>
  <c r="K61" i="32" s="1"/>
  <c r="H69" i="32"/>
  <c r="H70" i="32"/>
  <c r="J68" i="32"/>
  <c r="K68" i="32" s="1"/>
  <c r="J11" i="32"/>
  <c r="K11" i="32" s="1"/>
  <c r="H29" i="32"/>
  <c r="J9" i="32"/>
  <c r="G31" i="32"/>
  <c r="J48" i="32"/>
  <c r="K48" i="32" s="1"/>
  <c r="J8" i="32"/>
  <c r="H44" i="32"/>
  <c r="H20" i="32"/>
  <c r="G41" i="32"/>
  <c r="H41" i="32" s="1"/>
  <c r="J64" i="32"/>
  <c r="G16" i="32"/>
  <c r="H16" i="32" s="1"/>
  <c r="G34" i="32"/>
  <c r="H34" i="32" s="1"/>
  <c r="J63" i="32"/>
  <c r="K63" i="32" s="1"/>
  <c r="H78" i="32"/>
  <c r="H79" i="32"/>
  <c r="H80" i="32"/>
  <c r="H81" i="32"/>
  <c r="H82" i="32"/>
  <c r="G87" i="32"/>
  <c r="H87" i="32" s="1"/>
  <c r="J89" i="32"/>
  <c r="K89" i="32" s="1"/>
  <c r="H27" i="32"/>
  <c r="H30" i="32"/>
  <c r="H67" i="32"/>
  <c r="J53" i="32"/>
  <c r="H63" i="32"/>
  <c r="J65" i="32"/>
  <c r="H85" i="32"/>
  <c r="H6" i="32"/>
  <c r="H15" i="32"/>
  <c r="H38" i="32"/>
  <c r="G43" i="32"/>
  <c r="H43" i="32" s="1"/>
  <c r="G84" i="32"/>
  <c r="H84" i="32" s="1"/>
  <c r="H86" i="32"/>
  <c r="H88" i="32"/>
  <c r="G14" i="32"/>
  <c r="H14" i="32" s="1"/>
  <c r="G22" i="32"/>
  <c r="H22" i="32" s="1"/>
  <c r="J33" i="32"/>
  <c r="G12" i="32"/>
  <c r="H12" i="32" s="1"/>
  <c r="G21" i="32"/>
  <c r="H21" i="32" s="1"/>
  <c r="H33" i="32"/>
  <c r="H75" i="32"/>
  <c r="G77" i="32"/>
  <c r="P91" i="32"/>
  <c r="G2" i="32"/>
  <c r="H13" i="32"/>
  <c r="J13" i="32"/>
  <c r="J15" i="32"/>
  <c r="K15" i="32" s="1"/>
  <c r="G45" i="32"/>
  <c r="H45" i="32" s="1"/>
  <c r="G28" i="32"/>
  <c r="H28" i="32" s="1"/>
  <c r="X56" i="32"/>
  <c r="J56" i="32" s="1"/>
  <c r="J2" i="32"/>
  <c r="K2" i="32" s="1"/>
  <c r="J12" i="32"/>
  <c r="J20" i="32"/>
  <c r="J26" i="32"/>
  <c r="J37" i="32"/>
  <c r="J58" i="32"/>
  <c r="AV91" i="32"/>
  <c r="G5" i="32"/>
  <c r="J44" i="32"/>
  <c r="J54" i="32"/>
  <c r="K33" i="32"/>
  <c r="G56" i="32"/>
  <c r="H59" i="32"/>
  <c r="G62" i="32"/>
  <c r="H62" i="32" s="1"/>
  <c r="AN91" i="32"/>
  <c r="J24" i="32"/>
  <c r="J17" i="32"/>
  <c r="K17" i="32" s="1"/>
  <c r="H37" i="32"/>
  <c r="BH91" i="32"/>
  <c r="J32" i="32"/>
  <c r="K32" i="32" s="1"/>
  <c r="J59" i="32"/>
  <c r="K59" i="32" s="1"/>
  <c r="J3" i="32"/>
  <c r="J4" i="32"/>
  <c r="J5" i="32"/>
  <c r="H7" i="32"/>
  <c r="G8" i="32"/>
  <c r="J10" i="32"/>
  <c r="H17" i="32"/>
  <c r="G25" i="32"/>
  <c r="H25" i="32" s="1"/>
  <c r="G40" i="32"/>
  <c r="J46" i="32"/>
  <c r="K46" i="32" s="1"/>
  <c r="G51" i="32"/>
  <c r="J67" i="32"/>
  <c r="K67" i="32" s="1"/>
  <c r="D91" i="32"/>
  <c r="J31" i="32"/>
  <c r="H32" i="32"/>
  <c r="J42" i="32"/>
  <c r="J55" i="32"/>
  <c r="J62" i="32"/>
  <c r="AR91" i="32"/>
  <c r="AZ91" i="32"/>
  <c r="AE91" i="32"/>
  <c r="AF19" i="32"/>
  <c r="J19" i="32" s="1"/>
  <c r="J27" i="32"/>
  <c r="K27" i="32" s="1"/>
  <c r="BK35" i="32"/>
  <c r="AB35" i="32"/>
  <c r="AB91" i="32" s="1"/>
  <c r="G42" i="32"/>
  <c r="J66" i="32"/>
  <c r="G83" i="32"/>
  <c r="H49" i="32"/>
  <c r="J71" i="32"/>
  <c r="K71" i="32" s="1"/>
  <c r="F2" i="32"/>
  <c r="BD91" i="32"/>
  <c r="J16" i="32"/>
  <c r="BK19" i="32"/>
  <c r="G26" i="32"/>
  <c r="J38" i="32"/>
  <c r="K38" i="32" s="1"/>
  <c r="J45" i="32"/>
  <c r="G52" i="32"/>
  <c r="G58" i="32"/>
  <c r="J69" i="32"/>
  <c r="G76" i="32"/>
  <c r="H76" i="32" s="1"/>
  <c r="G39" i="32"/>
  <c r="H39" i="32" s="1"/>
  <c r="J47" i="32"/>
  <c r="J57" i="32"/>
  <c r="J21" i="32"/>
  <c r="J23" i="32"/>
  <c r="J30" i="32"/>
  <c r="K30" i="32" s="1"/>
  <c r="J41" i="32"/>
  <c r="H61" i="32"/>
  <c r="J83" i="32"/>
  <c r="AA91" i="32"/>
  <c r="G64" i="32"/>
  <c r="G74" i="32"/>
  <c r="H74" i="32" s="1"/>
  <c r="J36" i="32"/>
  <c r="K36" i="32" s="1"/>
  <c r="H71" i="32"/>
  <c r="J60" i="32"/>
  <c r="J72" i="32"/>
  <c r="K72" i="32" s="1"/>
  <c r="J73" i="32"/>
  <c r="J85" i="32"/>
  <c r="K85" i="32" s="1"/>
  <c r="J88" i="32"/>
  <c r="K88" i="32" s="1"/>
  <c r="J74" i="32"/>
  <c r="J75" i="32"/>
  <c r="J78" i="32"/>
  <c r="K78" i="32" s="1"/>
  <c r="J90" i="32"/>
  <c r="J80" i="32"/>
  <c r="H89" i="32"/>
  <c r="G90" i="32"/>
  <c r="J82" i="32"/>
  <c r="K82" i="32" s="1"/>
  <c r="F13" i="24"/>
  <c r="BN75" i="26"/>
  <c r="BN77" i="26" s="1"/>
  <c r="BN73" i="26"/>
  <c r="F6" i="24"/>
  <c r="B6" i="24"/>
  <c r="J13" i="4"/>
  <c r="AF91" i="32" l="1"/>
  <c r="K77" i="32"/>
  <c r="N13" i="4"/>
  <c r="N15" i="4" s="1"/>
  <c r="F23" i="7" s="1"/>
  <c r="J11" i="4"/>
  <c r="J15" i="4"/>
  <c r="K84" i="32"/>
  <c r="O93" i="32"/>
  <c r="K10" i="32"/>
  <c r="K14" i="32"/>
  <c r="K65" i="32"/>
  <c r="K9" i="32"/>
  <c r="K43" i="32"/>
  <c r="BK91" i="32"/>
  <c r="K66" i="32"/>
  <c r="H65" i="32"/>
  <c r="K4" i="32"/>
  <c r="K34" i="32"/>
  <c r="K31" i="32"/>
  <c r="K54" i="32"/>
  <c r="K73" i="32"/>
  <c r="K55" i="32"/>
  <c r="X91" i="32"/>
  <c r="H54" i="32"/>
  <c r="K22" i="32"/>
  <c r="K87" i="32"/>
  <c r="K41" i="32"/>
  <c r="K16" i="32"/>
  <c r="K60" i="32"/>
  <c r="K53" i="32"/>
  <c r="K24" i="32"/>
  <c r="H77" i="32"/>
  <c r="K50" i="32"/>
  <c r="K12" i="32"/>
  <c r="H31" i="32"/>
  <c r="K42" i="32"/>
  <c r="K90" i="32"/>
  <c r="K8" i="32"/>
  <c r="J35" i="32"/>
  <c r="J91" i="32" s="1"/>
  <c r="F91" i="32"/>
  <c r="H2" i="32"/>
  <c r="K56" i="32"/>
  <c r="H56" i="32"/>
  <c r="K75" i="32"/>
  <c r="K44" i="32"/>
  <c r="K20" i="32"/>
  <c r="K47" i="32"/>
  <c r="K52" i="32"/>
  <c r="H52" i="32"/>
  <c r="K28" i="32"/>
  <c r="H8" i="32"/>
  <c r="K13" i="32"/>
  <c r="K80" i="32"/>
  <c r="K74" i="32"/>
  <c r="K83" i="32"/>
  <c r="K5" i="32"/>
  <c r="G19" i="32"/>
  <c r="K62" i="32"/>
  <c r="K64" i="32"/>
  <c r="K3" i="32"/>
  <c r="K58" i="32"/>
  <c r="H58" i="32"/>
  <c r="K25" i="32"/>
  <c r="K26" i="32"/>
  <c r="H26" i="32"/>
  <c r="K40" i="32"/>
  <c r="H40" i="32"/>
  <c r="K21" i="32"/>
  <c r="K45" i="32"/>
  <c r="K51" i="32"/>
  <c r="H51" i="32"/>
  <c r="H5" i="32"/>
  <c r="H83" i="32"/>
  <c r="H90" i="32"/>
  <c r="H42" i="32"/>
  <c r="K23" i="32"/>
  <c r="G35" i="32"/>
  <c r="K37" i="32"/>
  <c r="H64" i="32"/>
  <c r="K57" i="32"/>
  <c r="K69" i="32"/>
  <c r="K39" i="32"/>
  <c r="K76" i="32"/>
  <c r="G91" i="32" l="1"/>
  <c r="H35" i="32"/>
  <c r="K35" i="32"/>
  <c r="K19" i="32"/>
  <c r="H19" i="32"/>
  <c r="AU73" i="20"/>
  <c r="H91" i="32" l="1"/>
  <c r="K91" i="32"/>
  <c r="AS104" i="26"/>
  <c r="AI2" i="26" l="1"/>
  <c r="AE19" i="26" l="1"/>
  <c r="AA35" i="26"/>
  <c r="AA23" i="26"/>
  <c r="AA60" i="26"/>
  <c r="W56" i="26"/>
  <c r="W91" i="26"/>
  <c r="W60" i="26"/>
  <c r="AA91" i="26"/>
  <c r="AE91" i="26"/>
  <c r="AI91" i="26"/>
  <c r="AM91" i="26"/>
  <c r="AQ91" i="26"/>
  <c r="AU91" i="26"/>
  <c r="AY91" i="26"/>
  <c r="BC91" i="26"/>
  <c r="BG91" i="26"/>
  <c r="S91" i="26"/>
  <c r="O91" i="26" l="1"/>
  <c r="O93" i="26" s="1"/>
  <c r="B52" i="24" s="1"/>
  <c r="BK102" i="30" l="1"/>
  <c r="BG91" i="30"/>
  <c r="BC91" i="30"/>
  <c r="AY91" i="30"/>
  <c r="AM91" i="30"/>
  <c r="S91" i="30"/>
  <c r="C91" i="30"/>
  <c r="BK90" i="30"/>
  <c r="G90" i="30" s="1"/>
  <c r="BH90" i="30"/>
  <c r="BD90" i="30"/>
  <c r="AZ90" i="30"/>
  <c r="AV90" i="30"/>
  <c r="AR90" i="30"/>
  <c r="AN90" i="30"/>
  <c r="AJ90" i="30"/>
  <c r="AF90" i="30"/>
  <c r="AB90" i="30"/>
  <c r="X90" i="30"/>
  <c r="T90" i="30"/>
  <c r="P90" i="30"/>
  <c r="D90" i="30"/>
  <c r="F90" i="30" s="1"/>
  <c r="H90" i="30" s="1"/>
  <c r="BM89" i="30"/>
  <c r="BK89" i="30"/>
  <c r="G89" i="30" s="1"/>
  <c r="BH89" i="30"/>
  <c r="BD89" i="30"/>
  <c r="AZ89" i="30"/>
  <c r="AV89" i="30"/>
  <c r="AR89" i="30"/>
  <c r="AN89" i="30"/>
  <c r="AJ89" i="30"/>
  <c r="AF89" i="30"/>
  <c r="AB89" i="30"/>
  <c r="X89" i="30"/>
  <c r="T89" i="30"/>
  <c r="P89" i="30"/>
  <c r="D89" i="30"/>
  <c r="F89" i="30" s="1"/>
  <c r="H89" i="30" s="1"/>
  <c r="BH88" i="30"/>
  <c r="BD88" i="30"/>
  <c r="AZ88" i="30"/>
  <c r="AU88" i="30"/>
  <c r="AV88" i="30" s="1"/>
  <c r="AQ88" i="30"/>
  <c r="AN88" i="30"/>
  <c r="AJ88" i="30"/>
  <c r="AF88" i="30"/>
  <c r="AB88" i="30"/>
  <c r="X88" i="30"/>
  <c r="T88" i="30"/>
  <c r="P88" i="30"/>
  <c r="D88" i="30"/>
  <c r="F88" i="30" s="1"/>
  <c r="BK87" i="30"/>
  <c r="BH87" i="30"/>
  <c r="BD87" i="30"/>
  <c r="AZ87" i="30"/>
  <c r="AV87" i="30"/>
  <c r="AR87" i="30"/>
  <c r="AN87" i="30"/>
  <c r="AJ87" i="30"/>
  <c r="AF87" i="30"/>
  <c r="AB87" i="30"/>
  <c r="X87" i="30"/>
  <c r="T87" i="30"/>
  <c r="P87" i="30"/>
  <c r="G87" i="30"/>
  <c r="F87" i="30"/>
  <c r="H87" i="30" s="1"/>
  <c r="D87" i="30"/>
  <c r="BH86" i="30"/>
  <c r="BD86" i="30"/>
  <c r="AZ86" i="30"/>
  <c r="AU86" i="30"/>
  <c r="AV86" i="30" s="1"/>
  <c r="AQ86" i="30"/>
  <c r="BK86" i="30" s="1"/>
  <c r="G86" i="30" s="1"/>
  <c r="AN86" i="30"/>
  <c r="AJ86" i="30"/>
  <c r="AF86" i="30"/>
  <c r="AB86" i="30"/>
  <c r="X86" i="30"/>
  <c r="T86" i="30"/>
  <c r="P86" i="30"/>
  <c r="D86" i="30"/>
  <c r="F86" i="30" s="1"/>
  <c r="H86" i="30" s="1"/>
  <c r="BK85" i="30"/>
  <c r="G85" i="30" s="1"/>
  <c r="BH85" i="30"/>
  <c r="BD85" i="30"/>
  <c r="AZ85" i="30"/>
  <c r="AV85" i="30"/>
  <c r="AR85" i="30"/>
  <c r="AN85" i="30"/>
  <c r="AJ85" i="30"/>
  <c r="AF85" i="30"/>
  <c r="AB85" i="30"/>
  <c r="X85" i="30"/>
  <c r="T85" i="30"/>
  <c r="P85" i="30"/>
  <c r="F85" i="30"/>
  <c r="D85" i="30"/>
  <c r="BK84" i="30"/>
  <c r="G84" i="30" s="1"/>
  <c r="BH84" i="30"/>
  <c r="BD84" i="30"/>
  <c r="AZ84" i="30"/>
  <c r="AV84" i="30"/>
  <c r="AR84" i="30"/>
  <c r="AN84" i="30"/>
  <c r="AJ84" i="30"/>
  <c r="AF84" i="30"/>
  <c r="AB84" i="30"/>
  <c r="X84" i="30"/>
  <c r="T84" i="30"/>
  <c r="J84" i="30" s="1"/>
  <c r="P84" i="30"/>
  <c r="D84" i="30"/>
  <c r="F84" i="30" s="1"/>
  <c r="H84" i="30" s="1"/>
  <c r="BK83" i="30"/>
  <c r="BH83" i="30"/>
  <c r="BD83" i="30"/>
  <c r="AZ83" i="30"/>
  <c r="AV83" i="30"/>
  <c r="AR83" i="30"/>
  <c r="AN83" i="30"/>
  <c r="AJ83" i="30"/>
  <c r="AF83" i="30"/>
  <c r="AB83" i="30"/>
  <c r="X83" i="30"/>
  <c r="T83" i="30"/>
  <c r="P83" i="30"/>
  <c r="G83" i="30"/>
  <c r="D83" i="30"/>
  <c r="F83" i="30" s="1"/>
  <c r="H83" i="30" s="1"/>
  <c r="BH82" i="30"/>
  <c r="BD82" i="30"/>
  <c r="AZ82" i="30"/>
  <c r="AV82" i="30"/>
  <c r="AR82" i="30"/>
  <c r="AN82" i="30"/>
  <c r="AJ82" i="30"/>
  <c r="AE82" i="30"/>
  <c r="AB82" i="30"/>
  <c r="X82" i="30"/>
  <c r="T82" i="30"/>
  <c r="P82" i="30"/>
  <c r="D82" i="30"/>
  <c r="F82" i="30" s="1"/>
  <c r="BK81" i="30"/>
  <c r="G81" i="30" s="1"/>
  <c r="BH81" i="30"/>
  <c r="BD81" i="30"/>
  <c r="AZ81" i="30"/>
  <c r="AV81" i="30"/>
  <c r="AR81" i="30"/>
  <c r="AN81" i="30"/>
  <c r="AJ81" i="30"/>
  <c r="AF81" i="30"/>
  <c r="AB81" i="30"/>
  <c r="X81" i="30"/>
  <c r="T81" i="30"/>
  <c r="P81" i="30"/>
  <c r="D81" i="30"/>
  <c r="F81" i="30" s="1"/>
  <c r="BK80" i="30"/>
  <c r="BH80" i="30"/>
  <c r="BD80" i="30"/>
  <c r="AZ80" i="30"/>
  <c r="AV80" i="30"/>
  <c r="AR80" i="30"/>
  <c r="AN80" i="30"/>
  <c r="AJ80" i="30"/>
  <c r="AF80" i="30"/>
  <c r="AB80" i="30"/>
  <c r="X80" i="30"/>
  <c r="T80" i="30"/>
  <c r="P80" i="30"/>
  <c r="J80" i="30" s="1"/>
  <c r="D80" i="30"/>
  <c r="F80" i="30" s="1"/>
  <c r="BK79" i="30"/>
  <c r="G79" i="30" s="1"/>
  <c r="BH79" i="30"/>
  <c r="BD79" i="30"/>
  <c r="AZ79" i="30"/>
  <c r="AV79" i="30"/>
  <c r="AR79" i="30"/>
  <c r="AN79" i="30"/>
  <c r="AJ79" i="30"/>
  <c r="AF79" i="30"/>
  <c r="AB79" i="30"/>
  <c r="X79" i="30"/>
  <c r="T79" i="30"/>
  <c r="P79" i="30"/>
  <c r="D79" i="30"/>
  <c r="F79" i="30" s="1"/>
  <c r="BK78" i="30"/>
  <c r="BH78" i="30"/>
  <c r="BD78" i="30"/>
  <c r="AZ78" i="30"/>
  <c r="AV78" i="30"/>
  <c r="AR78" i="30"/>
  <c r="AN78" i="30"/>
  <c r="AJ78" i="30"/>
  <c r="AF78" i="30"/>
  <c r="AB78" i="30"/>
  <c r="X78" i="30"/>
  <c r="T78" i="30"/>
  <c r="P78" i="30"/>
  <c r="D78" i="30"/>
  <c r="F78" i="30" s="1"/>
  <c r="BK77" i="30"/>
  <c r="BH77" i="30"/>
  <c r="BD77" i="30"/>
  <c r="AZ77" i="30"/>
  <c r="AV77" i="30"/>
  <c r="AR77" i="30"/>
  <c r="AN77" i="30"/>
  <c r="AJ77" i="30"/>
  <c r="AF77" i="30"/>
  <c r="AB77" i="30"/>
  <c r="X77" i="30"/>
  <c r="T77" i="30"/>
  <c r="P77" i="30"/>
  <c r="G77" i="30"/>
  <c r="D77" i="30"/>
  <c r="F77" i="30" s="1"/>
  <c r="BK76" i="30"/>
  <c r="BH76" i="30"/>
  <c r="BD76" i="30"/>
  <c r="AZ76" i="30"/>
  <c r="AV76" i="30"/>
  <c r="AR76" i="30"/>
  <c r="AN76" i="30"/>
  <c r="AJ76" i="30"/>
  <c r="AF76" i="30"/>
  <c r="AB76" i="30"/>
  <c r="X76" i="30"/>
  <c r="T76" i="30"/>
  <c r="P76" i="30"/>
  <c r="D76" i="30"/>
  <c r="F76" i="30" s="1"/>
  <c r="BK75" i="30"/>
  <c r="G75" i="30" s="1"/>
  <c r="BH75" i="30"/>
  <c r="BD75" i="30"/>
  <c r="AZ75" i="30"/>
  <c r="AV75" i="30"/>
  <c r="AR75" i="30"/>
  <c r="AN75" i="30"/>
  <c r="AJ75" i="30"/>
  <c r="AF75" i="30"/>
  <c r="AB75" i="30"/>
  <c r="X75" i="30"/>
  <c r="T75" i="30"/>
  <c r="P75" i="30"/>
  <c r="D75" i="30"/>
  <c r="F75" i="30" s="1"/>
  <c r="BK74" i="30"/>
  <c r="BH74" i="30"/>
  <c r="BD74" i="30"/>
  <c r="AZ74" i="30"/>
  <c r="AV74" i="30"/>
  <c r="AR74" i="30"/>
  <c r="AN74" i="30"/>
  <c r="AJ74" i="30"/>
  <c r="AF74" i="30"/>
  <c r="AB74" i="30"/>
  <c r="X74" i="30"/>
  <c r="T74" i="30"/>
  <c r="P74" i="30"/>
  <c r="J74" i="30" s="1"/>
  <c r="G74" i="30"/>
  <c r="D74" i="30"/>
  <c r="F74" i="30" s="1"/>
  <c r="H74" i="30" s="1"/>
  <c r="BK73" i="30"/>
  <c r="BH73" i="30"/>
  <c r="BD73" i="30"/>
  <c r="AZ73" i="30"/>
  <c r="AV73" i="30"/>
  <c r="AR73" i="30"/>
  <c r="AN73" i="30"/>
  <c r="AJ73" i="30"/>
  <c r="AF73" i="30"/>
  <c r="AB73" i="30"/>
  <c r="X73" i="30"/>
  <c r="T73" i="30"/>
  <c r="P73" i="30"/>
  <c r="D73" i="30"/>
  <c r="F73" i="30" s="1"/>
  <c r="BK72" i="30"/>
  <c r="G72" i="30" s="1"/>
  <c r="BH72" i="30"/>
  <c r="BD72" i="30"/>
  <c r="AZ72" i="30"/>
  <c r="AV72" i="30"/>
  <c r="AR72" i="30"/>
  <c r="AN72" i="30"/>
  <c r="AJ72" i="30"/>
  <c r="AF72" i="30"/>
  <c r="AB72" i="30"/>
  <c r="X72" i="30"/>
  <c r="T72" i="30"/>
  <c r="P72" i="30"/>
  <c r="D72" i="30"/>
  <c r="F72" i="30" s="1"/>
  <c r="BK71" i="30"/>
  <c r="BH71" i="30"/>
  <c r="BD71" i="30"/>
  <c r="AZ71" i="30"/>
  <c r="AV71" i="30"/>
  <c r="AR71" i="30"/>
  <c r="AN71" i="30"/>
  <c r="AJ71" i="30"/>
  <c r="AF71" i="30"/>
  <c r="AB71" i="30"/>
  <c r="X71" i="30"/>
  <c r="T71" i="30"/>
  <c r="P71" i="30"/>
  <c r="J71" i="30" s="1"/>
  <c r="G71" i="30"/>
  <c r="D71" i="30"/>
  <c r="F71" i="30" s="1"/>
  <c r="H71" i="30" s="1"/>
  <c r="BK70" i="30"/>
  <c r="G70" i="30" s="1"/>
  <c r="BH70" i="30"/>
  <c r="BD70" i="30"/>
  <c r="AZ70" i="30"/>
  <c r="AV70" i="30"/>
  <c r="AR70" i="30"/>
  <c r="AN70" i="30"/>
  <c r="AJ70" i="30"/>
  <c r="AF70" i="30"/>
  <c r="AB70" i="30"/>
  <c r="X70" i="30"/>
  <c r="T70" i="30"/>
  <c r="P70" i="30"/>
  <c r="J70" i="30" s="1"/>
  <c r="D70" i="30"/>
  <c r="F70" i="30" s="1"/>
  <c r="BK69" i="30"/>
  <c r="G69" i="30" s="1"/>
  <c r="BH69" i="30"/>
  <c r="BD69" i="30"/>
  <c r="AZ69" i="30"/>
  <c r="AV69" i="30"/>
  <c r="AR69" i="30"/>
  <c r="AN69" i="30"/>
  <c r="AJ69" i="30"/>
  <c r="AF69" i="30"/>
  <c r="AB69" i="30"/>
  <c r="X69" i="30"/>
  <c r="T69" i="30"/>
  <c r="P69" i="30"/>
  <c r="D69" i="30"/>
  <c r="F69" i="30" s="1"/>
  <c r="BK68" i="30"/>
  <c r="BH68" i="30"/>
  <c r="BD68" i="30"/>
  <c r="AZ68" i="30"/>
  <c r="AV68" i="30"/>
  <c r="AR68" i="30"/>
  <c r="AN68" i="30"/>
  <c r="AJ68" i="30"/>
  <c r="AF68" i="30"/>
  <c r="AB68" i="30"/>
  <c r="X68" i="30"/>
  <c r="T68" i="30"/>
  <c r="P68" i="30"/>
  <c r="J68" i="30" s="1"/>
  <c r="G68" i="30"/>
  <c r="D68" i="30"/>
  <c r="F68" i="30" s="1"/>
  <c r="H68" i="30" s="1"/>
  <c r="BK67" i="30"/>
  <c r="BH67" i="30"/>
  <c r="BD67" i="30"/>
  <c r="AZ67" i="30"/>
  <c r="AV67" i="30"/>
  <c r="AR67" i="30"/>
  <c r="AN67" i="30"/>
  <c r="AJ67" i="30"/>
  <c r="AF67" i="30"/>
  <c r="AB67" i="30"/>
  <c r="X67" i="30"/>
  <c r="T67" i="30"/>
  <c r="P67" i="30"/>
  <c r="J67" i="30" s="1"/>
  <c r="G67" i="30"/>
  <c r="D67" i="30"/>
  <c r="F67" i="30" s="1"/>
  <c r="H67" i="30" s="1"/>
  <c r="BK66" i="30"/>
  <c r="G66" i="30" s="1"/>
  <c r="BH66" i="30"/>
  <c r="BD66" i="30"/>
  <c r="AZ66" i="30"/>
  <c r="AV66" i="30"/>
  <c r="AR66" i="30"/>
  <c r="AN66" i="30"/>
  <c r="AJ66" i="30"/>
  <c r="AF66" i="30"/>
  <c r="AB66" i="30"/>
  <c r="X66" i="30"/>
  <c r="T66" i="30"/>
  <c r="P66" i="30"/>
  <c r="D66" i="30"/>
  <c r="F66" i="30" s="1"/>
  <c r="BK65" i="30"/>
  <c r="BH65" i="30"/>
  <c r="BD65" i="30"/>
  <c r="AZ65" i="30"/>
  <c r="AV65" i="30"/>
  <c r="AR65" i="30"/>
  <c r="AN65" i="30"/>
  <c r="AJ65" i="30"/>
  <c r="AF65" i="30"/>
  <c r="AB65" i="30"/>
  <c r="X65" i="30"/>
  <c r="T65" i="30"/>
  <c r="P65" i="30"/>
  <c r="J65" i="30" s="1"/>
  <c r="G65" i="30"/>
  <c r="F65" i="30"/>
  <c r="D65" i="30"/>
  <c r="BK64" i="30"/>
  <c r="BH64" i="30"/>
  <c r="BD64" i="30"/>
  <c r="AZ64" i="30"/>
  <c r="AV64" i="30"/>
  <c r="AR64" i="30"/>
  <c r="AN64" i="30"/>
  <c r="AJ64" i="30"/>
  <c r="AF64" i="30"/>
  <c r="AB64" i="30"/>
  <c r="X64" i="30"/>
  <c r="T64" i="30"/>
  <c r="P64" i="30"/>
  <c r="J64" i="30" s="1"/>
  <c r="G64" i="30"/>
  <c r="F64" i="30"/>
  <c r="D64" i="30"/>
  <c r="BK63" i="30"/>
  <c r="G63" i="30" s="1"/>
  <c r="BH63" i="30"/>
  <c r="BD63" i="30"/>
  <c r="AZ63" i="30"/>
  <c r="AV63" i="30"/>
  <c r="AR63" i="30"/>
  <c r="AN63" i="30"/>
  <c r="AJ63" i="30"/>
  <c r="AF63" i="30"/>
  <c r="AB63" i="30"/>
  <c r="X63" i="30"/>
  <c r="T63" i="30"/>
  <c r="P63" i="30"/>
  <c r="D63" i="30"/>
  <c r="F63" i="30" s="1"/>
  <c r="H63" i="30" s="1"/>
  <c r="BK62" i="30"/>
  <c r="G62" i="30" s="1"/>
  <c r="BH62" i="30"/>
  <c r="BD62" i="30"/>
  <c r="AZ62" i="30"/>
  <c r="AV62" i="30"/>
  <c r="AR62" i="30"/>
  <c r="AN62" i="30"/>
  <c r="AJ62" i="30"/>
  <c r="AF62" i="30"/>
  <c r="AB62" i="30"/>
  <c r="X62" i="30"/>
  <c r="T62" i="30"/>
  <c r="P62" i="30"/>
  <c r="D62" i="30"/>
  <c r="F62" i="30" s="1"/>
  <c r="BK61" i="30"/>
  <c r="BH61" i="30"/>
  <c r="BD61" i="30"/>
  <c r="AZ61" i="30"/>
  <c r="AV61" i="30"/>
  <c r="AR61" i="30"/>
  <c r="AN61" i="30"/>
  <c r="AJ61" i="30"/>
  <c r="AF61" i="30"/>
  <c r="AB61" i="30"/>
  <c r="X61" i="30"/>
  <c r="T61" i="30"/>
  <c r="P61" i="30"/>
  <c r="D61" i="30"/>
  <c r="F61" i="30" s="1"/>
  <c r="BK60" i="30"/>
  <c r="G60" i="30" s="1"/>
  <c r="BH60" i="30"/>
  <c r="BD60" i="30"/>
  <c r="AZ60" i="30"/>
  <c r="AV60" i="30"/>
  <c r="AR60" i="30"/>
  <c r="AN60" i="30"/>
  <c r="AJ60" i="30"/>
  <c r="AF60" i="30"/>
  <c r="AB60" i="30"/>
  <c r="X60" i="30"/>
  <c r="T60" i="30"/>
  <c r="P60" i="30"/>
  <c r="D60" i="30"/>
  <c r="F60" i="30" s="1"/>
  <c r="BK59" i="30"/>
  <c r="G59" i="30" s="1"/>
  <c r="BH59" i="30"/>
  <c r="BD59" i="30"/>
  <c r="AZ59" i="30"/>
  <c r="AV59" i="30"/>
  <c r="AR59" i="30"/>
  <c r="AN59" i="30"/>
  <c r="AJ59" i="30"/>
  <c r="AF59" i="30"/>
  <c r="AB59" i="30"/>
  <c r="X59" i="30"/>
  <c r="T59" i="30"/>
  <c r="P59" i="30"/>
  <c r="D59" i="30"/>
  <c r="F59" i="30" s="1"/>
  <c r="BK58" i="30"/>
  <c r="G58" i="30" s="1"/>
  <c r="BH58" i="30"/>
  <c r="BD58" i="30"/>
  <c r="AZ58" i="30"/>
  <c r="AV58" i="30"/>
  <c r="AR58" i="30"/>
  <c r="AN58" i="30"/>
  <c r="AJ58" i="30"/>
  <c r="AF58" i="30"/>
  <c r="AB58" i="30"/>
  <c r="X58" i="30"/>
  <c r="T58" i="30"/>
  <c r="P58" i="30"/>
  <c r="D58" i="30"/>
  <c r="F58" i="30" s="1"/>
  <c r="BK57" i="30"/>
  <c r="G57" i="30" s="1"/>
  <c r="BH57" i="30"/>
  <c r="BD57" i="30"/>
  <c r="AZ57" i="30"/>
  <c r="AV57" i="30"/>
  <c r="AR57" i="30"/>
  <c r="AN57" i="30"/>
  <c r="AJ57" i="30"/>
  <c r="AF57" i="30"/>
  <c r="AB57" i="30"/>
  <c r="X57" i="30"/>
  <c r="T57" i="30"/>
  <c r="P57" i="30"/>
  <c r="D57" i="30"/>
  <c r="F57" i="30" s="1"/>
  <c r="BH56" i="30"/>
  <c r="BD56" i="30"/>
  <c r="AZ56" i="30"/>
  <c r="AU56" i="30"/>
  <c r="AV56" i="30" s="1"/>
  <c r="AQ56" i="30"/>
  <c r="AR56" i="30" s="1"/>
  <c r="AN56" i="30"/>
  <c r="AJ56" i="30"/>
  <c r="AF56" i="30"/>
  <c r="AA56" i="30"/>
  <c r="X56" i="30"/>
  <c r="T56" i="30"/>
  <c r="O56" i="30"/>
  <c r="O91" i="30" s="1"/>
  <c r="D56" i="30"/>
  <c r="F56" i="30" s="1"/>
  <c r="BH55" i="30"/>
  <c r="BD55" i="30"/>
  <c r="AZ55" i="30"/>
  <c r="AU55" i="30"/>
  <c r="AV55" i="30" s="1"/>
  <c r="AR55" i="30"/>
  <c r="AN55" i="30"/>
  <c r="AI55" i="30"/>
  <c r="AI91" i="30" s="1"/>
  <c r="AF55" i="30"/>
  <c r="AB55" i="30"/>
  <c r="W55" i="30"/>
  <c r="W91" i="30" s="1"/>
  <c r="T55" i="30"/>
  <c r="P55" i="30"/>
  <c r="D55" i="30"/>
  <c r="F55" i="30" s="1"/>
  <c r="BK54" i="30"/>
  <c r="G54" i="30" s="1"/>
  <c r="BH54" i="30"/>
  <c r="BD54" i="30"/>
  <c r="AZ54" i="30"/>
  <c r="AV54" i="30"/>
  <c r="AR54" i="30"/>
  <c r="AN54" i="30"/>
  <c r="AJ54" i="30"/>
  <c r="AF54" i="30"/>
  <c r="AB54" i="30"/>
  <c r="X54" i="30"/>
  <c r="T54" i="30"/>
  <c r="P54" i="30"/>
  <c r="J54" i="30"/>
  <c r="D54" i="30"/>
  <c r="F54" i="30" s="1"/>
  <c r="BK53" i="30"/>
  <c r="G53" i="30" s="1"/>
  <c r="BH53" i="30"/>
  <c r="BD53" i="30"/>
  <c r="AZ53" i="30"/>
  <c r="AV53" i="30"/>
  <c r="AR53" i="30"/>
  <c r="AN53" i="30"/>
  <c r="AJ53" i="30"/>
  <c r="AF53" i="30"/>
  <c r="AB53" i="30"/>
  <c r="X53" i="30"/>
  <c r="T53" i="30"/>
  <c r="P53" i="30"/>
  <c r="D53" i="30"/>
  <c r="F53" i="30" s="1"/>
  <c r="BK52" i="30"/>
  <c r="G52" i="30" s="1"/>
  <c r="BH52" i="30"/>
  <c r="BD52" i="30"/>
  <c r="AZ52" i="30"/>
  <c r="AV52" i="30"/>
  <c r="AR52" i="30"/>
  <c r="AN52" i="30"/>
  <c r="AJ52" i="30"/>
  <c r="AF52" i="30"/>
  <c r="AB52" i="30"/>
  <c r="X52" i="30"/>
  <c r="T52" i="30"/>
  <c r="P52" i="30"/>
  <c r="J52" i="30"/>
  <c r="K52" i="30" s="1"/>
  <c r="D52" i="30"/>
  <c r="F52" i="30" s="1"/>
  <c r="H52" i="30" s="1"/>
  <c r="BK51" i="30"/>
  <c r="G51" i="30" s="1"/>
  <c r="BH51" i="30"/>
  <c r="BD51" i="30"/>
  <c r="AZ51" i="30"/>
  <c r="AV51" i="30"/>
  <c r="AR51" i="30"/>
  <c r="AN51" i="30"/>
  <c r="AJ51" i="30"/>
  <c r="AF51" i="30"/>
  <c r="AB51" i="30"/>
  <c r="X51" i="30"/>
  <c r="T51" i="30"/>
  <c r="P51" i="30"/>
  <c r="D51" i="30"/>
  <c r="F51" i="30" s="1"/>
  <c r="BK50" i="30"/>
  <c r="G50" i="30" s="1"/>
  <c r="BH50" i="30"/>
  <c r="BD50" i="30"/>
  <c r="AZ50" i="30"/>
  <c r="AV50" i="30"/>
  <c r="AR50" i="30"/>
  <c r="AN50" i="30"/>
  <c r="AJ50" i="30"/>
  <c r="AF50" i="30"/>
  <c r="AB50" i="30"/>
  <c r="X50" i="30"/>
  <c r="T50" i="30"/>
  <c r="P50" i="30"/>
  <c r="D50" i="30"/>
  <c r="F50" i="30" s="1"/>
  <c r="H50" i="30" s="1"/>
  <c r="BK49" i="30"/>
  <c r="BH49" i="30"/>
  <c r="BD49" i="30"/>
  <c r="AZ49" i="30"/>
  <c r="AV49" i="30"/>
  <c r="AR49" i="30"/>
  <c r="AN49" i="30"/>
  <c r="AJ49" i="30"/>
  <c r="AF49" i="30"/>
  <c r="AB49" i="30"/>
  <c r="X49" i="30"/>
  <c r="T49" i="30"/>
  <c r="P49" i="30"/>
  <c r="G49" i="30"/>
  <c r="D49" i="30"/>
  <c r="F49" i="30" s="1"/>
  <c r="H49" i="30" s="1"/>
  <c r="BH48" i="30"/>
  <c r="BD48" i="30"/>
  <c r="AZ48" i="30"/>
  <c r="AU48" i="30"/>
  <c r="AV48" i="30" s="1"/>
  <c r="AQ48" i="30"/>
  <c r="AN48" i="30"/>
  <c r="AJ48" i="30"/>
  <c r="AF48" i="30"/>
  <c r="AB48" i="30"/>
  <c r="X48" i="30"/>
  <c r="T48" i="30"/>
  <c r="P48" i="30"/>
  <c r="D48" i="30"/>
  <c r="F48" i="30" s="1"/>
  <c r="BK47" i="30"/>
  <c r="G47" i="30" s="1"/>
  <c r="BH47" i="30"/>
  <c r="BD47" i="30"/>
  <c r="AZ47" i="30"/>
  <c r="AV47" i="30"/>
  <c r="AR47" i="30"/>
  <c r="AN47" i="30"/>
  <c r="AJ47" i="30"/>
  <c r="AF47" i="30"/>
  <c r="AB47" i="30"/>
  <c r="X47" i="30"/>
  <c r="T47" i="30"/>
  <c r="P47" i="30"/>
  <c r="D47" i="30"/>
  <c r="F47" i="30" s="1"/>
  <c r="BH46" i="30"/>
  <c r="BD46" i="30"/>
  <c r="AZ46" i="30"/>
  <c r="AV46" i="30"/>
  <c r="AQ46" i="30"/>
  <c r="BK46" i="30" s="1"/>
  <c r="AN46" i="30"/>
  <c r="AJ46" i="30"/>
  <c r="AF46" i="30"/>
  <c r="AB46" i="30"/>
  <c r="X46" i="30"/>
  <c r="T46" i="30"/>
  <c r="P46" i="30"/>
  <c r="D46" i="30"/>
  <c r="F46" i="30" s="1"/>
  <c r="BK45" i="30"/>
  <c r="G45" i="30" s="1"/>
  <c r="BH45" i="30"/>
  <c r="BD45" i="30"/>
  <c r="AZ45" i="30"/>
  <c r="AV45" i="30"/>
  <c r="AR45" i="30"/>
  <c r="AN45" i="30"/>
  <c r="AJ45" i="30"/>
  <c r="AF45" i="30"/>
  <c r="AB45" i="30"/>
  <c r="X45" i="30"/>
  <c r="T45" i="30"/>
  <c r="P45" i="30"/>
  <c r="J45" i="30" s="1"/>
  <c r="D45" i="30"/>
  <c r="F45" i="30" s="1"/>
  <c r="BH44" i="30"/>
  <c r="BD44" i="30"/>
  <c r="AZ44" i="30"/>
  <c r="AV44" i="30"/>
  <c r="AQ44" i="30"/>
  <c r="BK44" i="30" s="1"/>
  <c r="AN44" i="30"/>
  <c r="AJ44" i="30"/>
  <c r="AF44" i="30"/>
  <c r="AB44" i="30"/>
  <c r="X44" i="30"/>
  <c r="T44" i="30"/>
  <c r="P44" i="30"/>
  <c r="D44" i="30"/>
  <c r="F44" i="30" s="1"/>
  <c r="BK43" i="30"/>
  <c r="BH43" i="30"/>
  <c r="BD43" i="30"/>
  <c r="AZ43" i="30"/>
  <c r="AV43" i="30"/>
  <c r="AR43" i="30"/>
  <c r="AN43" i="30"/>
  <c r="AJ43" i="30"/>
  <c r="AF43" i="30"/>
  <c r="AB43" i="30"/>
  <c r="X43" i="30"/>
  <c r="T43" i="30"/>
  <c r="P43" i="30"/>
  <c r="G43" i="30"/>
  <c r="D43" i="30"/>
  <c r="F43" i="30" s="1"/>
  <c r="H43" i="30" s="1"/>
  <c r="BK42" i="30"/>
  <c r="G42" i="30" s="1"/>
  <c r="BH42" i="30"/>
  <c r="BD42" i="30"/>
  <c r="AZ42" i="30"/>
  <c r="AV42" i="30"/>
  <c r="AR42" i="30"/>
  <c r="AN42" i="30"/>
  <c r="AJ42" i="30"/>
  <c r="AF42" i="30"/>
  <c r="AB42" i="30"/>
  <c r="X42" i="30"/>
  <c r="T42" i="30"/>
  <c r="P42" i="30"/>
  <c r="J42" i="30"/>
  <c r="K42" i="30" s="1"/>
  <c r="D42" i="30"/>
  <c r="F42" i="30" s="1"/>
  <c r="BK41" i="30"/>
  <c r="G41" i="30" s="1"/>
  <c r="BH41" i="30"/>
  <c r="BD41" i="30"/>
  <c r="AZ41" i="30"/>
  <c r="AV41" i="30"/>
  <c r="AR41" i="30"/>
  <c r="AN41" i="30"/>
  <c r="AJ41" i="30"/>
  <c r="AF41" i="30"/>
  <c r="AB41" i="30"/>
  <c r="X41" i="30"/>
  <c r="T41" i="30"/>
  <c r="P41" i="30"/>
  <c r="D41" i="30"/>
  <c r="F41" i="30" s="1"/>
  <c r="BK40" i="30"/>
  <c r="BH40" i="30"/>
  <c r="BD40" i="30"/>
  <c r="AZ40" i="30"/>
  <c r="AV40" i="30"/>
  <c r="AR40" i="30"/>
  <c r="AN40" i="30"/>
  <c r="AJ40" i="30"/>
  <c r="AF40" i="30"/>
  <c r="AB40" i="30"/>
  <c r="X40" i="30"/>
  <c r="T40" i="30"/>
  <c r="P40" i="30"/>
  <c r="D40" i="30"/>
  <c r="F40" i="30" s="1"/>
  <c r="BK39" i="30"/>
  <c r="G39" i="30" s="1"/>
  <c r="BH39" i="30"/>
  <c r="BD39" i="30"/>
  <c r="AZ39" i="30"/>
  <c r="AV39" i="30"/>
  <c r="AR39" i="30"/>
  <c r="AN39" i="30"/>
  <c r="AJ39" i="30"/>
  <c r="AF39" i="30"/>
  <c r="AB39" i="30"/>
  <c r="X39" i="30"/>
  <c r="T39" i="30"/>
  <c r="P39" i="30"/>
  <c r="J39" i="30"/>
  <c r="D39" i="30"/>
  <c r="F39" i="30" s="1"/>
  <c r="BK38" i="30"/>
  <c r="G38" i="30" s="1"/>
  <c r="BH38" i="30"/>
  <c r="BD38" i="30"/>
  <c r="AZ38" i="30"/>
  <c r="AV38" i="30"/>
  <c r="AR38" i="30"/>
  <c r="AN38" i="30"/>
  <c r="AJ38" i="30"/>
  <c r="AF38" i="30"/>
  <c r="AB38" i="30"/>
  <c r="X38" i="30"/>
  <c r="T38" i="30"/>
  <c r="P38" i="30"/>
  <c r="D38" i="30"/>
  <c r="F38" i="30" s="1"/>
  <c r="BK37" i="30"/>
  <c r="G37" i="30" s="1"/>
  <c r="BH37" i="30"/>
  <c r="BD37" i="30"/>
  <c r="AZ37" i="30"/>
  <c r="AV37" i="30"/>
  <c r="AR37" i="30"/>
  <c r="AN37" i="30"/>
  <c r="AJ37" i="30"/>
  <c r="AF37" i="30"/>
  <c r="AB37" i="30"/>
  <c r="X37" i="30"/>
  <c r="T37" i="30"/>
  <c r="P37" i="30"/>
  <c r="J37" i="30"/>
  <c r="D37" i="30"/>
  <c r="F37" i="30" s="1"/>
  <c r="BK36" i="30"/>
  <c r="G36" i="30" s="1"/>
  <c r="BH36" i="30"/>
  <c r="BD36" i="30"/>
  <c r="AZ36" i="30"/>
  <c r="AV36" i="30"/>
  <c r="AR36" i="30"/>
  <c r="AN36" i="30"/>
  <c r="AJ36" i="30"/>
  <c r="AF36" i="30"/>
  <c r="AB36" i="30"/>
  <c r="X36" i="30"/>
  <c r="T36" i="30"/>
  <c r="P36" i="30"/>
  <c r="D36" i="30"/>
  <c r="F36" i="30" s="1"/>
  <c r="BK35" i="30"/>
  <c r="G35" i="30" s="1"/>
  <c r="BH35" i="30"/>
  <c r="BD35" i="30"/>
  <c r="AZ35" i="30"/>
  <c r="AV35" i="30"/>
  <c r="AR35" i="30"/>
  <c r="AN35" i="30"/>
  <c r="AJ35" i="30"/>
  <c r="AF35" i="30"/>
  <c r="AB35" i="30"/>
  <c r="X35" i="30"/>
  <c r="T35" i="30"/>
  <c r="P35" i="30"/>
  <c r="D35" i="30"/>
  <c r="F35" i="30" s="1"/>
  <c r="BK34" i="30"/>
  <c r="G34" i="30" s="1"/>
  <c r="BH34" i="30"/>
  <c r="BD34" i="30"/>
  <c r="AZ34" i="30"/>
  <c r="AV34" i="30"/>
  <c r="AR34" i="30"/>
  <c r="AN34" i="30"/>
  <c r="AJ34" i="30"/>
  <c r="AF34" i="30"/>
  <c r="AB34" i="30"/>
  <c r="X34" i="30"/>
  <c r="T34" i="30"/>
  <c r="P34" i="30"/>
  <c r="D34" i="30"/>
  <c r="F34" i="30" s="1"/>
  <c r="BK33" i="30"/>
  <c r="G33" i="30" s="1"/>
  <c r="BH33" i="30"/>
  <c r="BD33" i="30"/>
  <c r="AZ33" i="30"/>
  <c r="AV33" i="30"/>
  <c r="AR33" i="30"/>
  <c r="AN33" i="30"/>
  <c r="AJ33" i="30"/>
  <c r="AF33" i="30"/>
  <c r="AB33" i="30"/>
  <c r="X33" i="30"/>
  <c r="T33" i="30"/>
  <c r="P33" i="30"/>
  <c r="J33" i="30" s="1"/>
  <c r="K33" i="30"/>
  <c r="D33" i="30"/>
  <c r="F33" i="30" s="1"/>
  <c r="BM32" i="30"/>
  <c r="BM44" i="30" s="1"/>
  <c r="BK32" i="30"/>
  <c r="G32" i="30" s="1"/>
  <c r="BH32" i="30"/>
  <c r="BD32" i="30"/>
  <c r="AZ32" i="30"/>
  <c r="AV32" i="30"/>
  <c r="AQ32" i="30"/>
  <c r="AR32" i="30" s="1"/>
  <c r="AN32" i="30"/>
  <c r="AJ32" i="30"/>
  <c r="AF32" i="30"/>
  <c r="AB32" i="30"/>
  <c r="X32" i="30"/>
  <c r="T32" i="30"/>
  <c r="P32" i="30"/>
  <c r="D32" i="30"/>
  <c r="F32" i="30" s="1"/>
  <c r="BK31" i="30"/>
  <c r="BH31" i="30"/>
  <c r="BD31" i="30"/>
  <c r="AZ31" i="30"/>
  <c r="AV31" i="30"/>
  <c r="AR31" i="30"/>
  <c r="AN31" i="30"/>
  <c r="AJ31" i="30"/>
  <c r="AF31" i="30"/>
  <c r="AB31" i="30"/>
  <c r="X31" i="30"/>
  <c r="T31" i="30"/>
  <c r="P31" i="30"/>
  <c r="J31" i="30" s="1"/>
  <c r="F31" i="30"/>
  <c r="D31" i="30"/>
  <c r="BK30" i="30"/>
  <c r="BH30" i="30"/>
  <c r="BD30" i="30"/>
  <c r="AZ30" i="30"/>
  <c r="AV30" i="30"/>
  <c r="AR30" i="30"/>
  <c r="AN30" i="30"/>
  <c r="AJ30" i="30"/>
  <c r="AF30" i="30"/>
  <c r="AB30" i="30"/>
  <c r="X30" i="30"/>
  <c r="T30" i="30"/>
  <c r="P30" i="30"/>
  <c r="J30" i="30"/>
  <c r="D30" i="30"/>
  <c r="F30" i="30" s="1"/>
  <c r="BK29" i="30"/>
  <c r="BH29" i="30"/>
  <c r="BD29" i="30"/>
  <c r="AZ29" i="30"/>
  <c r="AV29" i="30"/>
  <c r="AR29" i="30"/>
  <c r="AN29" i="30"/>
  <c r="AJ29" i="30"/>
  <c r="AF29" i="30"/>
  <c r="AB29" i="30"/>
  <c r="X29" i="30"/>
  <c r="T29" i="30"/>
  <c r="P29" i="30"/>
  <c r="D29" i="30"/>
  <c r="F29" i="30" s="1"/>
  <c r="BK28" i="30"/>
  <c r="BH28" i="30"/>
  <c r="BD28" i="30"/>
  <c r="AZ28" i="30"/>
  <c r="AV28" i="30"/>
  <c r="AR28" i="30"/>
  <c r="AN28" i="30"/>
  <c r="AJ28" i="30"/>
  <c r="AF28" i="30"/>
  <c r="AB28" i="30"/>
  <c r="J28" i="30" s="1"/>
  <c r="X28" i="30"/>
  <c r="T28" i="30"/>
  <c r="P28" i="30"/>
  <c r="D28" i="30"/>
  <c r="F28" i="30" s="1"/>
  <c r="BK27" i="30"/>
  <c r="BH27" i="30"/>
  <c r="BD27" i="30"/>
  <c r="AZ27" i="30"/>
  <c r="AV27" i="30"/>
  <c r="AR27" i="30"/>
  <c r="AN27" i="30"/>
  <c r="AJ27" i="30"/>
  <c r="AF27" i="30"/>
  <c r="AB27" i="30"/>
  <c r="X27" i="30"/>
  <c r="T27" i="30"/>
  <c r="P27" i="30"/>
  <c r="D27" i="30"/>
  <c r="F27" i="30" s="1"/>
  <c r="BK26" i="30"/>
  <c r="BH26" i="30"/>
  <c r="BD26" i="30"/>
  <c r="AZ26" i="30"/>
  <c r="AV26" i="30"/>
  <c r="AR26" i="30"/>
  <c r="AN26" i="30"/>
  <c r="AJ26" i="30"/>
  <c r="AF26" i="30"/>
  <c r="AB26" i="30"/>
  <c r="X26" i="30"/>
  <c r="T26" i="30"/>
  <c r="P26" i="30"/>
  <c r="D26" i="30"/>
  <c r="F26" i="30" s="1"/>
  <c r="BH25" i="30"/>
  <c r="BD25" i="30"/>
  <c r="AZ25" i="30"/>
  <c r="AU25" i="30"/>
  <c r="AQ25" i="30"/>
  <c r="AN25" i="30"/>
  <c r="AJ25" i="30"/>
  <c r="AF25" i="30"/>
  <c r="AB25" i="30"/>
  <c r="X25" i="30"/>
  <c r="T25" i="30"/>
  <c r="P25" i="30"/>
  <c r="D25" i="30"/>
  <c r="F25" i="30" s="1"/>
  <c r="BK24" i="30"/>
  <c r="BH24" i="30"/>
  <c r="BD24" i="30"/>
  <c r="AZ24" i="30"/>
  <c r="AV24" i="30"/>
  <c r="AR24" i="30"/>
  <c r="AN24" i="30"/>
  <c r="AJ24" i="30"/>
  <c r="AF24" i="30"/>
  <c r="AB24" i="30"/>
  <c r="X24" i="30"/>
  <c r="T24" i="30"/>
  <c r="P24" i="30"/>
  <c r="J24" i="30" s="1"/>
  <c r="G24" i="30"/>
  <c r="D24" i="30"/>
  <c r="F24" i="30" s="1"/>
  <c r="H24" i="30" s="1"/>
  <c r="BK23" i="30"/>
  <c r="G23" i="30" s="1"/>
  <c r="BH23" i="30"/>
  <c r="J23" i="30" s="1"/>
  <c r="K23" i="30" s="1"/>
  <c r="BD23" i="30"/>
  <c r="AZ23" i="30"/>
  <c r="AV23" i="30"/>
  <c r="AR23" i="30"/>
  <c r="AN23" i="30"/>
  <c r="AJ23" i="30"/>
  <c r="AF23" i="30"/>
  <c r="AB23" i="30"/>
  <c r="X23" i="30"/>
  <c r="T23" i="30"/>
  <c r="P23" i="30"/>
  <c r="D23" i="30"/>
  <c r="F23" i="30" s="1"/>
  <c r="BK22" i="30"/>
  <c r="G22" i="30" s="1"/>
  <c r="BH22" i="30"/>
  <c r="BD22" i="30"/>
  <c r="AZ22" i="30"/>
  <c r="AV22" i="30"/>
  <c r="AR22" i="30"/>
  <c r="AN22" i="30"/>
  <c r="AJ22" i="30"/>
  <c r="AF22" i="30"/>
  <c r="AB22" i="30"/>
  <c r="X22" i="30"/>
  <c r="T22" i="30"/>
  <c r="P22" i="30"/>
  <c r="D22" i="30"/>
  <c r="F22" i="30" s="1"/>
  <c r="H22" i="30" s="1"/>
  <c r="BM21" i="30"/>
  <c r="BK21" i="30"/>
  <c r="BH21" i="30"/>
  <c r="BD21" i="30"/>
  <c r="AZ21" i="30"/>
  <c r="AV21" i="30"/>
  <c r="AR21" i="30"/>
  <c r="AN21" i="30"/>
  <c r="AJ21" i="30"/>
  <c r="AF21" i="30"/>
  <c r="AB21" i="30"/>
  <c r="X21" i="30"/>
  <c r="T21" i="30"/>
  <c r="P21" i="30"/>
  <c r="J21" i="30" s="1"/>
  <c r="D21" i="30"/>
  <c r="F21" i="30" s="1"/>
  <c r="BK20" i="30"/>
  <c r="BH20" i="30"/>
  <c r="BD20" i="30"/>
  <c r="AZ20" i="30"/>
  <c r="AV20" i="30"/>
  <c r="AR20" i="30"/>
  <c r="AN20" i="30"/>
  <c r="AJ20" i="30"/>
  <c r="AF20" i="30"/>
  <c r="AB20" i="30"/>
  <c r="X20" i="30"/>
  <c r="T20" i="30"/>
  <c r="P20" i="30"/>
  <c r="D20" i="30"/>
  <c r="F20" i="30" s="1"/>
  <c r="BK19" i="30"/>
  <c r="G19" i="30" s="1"/>
  <c r="BH19" i="30"/>
  <c r="BD19" i="30"/>
  <c r="AZ19" i="30"/>
  <c r="AV19" i="30"/>
  <c r="AR19" i="30"/>
  <c r="AN19" i="30"/>
  <c r="AJ19" i="30"/>
  <c r="AF19" i="30"/>
  <c r="AB19" i="30"/>
  <c r="X19" i="30"/>
  <c r="T19" i="30"/>
  <c r="P19" i="30"/>
  <c r="D19" i="30"/>
  <c r="F19" i="30" s="1"/>
  <c r="H19" i="30" s="1"/>
  <c r="BK18" i="30"/>
  <c r="G18" i="30" s="1"/>
  <c r="H18" i="30" s="1"/>
  <c r="BH18" i="30"/>
  <c r="BD18" i="30"/>
  <c r="AZ18" i="30"/>
  <c r="AV18" i="30"/>
  <c r="AR18" i="30"/>
  <c r="AN18" i="30"/>
  <c r="AJ18" i="30"/>
  <c r="AF18" i="30"/>
  <c r="AB18" i="30"/>
  <c r="X18" i="30"/>
  <c r="T18" i="30"/>
  <c r="P18" i="30"/>
  <c r="D18" i="30"/>
  <c r="F18" i="30" s="1"/>
  <c r="BK17" i="30"/>
  <c r="G17" i="30" s="1"/>
  <c r="BH17" i="30"/>
  <c r="BD17" i="30"/>
  <c r="AZ17" i="30"/>
  <c r="AV17" i="30"/>
  <c r="AR17" i="30"/>
  <c r="AN17" i="30"/>
  <c r="AJ17" i="30"/>
  <c r="AF17" i="30"/>
  <c r="AB17" i="30"/>
  <c r="X17" i="30"/>
  <c r="T17" i="30"/>
  <c r="P17" i="30"/>
  <c r="D17" i="30"/>
  <c r="F17" i="30" s="1"/>
  <c r="H17" i="30" s="1"/>
  <c r="BK16" i="30"/>
  <c r="G16" i="30" s="1"/>
  <c r="BH16" i="30"/>
  <c r="BD16" i="30"/>
  <c r="AZ16" i="30"/>
  <c r="AV16" i="30"/>
  <c r="AR16" i="30"/>
  <c r="AN16" i="30"/>
  <c r="AJ16" i="30"/>
  <c r="AF16" i="30"/>
  <c r="AB16" i="30"/>
  <c r="X16" i="30"/>
  <c r="T16" i="30"/>
  <c r="P16" i="30"/>
  <c r="D16" i="30"/>
  <c r="F16" i="30" s="1"/>
  <c r="H16" i="30" s="1"/>
  <c r="BK15" i="30"/>
  <c r="G15" i="30" s="1"/>
  <c r="BH15" i="30"/>
  <c r="BD15" i="30"/>
  <c r="AZ15" i="30"/>
  <c r="AV15" i="30"/>
  <c r="AR15" i="30"/>
  <c r="AN15" i="30"/>
  <c r="AJ15" i="30"/>
  <c r="AF15" i="30"/>
  <c r="AB15" i="30"/>
  <c r="X15" i="30"/>
  <c r="T15" i="30"/>
  <c r="P15" i="30"/>
  <c r="D15" i="30"/>
  <c r="F15" i="30" s="1"/>
  <c r="BK14" i="30"/>
  <c r="G14" i="30" s="1"/>
  <c r="BH14" i="30"/>
  <c r="BD14" i="30"/>
  <c r="AZ14" i="30"/>
  <c r="AV14" i="30"/>
  <c r="AR14" i="30"/>
  <c r="AN14" i="30"/>
  <c r="AJ14" i="30"/>
  <c r="AF14" i="30"/>
  <c r="AB14" i="30"/>
  <c r="X14" i="30"/>
  <c r="T14" i="30"/>
  <c r="P14" i="30"/>
  <c r="D14" i="30"/>
  <c r="F14" i="30" s="1"/>
  <c r="H14" i="30" s="1"/>
  <c r="BK13" i="30"/>
  <c r="G13" i="30" s="1"/>
  <c r="BH13" i="30"/>
  <c r="BD13" i="30"/>
  <c r="AZ13" i="30"/>
  <c r="AV13" i="30"/>
  <c r="AR13" i="30"/>
  <c r="AN13" i="30"/>
  <c r="AJ13" i="30"/>
  <c r="AF13" i="30"/>
  <c r="AB13" i="30"/>
  <c r="X13" i="30"/>
  <c r="T13" i="30"/>
  <c r="P13" i="30"/>
  <c r="D13" i="30"/>
  <c r="F13" i="30" s="1"/>
  <c r="H13" i="30" s="1"/>
  <c r="BK12" i="30"/>
  <c r="G12" i="30" s="1"/>
  <c r="BH12" i="30"/>
  <c r="BD12" i="30"/>
  <c r="AZ12" i="30"/>
  <c r="AV12" i="30"/>
  <c r="AR12" i="30"/>
  <c r="AN12" i="30"/>
  <c r="AJ12" i="30"/>
  <c r="AF12" i="30"/>
  <c r="AB12" i="30"/>
  <c r="X12" i="30"/>
  <c r="T12" i="30"/>
  <c r="P12" i="30"/>
  <c r="D12" i="30"/>
  <c r="F12" i="30" s="1"/>
  <c r="H12" i="30" s="1"/>
  <c r="BK11" i="30"/>
  <c r="G11" i="30" s="1"/>
  <c r="BH11" i="30"/>
  <c r="BD11" i="30"/>
  <c r="AZ11" i="30"/>
  <c r="AV11" i="30"/>
  <c r="AR11" i="30"/>
  <c r="AN11" i="30"/>
  <c r="AJ11" i="30"/>
  <c r="AF11" i="30"/>
  <c r="AB11" i="30"/>
  <c r="X11" i="30"/>
  <c r="T11" i="30"/>
  <c r="P11" i="30"/>
  <c r="D11" i="30"/>
  <c r="F11" i="30" s="1"/>
  <c r="H11" i="30" s="1"/>
  <c r="BK10" i="30"/>
  <c r="G10" i="30" s="1"/>
  <c r="BH10" i="30"/>
  <c r="BD10" i="30"/>
  <c r="AZ10" i="30"/>
  <c r="AV10" i="30"/>
  <c r="AR10" i="30"/>
  <c r="AN10" i="30"/>
  <c r="AJ10" i="30"/>
  <c r="AF10" i="30"/>
  <c r="AB10" i="30"/>
  <c r="X10" i="30"/>
  <c r="T10" i="30"/>
  <c r="P10" i="30"/>
  <c r="D10" i="30"/>
  <c r="F10" i="30" s="1"/>
  <c r="BK9" i="30"/>
  <c r="G9" i="30" s="1"/>
  <c r="BH9" i="30"/>
  <c r="BD9" i="30"/>
  <c r="AZ9" i="30"/>
  <c r="AV9" i="30"/>
  <c r="AR9" i="30"/>
  <c r="AN9" i="30"/>
  <c r="AJ9" i="30"/>
  <c r="AF9" i="30"/>
  <c r="AB9" i="30"/>
  <c r="X9" i="30"/>
  <c r="T9" i="30"/>
  <c r="P9" i="30"/>
  <c r="D9" i="30"/>
  <c r="F9" i="30" s="1"/>
  <c r="BK8" i="30"/>
  <c r="G8" i="30" s="1"/>
  <c r="BH8" i="30"/>
  <c r="BD8" i="30"/>
  <c r="AZ8" i="30"/>
  <c r="AV8" i="30"/>
  <c r="AR8" i="30"/>
  <c r="AN8" i="30"/>
  <c r="AJ8" i="30"/>
  <c r="AF8" i="30"/>
  <c r="AB8" i="30"/>
  <c r="X8" i="30"/>
  <c r="T8" i="30"/>
  <c r="P8" i="30"/>
  <c r="D8" i="30"/>
  <c r="F8" i="30" s="1"/>
  <c r="BK7" i="30"/>
  <c r="G7" i="30" s="1"/>
  <c r="BH7" i="30"/>
  <c r="BD7" i="30"/>
  <c r="AZ7" i="30"/>
  <c r="AV7" i="30"/>
  <c r="AR7" i="30"/>
  <c r="AN7" i="30"/>
  <c r="AJ7" i="30"/>
  <c r="AF7" i="30"/>
  <c r="AB7" i="30"/>
  <c r="X7" i="30"/>
  <c r="T7" i="30"/>
  <c r="P7" i="30"/>
  <c r="D7" i="30"/>
  <c r="F7" i="30" s="1"/>
  <c r="H7" i="30" s="1"/>
  <c r="BK6" i="30"/>
  <c r="BH6" i="30"/>
  <c r="BD6" i="30"/>
  <c r="AZ6" i="30"/>
  <c r="AV6" i="30"/>
  <c r="AR6" i="30"/>
  <c r="AN6" i="30"/>
  <c r="AJ6" i="30"/>
  <c r="AF6" i="30"/>
  <c r="AB6" i="30"/>
  <c r="X6" i="30"/>
  <c r="T6" i="30"/>
  <c r="P6" i="30"/>
  <c r="D6" i="30"/>
  <c r="F6" i="30" s="1"/>
  <c r="BK5" i="30"/>
  <c r="BH5" i="30"/>
  <c r="BD5" i="30"/>
  <c r="AZ5" i="30"/>
  <c r="AV5" i="30"/>
  <c r="AR5" i="30"/>
  <c r="AN5" i="30"/>
  <c r="AJ5" i="30"/>
  <c r="AF5" i="30"/>
  <c r="AB5" i="30"/>
  <c r="X5" i="30"/>
  <c r="T5" i="30"/>
  <c r="P5" i="30"/>
  <c r="D5" i="30"/>
  <c r="F5" i="30" s="1"/>
  <c r="BK4" i="30"/>
  <c r="BH4" i="30"/>
  <c r="BD4" i="30"/>
  <c r="AZ4" i="30"/>
  <c r="AV4" i="30"/>
  <c r="AR4" i="30"/>
  <c r="AN4" i="30"/>
  <c r="AJ4" i="30"/>
  <c r="AF4" i="30"/>
  <c r="AB4" i="30"/>
  <c r="X4" i="30"/>
  <c r="T4" i="30"/>
  <c r="P4" i="30"/>
  <c r="D4" i="30"/>
  <c r="F4" i="30" s="1"/>
  <c r="BK3" i="30"/>
  <c r="G3" i="30" s="1"/>
  <c r="BH3" i="30"/>
  <c r="BD3" i="30"/>
  <c r="AZ3" i="30"/>
  <c r="AV3" i="30"/>
  <c r="AR3" i="30"/>
  <c r="AN3" i="30"/>
  <c r="AJ3" i="30"/>
  <c r="AF3" i="30"/>
  <c r="AB3" i="30"/>
  <c r="X3" i="30"/>
  <c r="T3" i="30"/>
  <c r="P3" i="30"/>
  <c r="D3" i="30"/>
  <c r="F3" i="30" s="1"/>
  <c r="BK2" i="30"/>
  <c r="G2" i="30" s="1"/>
  <c r="BH2" i="30"/>
  <c r="BD2" i="30"/>
  <c r="AZ2" i="30"/>
  <c r="AV2" i="30"/>
  <c r="AR2" i="30"/>
  <c r="AN2" i="30"/>
  <c r="AJ2" i="30"/>
  <c r="AF2" i="30"/>
  <c r="AB2" i="30"/>
  <c r="X2" i="30"/>
  <c r="T2" i="30"/>
  <c r="P2" i="30"/>
  <c r="D2" i="30"/>
  <c r="H60" i="30" l="1"/>
  <c r="J58" i="30"/>
  <c r="J83" i="30"/>
  <c r="J90" i="30"/>
  <c r="K90" i="30" s="1"/>
  <c r="P91" i="30"/>
  <c r="J36" i="30"/>
  <c r="K36" i="30" s="1"/>
  <c r="J43" i="30"/>
  <c r="K43" i="30" s="1"/>
  <c r="J51" i="30"/>
  <c r="K51" i="30" s="1"/>
  <c r="J10" i="30"/>
  <c r="K10" i="30" s="1"/>
  <c r="J11" i="30"/>
  <c r="K11" i="30" s="1"/>
  <c r="H70" i="30"/>
  <c r="J40" i="30"/>
  <c r="H51" i="30"/>
  <c r="J17" i="30"/>
  <c r="K17" i="30" s="1"/>
  <c r="H32" i="30"/>
  <c r="J29" i="30"/>
  <c r="J8" i="30"/>
  <c r="K8" i="30" s="1"/>
  <c r="J27" i="30"/>
  <c r="H39" i="30"/>
  <c r="AJ55" i="30"/>
  <c r="K54" i="30"/>
  <c r="J35" i="30"/>
  <c r="K35" i="30" s="1"/>
  <c r="H53" i="30"/>
  <c r="H81" i="30"/>
  <c r="J41" i="30"/>
  <c r="K41" i="30" s="1"/>
  <c r="J69" i="30"/>
  <c r="P56" i="30"/>
  <c r="J56" i="30" s="1"/>
  <c r="H23" i="30"/>
  <c r="H54" i="30"/>
  <c r="J16" i="30"/>
  <c r="H72" i="30"/>
  <c r="J47" i="30"/>
  <c r="K47" i="30" s="1"/>
  <c r="J72" i="30"/>
  <c r="K72" i="30" s="1"/>
  <c r="J6" i="30"/>
  <c r="J9" i="30"/>
  <c r="K9" i="30" s="1"/>
  <c r="J19" i="30"/>
  <c r="AR44" i="30"/>
  <c r="J44" i="30" s="1"/>
  <c r="H57" i="30"/>
  <c r="H66" i="30"/>
  <c r="H69" i="30"/>
  <c r="J3" i="30"/>
  <c r="K3" i="30" s="1"/>
  <c r="J66" i="30"/>
  <c r="J53" i="30"/>
  <c r="K53" i="30" s="1"/>
  <c r="D91" i="30"/>
  <c r="J85" i="30"/>
  <c r="J5" i="30"/>
  <c r="K39" i="30"/>
  <c r="AR46" i="30"/>
  <c r="J46" i="30" s="1"/>
  <c r="J4" i="30"/>
  <c r="J13" i="30"/>
  <c r="H85" i="30"/>
  <c r="H41" i="30"/>
  <c r="H47" i="30"/>
  <c r="H75" i="30"/>
  <c r="H8" i="30"/>
  <c r="H10" i="30"/>
  <c r="J50" i="30"/>
  <c r="K50" i="30" s="1"/>
  <c r="H65" i="30"/>
  <c r="BH91" i="30"/>
  <c r="BD91" i="30"/>
  <c r="G73" i="30"/>
  <c r="H73" i="30" s="1"/>
  <c r="J73" i="30"/>
  <c r="G6" i="30"/>
  <c r="H3" i="30"/>
  <c r="G21" i="30"/>
  <c r="H21" i="30" s="1"/>
  <c r="J7" i="30"/>
  <c r="H9" i="30"/>
  <c r="G4" i="30"/>
  <c r="T91" i="30"/>
  <c r="K13" i="30"/>
  <c r="J14" i="30"/>
  <c r="K14" i="30" s="1"/>
  <c r="J22" i="30"/>
  <c r="H15" i="30"/>
  <c r="K7" i="30"/>
  <c r="K16" i="30"/>
  <c r="K19" i="30"/>
  <c r="J20" i="30"/>
  <c r="G26" i="30"/>
  <c r="H26" i="30" s="1"/>
  <c r="AZ91" i="30"/>
  <c r="J2" i="30"/>
  <c r="AN91" i="30"/>
  <c r="G5" i="30"/>
  <c r="J12" i="30"/>
  <c r="K12" i="30" s="1"/>
  <c r="J15" i="30"/>
  <c r="J18" i="30"/>
  <c r="G20" i="30"/>
  <c r="G28" i="30"/>
  <c r="AU91" i="30"/>
  <c r="AV25" i="30"/>
  <c r="AV91" i="30" s="1"/>
  <c r="G29" i="30"/>
  <c r="G40" i="30"/>
  <c r="G31" i="30"/>
  <c r="H31" i="30" s="1"/>
  <c r="K24" i="30"/>
  <c r="G27" i="30"/>
  <c r="J34" i="30"/>
  <c r="K34" i="30" s="1"/>
  <c r="F2" i="30"/>
  <c r="AJ91" i="30"/>
  <c r="AQ91" i="30"/>
  <c r="AU94" i="30" s="1"/>
  <c r="BK25" i="30"/>
  <c r="AR25" i="30"/>
  <c r="J38" i="30"/>
  <c r="K38" i="30" s="1"/>
  <c r="J26" i="30"/>
  <c r="BK48" i="30"/>
  <c r="AR48" i="30"/>
  <c r="J48" i="30" s="1"/>
  <c r="J32" i="30"/>
  <c r="K32" i="30" s="1"/>
  <c r="H36" i="30"/>
  <c r="H38" i="30"/>
  <c r="H33" i="30"/>
  <c r="H34" i="30"/>
  <c r="H35" i="30"/>
  <c r="H37" i="30"/>
  <c r="G30" i="30"/>
  <c r="H45" i="30"/>
  <c r="K45" i="30"/>
  <c r="G46" i="30"/>
  <c r="H46" i="30" s="1"/>
  <c r="J49" i="30"/>
  <c r="K37" i="30"/>
  <c r="H42" i="30"/>
  <c r="K58" i="30"/>
  <c r="G61" i="30"/>
  <c r="H61" i="30" s="1"/>
  <c r="G44" i="30"/>
  <c r="K49" i="30"/>
  <c r="AA91" i="30"/>
  <c r="AB56" i="30"/>
  <c r="AB91" i="30" s="1"/>
  <c r="H58" i="30"/>
  <c r="H59" i="30"/>
  <c r="J59" i="30"/>
  <c r="K59" i="30" s="1"/>
  <c r="J57" i="30"/>
  <c r="J63" i="30"/>
  <c r="J62" i="30"/>
  <c r="K62" i="30" s="1"/>
  <c r="X55" i="30"/>
  <c r="X91" i="30" s="1"/>
  <c r="BK55" i="30"/>
  <c r="K63" i="30"/>
  <c r="J60" i="30"/>
  <c r="K60" i="30" s="1"/>
  <c r="H62" i="30"/>
  <c r="H64" i="30"/>
  <c r="J89" i="30"/>
  <c r="J61" i="30"/>
  <c r="K64" i="30"/>
  <c r="J86" i="30"/>
  <c r="BK56" i="30"/>
  <c r="K65" i="30"/>
  <c r="K66" i="30"/>
  <c r="K67" i="30"/>
  <c r="K68" i="30"/>
  <c r="K69" i="30"/>
  <c r="K70" i="30"/>
  <c r="K71" i="30"/>
  <c r="K74" i="30"/>
  <c r="K84" i="30"/>
  <c r="J76" i="30"/>
  <c r="H77" i="30"/>
  <c r="J78" i="30"/>
  <c r="H79" i="30"/>
  <c r="J87" i="30"/>
  <c r="BK88" i="30"/>
  <c r="AR88" i="30"/>
  <c r="J88" i="30" s="1"/>
  <c r="BK82" i="30"/>
  <c r="AF82" i="30"/>
  <c r="AF91" i="30" s="1"/>
  <c r="K83" i="30"/>
  <c r="J75" i="30"/>
  <c r="K75" i="30" s="1"/>
  <c r="J77" i="30"/>
  <c r="K77" i="30" s="1"/>
  <c r="H78" i="30"/>
  <c r="J79" i="30"/>
  <c r="K85" i="30"/>
  <c r="K87" i="30"/>
  <c r="G76" i="30"/>
  <c r="H76" i="30" s="1"/>
  <c r="G78" i="30"/>
  <c r="J81" i="30"/>
  <c r="K81" i="30" s="1"/>
  <c r="G80" i="30"/>
  <c r="AE91" i="30"/>
  <c r="AR86" i="30"/>
  <c r="J25" i="30" l="1"/>
  <c r="J82" i="30"/>
  <c r="K73" i="30"/>
  <c r="O93" i="30"/>
  <c r="K30" i="30"/>
  <c r="G25" i="30"/>
  <c r="K40" i="30"/>
  <c r="K28" i="30"/>
  <c r="H28" i="30"/>
  <c r="AR91" i="30"/>
  <c r="G56" i="30"/>
  <c r="J55" i="30"/>
  <c r="G48" i="30"/>
  <c r="K26" i="30"/>
  <c r="K79" i="30"/>
  <c r="K44" i="30"/>
  <c r="H44" i="30"/>
  <c r="F91" i="30"/>
  <c r="H2" i="30"/>
  <c r="K27" i="30"/>
  <c r="H27" i="30"/>
  <c r="H30" i="30"/>
  <c r="K20" i="30"/>
  <c r="H20" i="30"/>
  <c r="K5" i="30"/>
  <c r="H5" i="30"/>
  <c r="K15" i="30"/>
  <c r="K31" i="30"/>
  <c r="G88" i="30"/>
  <c r="K89" i="30"/>
  <c r="K57" i="30"/>
  <c r="K61" i="30"/>
  <c r="BK91" i="30"/>
  <c r="G55" i="30"/>
  <c r="K86" i="30"/>
  <c r="K29" i="30"/>
  <c r="H29" i="30"/>
  <c r="J91" i="30"/>
  <c r="K2" i="30"/>
  <c r="K22" i="30"/>
  <c r="K18" i="30"/>
  <c r="K78" i="30"/>
  <c r="K6" i="30"/>
  <c r="K21" i="30"/>
  <c r="G82" i="30"/>
  <c r="H80" i="30"/>
  <c r="K80" i="30"/>
  <c r="K76" i="30"/>
  <c r="K46" i="30"/>
  <c r="H40" i="30"/>
  <c r="K4" i="30"/>
  <c r="H4" i="30"/>
  <c r="H6" i="30"/>
  <c r="K48" i="30" l="1"/>
  <c r="H48" i="30"/>
  <c r="K88" i="30"/>
  <c r="H88" i="30"/>
  <c r="K25" i="30"/>
  <c r="H25" i="30"/>
  <c r="G91" i="30"/>
  <c r="K56" i="30"/>
  <c r="H56" i="30"/>
  <c r="K55" i="30"/>
  <c r="H55" i="30"/>
  <c r="K82" i="30"/>
  <c r="H82" i="30"/>
  <c r="K91" i="30" l="1"/>
  <c r="H91" i="30"/>
  <c r="C8" i="4" l="1"/>
  <c r="N7" i="4" l="1"/>
  <c r="BH3" i="26" l="1"/>
  <c r="BH4" i="26"/>
  <c r="BH5" i="26"/>
  <c r="BH6" i="26"/>
  <c r="BH7" i="26"/>
  <c r="BH8" i="26"/>
  <c r="BH9" i="26"/>
  <c r="BH10" i="26"/>
  <c r="BH11" i="26"/>
  <c r="BH12" i="26"/>
  <c r="BH13" i="26"/>
  <c r="BH14" i="26"/>
  <c r="BH15" i="26"/>
  <c r="BH16" i="26"/>
  <c r="BH17" i="26"/>
  <c r="BH18" i="26"/>
  <c r="BH19" i="26"/>
  <c r="BH20" i="26"/>
  <c r="BH21" i="26"/>
  <c r="BH22" i="26"/>
  <c r="BH23" i="26"/>
  <c r="BH24" i="26"/>
  <c r="BH25" i="26"/>
  <c r="BH26" i="26"/>
  <c r="BH27" i="26"/>
  <c r="BH28" i="26"/>
  <c r="BH29" i="26"/>
  <c r="BH30" i="26"/>
  <c r="BH31" i="26"/>
  <c r="BH32" i="26"/>
  <c r="BH33" i="26"/>
  <c r="BH34" i="26"/>
  <c r="BH35" i="26"/>
  <c r="BH36" i="26"/>
  <c r="BH37" i="26"/>
  <c r="BH38" i="26"/>
  <c r="BH39" i="26"/>
  <c r="BH40" i="26"/>
  <c r="BH41" i="26"/>
  <c r="BH42" i="26"/>
  <c r="BH43" i="26"/>
  <c r="BH44" i="26"/>
  <c r="BH45" i="26"/>
  <c r="BH46" i="26"/>
  <c r="BH47" i="26"/>
  <c r="BH48" i="26"/>
  <c r="BH49" i="26"/>
  <c r="BH50" i="26"/>
  <c r="BH51" i="26"/>
  <c r="BH52" i="26"/>
  <c r="BH53" i="26"/>
  <c r="BH54" i="26"/>
  <c r="BH55" i="26"/>
  <c r="BH56" i="26"/>
  <c r="BH57" i="26"/>
  <c r="BH58" i="26"/>
  <c r="BH59" i="26"/>
  <c r="BH60" i="26"/>
  <c r="BH61" i="26"/>
  <c r="BH62" i="26"/>
  <c r="BH63" i="26"/>
  <c r="BH64" i="26"/>
  <c r="BH65" i="26"/>
  <c r="BH66" i="26"/>
  <c r="BH67" i="26"/>
  <c r="BH68" i="26"/>
  <c r="BH69" i="26"/>
  <c r="BH70" i="26"/>
  <c r="BH71" i="26"/>
  <c r="BH72" i="26"/>
  <c r="BH73" i="26"/>
  <c r="BH74" i="26"/>
  <c r="BH75" i="26"/>
  <c r="BH76" i="26"/>
  <c r="BH77" i="26"/>
  <c r="BH78" i="26"/>
  <c r="BH79" i="26"/>
  <c r="BH80" i="26"/>
  <c r="BH81" i="26"/>
  <c r="BH82" i="26"/>
  <c r="BH83" i="26"/>
  <c r="BH84" i="26"/>
  <c r="BH85" i="26"/>
  <c r="BH86" i="26"/>
  <c r="BH87" i="26"/>
  <c r="BH88" i="26"/>
  <c r="BH89" i="26"/>
  <c r="BH90" i="26"/>
  <c r="BH2" i="26"/>
  <c r="BD3" i="26"/>
  <c r="BD4" i="26"/>
  <c r="BD5" i="26"/>
  <c r="BD6" i="26"/>
  <c r="BD7" i="26"/>
  <c r="BD8" i="26"/>
  <c r="BD9" i="26"/>
  <c r="BD10" i="26"/>
  <c r="BD11" i="26"/>
  <c r="BD12" i="26"/>
  <c r="BD13" i="26"/>
  <c r="BD14" i="26"/>
  <c r="BD15" i="26"/>
  <c r="BD16" i="26"/>
  <c r="BD17" i="26"/>
  <c r="BD18" i="26"/>
  <c r="BD19" i="26"/>
  <c r="BD20" i="26"/>
  <c r="BD21" i="26"/>
  <c r="BD22" i="26"/>
  <c r="BD23" i="26"/>
  <c r="BD24" i="26"/>
  <c r="BD25" i="26"/>
  <c r="BD26" i="26"/>
  <c r="BD27" i="26"/>
  <c r="BD28" i="26"/>
  <c r="BD29" i="26"/>
  <c r="BD30" i="26"/>
  <c r="BD31" i="26"/>
  <c r="BD32" i="26"/>
  <c r="BD33" i="26"/>
  <c r="BD34" i="26"/>
  <c r="BD35" i="26"/>
  <c r="BD36" i="26"/>
  <c r="BD37" i="26"/>
  <c r="BD38" i="26"/>
  <c r="BD39" i="26"/>
  <c r="BD40" i="26"/>
  <c r="BD41" i="26"/>
  <c r="BD42" i="26"/>
  <c r="BD43" i="26"/>
  <c r="BD44" i="26"/>
  <c r="BD45" i="26"/>
  <c r="BD46" i="26"/>
  <c r="BD47" i="26"/>
  <c r="BD48" i="26"/>
  <c r="BD49" i="26"/>
  <c r="BD50" i="26"/>
  <c r="BD51" i="26"/>
  <c r="BD52" i="26"/>
  <c r="BD53" i="26"/>
  <c r="BD54" i="26"/>
  <c r="BD55" i="26"/>
  <c r="BD56" i="26"/>
  <c r="BD57" i="26"/>
  <c r="BD58" i="26"/>
  <c r="BD59" i="26"/>
  <c r="BD60" i="26"/>
  <c r="BD61" i="26"/>
  <c r="BD62" i="26"/>
  <c r="BD63" i="26"/>
  <c r="BD64" i="26"/>
  <c r="BD65" i="26"/>
  <c r="BD66" i="26"/>
  <c r="BD67" i="26"/>
  <c r="BD68" i="26"/>
  <c r="BD69" i="26"/>
  <c r="BD70" i="26"/>
  <c r="BD71" i="26"/>
  <c r="BD72" i="26"/>
  <c r="BD73" i="26"/>
  <c r="BD74" i="26"/>
  <c r="BD75" i="26"/>
  <c r="BD76" i="26"/>
  <c r="BD77" i="26"/>
  <c r="BD78" i="26"/>
  <c r="BD79" i="26"/>
  <c r="BD80" i="26"/>
  <c r="BD81" i="26"/>
  <c r="BD82" i="26"/>
  <c r="BD83" i="26"/>
  <c r="BD84" i="26"/>
  <c r="BD85" i="26"/>
  <c r="BD86" i="26"/>
  <c r="BD87" i="26"/>
  <c r="BD88" i="26"/>
  <c r="BD89" i="26"/>
  <c r="BD90" i="26"/>
  <c r="BD2" i="26"/>
  <c r="AZ3" i="26"/>
  <c r="AZ4" i="26"/>
  <c r="AZ5" i="26"/>
  <c r="AZ6" i="26"/>
  <c r="AZ7" i="26"/>
  <c r="AZ8" i="26"/>
  <c r="AZ9" i="26"/>
  <c r="AZ10" i="26"/>
  <c r="AZ11" i="26"/>
  <c r="AZ12" i="26"/>
  <c r="AZ13" i="26"/>
  <c r="AZ14" i="26"/>
  <c r="AZ15" i="26"/>
  <c r="AZ16" i="26"/>
  <c r="AZ17" i="26"/>
  <c r="AZ18" i="26"/>
  <c r="AZ19" i="26"/>
  <c r="AZ20" i="26"/>
  <c r="AZ21" i="26"/>
  <c r="AZ22" i="26"/>
  <c r="AZ23" i="26"/>
  <c r="AZ24" i="26"/>
  <c r="AZ25" i="26"/>
  <c r="AZ26" i="26"/>
  <c r="AZ27" i="26"/>
  <c r="AZ28" i="26"/>
  <c r="AZ29" i="26"/>
  <c r="AZ30" i="26"/>
  <c r="AZ31" i="26"/>
  <c r="AZ32" i="26"/>
  <c r="AZ33" i="26"/>
  <c r="AZ34" i="26"/>
  <c r="AZ35" i="26"/>
  <c r="AZ36" i="26"/>
  <c r="AZ37" i="26"/>
  <c r="AZ38" i="26"/>
  <c r="AZ39" i="26"/>
  <c r="AZ40" i="26"/>
  <c r="AZ41" i="26"/>
  <c r="AZ42" i="26"/>
  <c r="AZ43" i="26"/>
  <c r="AZ44" i="26"/>
  <c r="AZ45" i="26"/>
  <c r="AZ46" i="26"/>
  <c r="AZ47" i="26"/>
  <c r="AZ48" i="26"/>
  <c r="AZ49" i="26"/>
  <c r="AZ50" i="26"/>
  <c r="AZ51" i="26"/>
  <c r="AZ52" i="26"/>
  <c r="AZ53" i="26"/>
  <c r="AZ54" i="26"/>
  <c r="AZ55" i="26"/>
  <c r="AZ56" i="26"/>
  <c r="AZ57" i="26"/>
  <c r="AZ58" i="26"/>
  <c r="AZ59" i="26"/>
  <c r="AZ60" i="26"/>
  <c r="AZ61" i="26"/>
  <c r="AZ62" i="26"/>
  <c r="AZ63" i="26"/>
  <c r="AZ64" i="26"/>
  <c r="AZ65" i="26"/>
  <c r="AZ66" i="26"/>
  <c r="AZ67" i="26"/>
  <c r="AZ68" i="26"/>
  <c r="AZ69" i="26"/>
  <c r="AZ70" i="26"/>
  <c r="AZ71" i="26"/>
  <c r="AZ72" i="26"/>
  <c r="AZ73" i="26"/>
  <c r="AZ74" i="26"/>
  <c r="AZ75" i="26"/>
  <c r="AZ76" i="26"/>
  <c r="AZ77" i="26"/>
  <c r="AZ78" i="26"/>
  <c r="AZ79" i="26"/>
  <c r="AZ80" i="26"/>
  <c r="AZ81" i="26"/>
  <c r="AZ82" i="26"/>
  <c r="AZ83" i="26"/>
  <c r="AZ84" i="26"/>
  <c r="AZ85" i="26"/>
  <c r="AZ86" i="26"/>
  <c r="AZ87" i="26"/>
  <c r="AZ88" i="26"/>
  <c r="AZ89" i="26"/>
  <c r="AZ90" i="26"/>
  <c r="AZ2" i="26"/>
  <c r="AV3" i="26"/>
  <c r="AV4" i="26"/>
  <c r="AV5" i="26"/>
  <c r="AV6" i="26"/>
  <c r="AV7" i="26"/>
  <c r="AV8" i="26"/>
  <c r="AV9" i="26"/>
  <c r="AV10" i="26"/>
  <c r="AV11" i="26"/>
  <c r="AV12" i="26"/>
  <c r="AV13" i="26"/>
  <c r="AV14" i="26"/>
  <c r="AV15" i="26"/>
  <c r="AV16" i="26"/>
  <c r="AV17" i="26"/>
  <c r="AV18" i="26"/>
  <c r="AV19" i="26"/>
  <c r="AV20" i="26"/>
  <c r="AV21" i="26"/>
  <c r="AV22" i="26"/>
  <c r="AV23" i="26"/>
  <c r="AV24" i="26"/>
  <c r="AV26" i="26"/>
  <c r="AV27" i="26"/>
  <c r="AV28" i="26"/>
  <c r="AV29" i="26"/>
  <c r="AV30" i="26"/>
  <c r="AV31" i="26"/>
  <c r="AV32" i="26"/>
  <c r="AV33" i="26"/>
  <c r="AV34" i="26"/>
  <c r="AV35" i="26"/>
  <c r="AV36" i="26"/>
  <c r="AV37" i="26"/>
  <c r="AV38" i="26"/>
  <c r="AV39" i="26"/>
  <c r="AV40" i="26"/>
  <c r="AV41" i="26"/>
  <c r="AV42" i="26"/>
  <c r="AV43" i="26"/>
  <c r="AV44" i="26"/>
  <c r="AV45" i="26"/>
  <c r="AV46" i="26"/>
  <c r="AV47" i="26"/>
  <c r="AV49" i="26"/>
  <c r="AV50" i="26"/>
  <c r="AV51" i="26"/>
  <c r="AV52" i="26"/>
  <c r="AV53" i="26"/>
  <c r="AV54" i="26"/>
  <c r="AV55" i="26"/>
  <c r="AV57" i="26"/>
  <c r="AV58" i="26"/>
  <c r="AV59" i="26"/>
  <c r="AV60" i="26"/>
  <c r="AV61" i="26"/>
  <c r="AV62" i="26"/>
  <c r="AV63" i="26"/>
  <c r="AV64" i="26"/>
  <c r="AV65" i="26"/>
  <c r="AV66" i="26"/>
  <c r="AV67" i="26"/>
  <c r="AV68" i="26"/>
  <c r="AV69" i="26"/>
  <c r="AV70" i="26"/>
  <c r="AV71" i="26"/>
  <c r="AV72" i="26"/>
  <c r="AV73" i="26"/>
  <c r="AV74" i="26"/>
  <c r="AV75" i="26"/>
  <c r="AV76" i="26"/>
  <c r="AV77" i="26"/>
  <c r="AV78" i="26"/>
  <c r="AV79" i="26"/>
  <c r="AV80" i="26"/>
  <c r="AV81" i="26"/>
  <c r="AV82" i="26"/>
  <c r="AV83" i="26"/>
  <c r="AV84" i="26"/>
  <c r="AV85" i="26"/>
  <c r="AV87" i="26"/>
  <c r="AV89" i="26"/>
  <c r="AV90" i="26"/>
  <c r="AV2" i="26"/>
  <c r="AR3" i="26"/>
  <c r="AR4" i="26"/>
  <c r="AR5" i="26"/>
  <c r="AR6" i="26"/>
  <c r="AR7" i="26"/>
  <c r="AR8" i="26"/>
  <c r="AR9" i="26"/>
  <c r="AR10" i="26"/>
  <c r="AR11" i="26"/>
  <c r="AR12" i="26"/>
  <c r="AR13" i="26"/>
  <c r="AR14" i="26"/>
  <c r="AR15" i="26"/>
  <c r="AR16" i="26"/>
  <c r="AR17" i="26"/>
  <c r="AR18" i="26"/>
  <c r="AR19" i="26"/>
  <c r="AR20" i="26"/>
  <c r="AR21" i="26"/>
  <c r="AR22" i="26"/>
  <c r="AR23" i="26"/>
  <c r="AR24" i="26"/>
  <c r="AR25" i="26"/>
  <c r="AR26" i="26"/>
  <c r="AR27" i="26"/>
  <c r="AR28" i="26"/>
  <c r="AR29" i="26"/>
  <c r="AR30" i="26"/>
  <c r="AR31" i="26"/>
  <c r="AR32" i="26"/>
  <c r="AR33" i="26"/>
  <c r="AR34" i="26"/>
  <c r="AR35" i="26"/>
  <c r="AR36" i="26"/>
  <c r="AR37" i="26"/>
  <c r="AR38" i="26"/>
  <c r="AR39" i="26"/>
  <c r="AR40" i="26"/>
  <c r="AR41" i="26"/>
  <c r="AR42" i="26"/>
  <c r="AR43" i="26"/>
  <c r="AR44" i="26"/>
  <c r="AR45" i="26"/>
  <c r="AR46" i="26"/>
  <c r="AR47" i="26"/>
  <c r="AR48" i="26"/>
  <c r="AR49" i="26"/>
  <c r="AR50" i="26"/>
  <c r="AR51" i="26"/>
  <c r="AR52" i="26"/>
  <c r="AR53" i="26"/>
  <c r="AR54" i="26"/>
  <c r="AR55" i="26"/>
  <c r="AR56" i="26"/>
  <c r="AR57" i="26"/>
  <c r="AR58" i="26"/>
  <c r="AR59" i="26"/>
  <c r="AR60" i="26"/>
  <c r="AR61" i="26"/>
  <c r="AR62" i="26"/>
  <c r="AR63" i="26"/>
  <c r="AR64" i="26"/>
  <c r="AR65" i="26"/>
  <c r="AR66" i="26"/>
  <c r="AR67" i="26"/>
  <c r="AR68" i="26"/>
  <c r="AR69" i="26"/>
  <c r="AR70" i="26"/>
  <c r="AR71" i="26"/>
  <c r="AR72" i="26"/>
  <c r="AR73" i="26"/>
  <c r="AR74" i="26"/>
  <c r="AR75" i="26"/>
  <c r="AR76" i="26"/>
  <c r="AR77" i="26"/>
  <c r="AR78" i="26"/>
  <c r="AR79" i="26"/>
  <c r="AR80" i="26"/>
  <c r="AR81" i="26"/>
  <c r="AR82" i="26"/>
  <c r="AR83" i="26"/>
  <c r="AR84" i="26"/>
  <c r="AR85" i="26"/>
  <c r="AR86" i="26"/>
  <c r="AR87" i="26"/>
  <c r="AR88" i="26"/>
  <c r="AR89" i="26"/>
  <c r="AR90" i="26"/>
  <c r="AR2" i="26"/>
  <c r="AN3" i="26"/>
  <c r="AN4" i="26"/>
  <c r="AN5" i="26"/>
  <c r="AN6" i="26"/>
  <c r="AN7" i="26"/>
  <c r="AN8" i="26"/>
  <c r="AN9" i="26"/>
  <c r="AN10" i="26"/>
  <c r="AN11" i="26"/>
  <c r="AN12" i="26"/>
  <c r="AN13" i="26"/>
  <c r="AN14" i="26"/>
  <c r="AN15" i="26"/>
  <c r="AN16" i="26"/>
  <c r="AN17" i="26"/>
  <c r="AN18" i="26"/>
  <c r="AN19" i="26"/>
  <c r="AN20" i="26"/>
  <c r="AN21" i="26"/>
  <c r="AN22" i="26"/>
  <c r="AN23" i="26"/>
  <c r="AN24" i="26"/>
  <c r="AN25" i="26"/>
  <c r="AN26" i="26"/>
  <c r="AN27" i="26"/>
  <c r="AN28" i="26"/>
  <c r="AN29" i="26"/>
  <c r="AN30" i="26"/>
  <c r="AN31" i="26"/>
  <c r="AN32" i="26"/>
  <c r="AN33" i="26"/>
  <c r="AN34" i="26"/>
  <c r="AN35" i="26"/>
  <c r="AN36" i="26"/>
  <c r="AN37" i="26"/>
  <c r="AN38" i="26"/>
  <c r="AN39" i="26"/>
  <c r="AN40" i="26"/>
  <c r="AN41" i="26"/>
  <c r="AN42" i="26"/>
  <c r="AN43" i="26"/>
  <c r="AN44" i="26"/>
  <c r="AN45" i="26"/>
  <c r="AN46" i="26"/>
  <c r="AN47" i="26"/>
  <c r="AN48" i="26"/>
  <c r="AN49" i="26"/>
  <c r="AN50" i="26"/>
  <c r="AN51" i="26"/>
  <c r="AN52" i="26"/>
  <c r="AN53" i="26"/>
  <c r="AN54" i="26"/>
  <c r="AN55" i="26"/>
  <c r="AN56" i="26"/>
  <c r="AN57" i="26"/>
  <c r="AN58" i="26"/>
  <c r="AN59" i="26"/>
  <c r="AN60" i="26"/>
  <c r="AN61" i="26"/>
  <c r="AN62" i="26"/>
  <c r="AN63" i="26"/>
  <c r="AN64" i="26"/>
  <c r="AN65" i="26"/>
  <c r="AN66" i="26"/>
  <c r="AN67" i="26"/>
  <c r="AN68" i="26"/>
  <c r="AN69" i="26"/>
  <c r="AN70" i="26"/>
  <c r="AN71" i="26"/>
  <c r="AN72" i="26"/>
  <c r="AN73" i="26"/>
  <c r="AN74" i="26"/>
  <c r="AN75" i="26"/>
  <c r="AN76" i="26"/>
  <c r="AN77" i="26"/>
  <c r="AN78" i="26"/>
  <c r="AN79" i="26"/>
  <c r="AN80" i="26"/>
  <c r="AN81" i="26"/>
  <c r="AN82" i="26"/>
  <c r="AN83" i="26"/>
  <c r="AN84" i="26"/>
  <c r="AN85" i="26"/>
  <c r="AN86" i="26"/>
  <c r="AN87" i="26"/>
  <c r="AN88" i="26"/>
  <c r="AN89" i="26"/>
  <c r="AN90" i="26"/>
  <c r="AN2" i="26"/>
  <c r="AJ3" i="26"/>
  <c r="AJ4" i="26"/>
  <c r="AJ5" i="26"/>
  <c r="AJ6" i="26"/>
  <c r="AJ7" i="26"/>
  <c r="AJ8" i="26"/>
  <c r="AJ9" i="26"/>
  <c r="AJ10" i="26"/>
  <c r="AJ11" i="26"/>
  <c r="AJ12" i="26"/>
  <c r="AJ13" i="26"/>
  <c r="AJ14" i="26"/>
  <c r="AJ15" i="26"/>
  <c r="AJ16" i="26"/>
  <c r="AJ17" i="26"/>
  <c r="AJ18" i="26"/>
  <c r="AJ19" i="26"/>
  <c r="AJ20" i="26"/>
  <c r="AJ21" i="26"/>
  <c r="AJ22" i="26"/>
  <c r="AJ23" i="26"/>
  <c r="AJ24" i="26"/>
  <c r="AJ25" i="26"/>
  <c r="AJ26" i="26"/>
  <c r="AJ27" i="26"/>
  <c r="AJ28" i="26"/>
  <c r="AJ29" i="26"/>
  <c r="AJ30" i="26"/>
  <c r="AJ31" i="26"/>
  <c r="AJ32" i="26"/>
  <c r="AJ33" i="26"/>
  <c r="AJ34" i="26"/>
  <c r="AJ35" i="26"/>
  <c r="AJ36" i="26"/>
  <c r="AJ37" i="26"/>
  <c r="AJ38" i="26"/>
  <c r="AJ39" i="26"/>
  <c r="AJ40" i="26"/>
  <c r="AJ41" i="26"/>
  <c r="AJ42" i="26"/>
  <c r="AJ43" i="26"/>
  <c r="AJ44" i="26"/>
  <c r="AJ45" i="26"/>
  <c r="AJ46" i="26"/>
  <c r="AJ47" i="26"/>
  <c r="AJ48" i="26"/>
  <c r="AJ49" i="26"/>
  <c r="AJ50" i="26"/>
  <c r="AJ51" i="26"/>
  <c r="AJ52" i="26"/>
  <c r="AJ53" i="26"/>
  <c r="AJ54" i="26"/>
  <c r="AJ56" i="26"/>
  <c r="AJ57" i="26"/>
  <c r="AJ58" i="26"/>
  <c r="AJ59" i="26"/>
  <c r="AJ60" i="26"/>
  <c r="AJ61" i="26"/>
  <c r="AJ62" i="26"/>
  <c r="AJ63" i="26"/>
  <c r="AJ64" i="26"/>
  <c r="AJ65" i="26"/>
  <c r="AJ66" i="26"/>
  <c r="AJ67" i="26"/>
  <c r="AJ68" i="26"/>
  <c r="AJ69" i="26"/>
  <c r="AJ70" i="26"/>
  <c r="AJ71" i="26"/>
  <c r="AJ72" i="26"/>
  <c r="AJ73" i="26"/>
  <c r="AJ74" i="26"/>
  <c r="AJ75" i="26"/>
  <c r="AJ76" i="26"/>
  <c r="AJ77" i="26"/>
  <c r="AJ78" i="26"/>
  <c r="AJ79" i="26"/>
  <c r="AJ80" i="26"/>
  <c r="AJ81" i="26"/>
  <c r="AJ82" i="26"/>
  <c r="AJ83" i="26"/>
  <c r="AJ84" i="26"/>
  <c r="AJ85" i="26"/>
  <c r="AJ86" i="26"/>
  <c r="AJ87" i="26"/>
  <c r="AJ88" i="26"/>
  <c r="AJ89" i="26"/>
  <c r="AJ90" i="26"/>
  <c r="AJ2" i="26"/>
  <c r="AF3" i="26"/>
  <c r="AF4" i="26"/>
  <c r="AF5" i="26"/>
  <c r="AF6" i="26"/>
  <c r="AF7" i="26"/>
  <c r="AF8" i="26"/>
  <c r="AF9" i="26"/>
  <c r="AF10" i="26"/>
  <c r="AF11" i="26"/>
  <c r="AF12" i="26"/>
  <c r="AF13" i="26"/>
  <c r="AF14" i="26"/>
  <c r="AF15" i="26"/>
  <c r="AF16" i="26"/>
  <c r="AF17" i="26"/>
  <c r="AF18" i="26"/>
  <c r="AF19" i="26"/>
  <c r="AF20" i="26"/>
  <c r="AF21" i="26"/>
  <c r="AF22" i="26"/>
  <c r="AF23" i="26"/>
  <c r="AF24" i="26"/>
  <c r="AF25" i="26"/>
  <c r="AF26" i="26"/>
  <c r="AF27" i="26"/>
  <c r="AF28" i="26"/>
  <c r="AF29" i="26"/>
  <c r="AF30" i="26"/>
  <c r="AF31" i="26"/>
  <c r="AF32" i="26"/>
  <c r="AF33" i="26"/>
  <c r="AF34" i="26"/>
  <c r="AF35" i="26"/>
  <c r="AF36" i="26"/>
  <c r="AF37" i="26"/>
  <c r="AF38" i="26"/>
  <c r="AF39" i="26"/>
  <c r="AF40" i="26"/>
  <c r="AF41" i="26"/>
  <c r="AF42" i="26"/>
  <c r="AF43" i="26"/>
  <c r="AF44" i="26"/>
  <c r="AF45" i="26"/>
  <c r="AF46" i="26"/>
  <c r="AF47" i="26"/>
  <c r="AF48" i="26"/>
  <c r="AF49" i="26"/>
  <c r="AF50" i="26"/>
  <c r="AF51" i="26"/>
  <c r="AF52" i="26"/>
  <c r="AF53" i="26"/>
  <c r="AF54" i="26"/>
  <c r="AF55" i="26"/>
  <c r="AF56" i="26"/>
  <c r="AF57" i="26"/>
  <c r="AF58" i="26"/>
  <c r="AF59" i="26"/>
  <c r="AF60" i="26"/>
  <c r="AF61" i="26"/>
  <c r="AF62" i="26"/>
  <c r="AF63" i="26"/>
  <c r="AF64" i="26"/>
  <c r="AF65" i="26"/>
  <c r="AF66" i="26"/>
  <c r="AF67" i="26"/>
  <c r="AF68" i="26"/>
  <c r="AF69" i="26"/>
  <c r="AF70" i="26"/>
  <c r="AF71" i="26"/>
  <c r="AF72" i="26"/>
  <c r="AF73" i="26"/>
  <c r="AF74" i="26"/>
  <c r="AF75" i="26"/>
  <c r="AF76" i="26"/>
  <c r="AF77" i="26"/>
  <c r="AF78" i="26"/>
  <c r="AF79" i="26"/>
  <c r="AF80" i="26"/>
  <c r="AF81" i="26"/>
  <c r="AF82" i="26"/>
  <c r="AF83" i="26"/>
  <c r="AF84" i="26"/>
  <c r="AF85" i="26"/>
  <c r="AF86" i="26"/>
  <c r="AF87" i="26"/>
  <c r="AF88" i="26"/>
  <c r="AF89" i="26"/>
  <c r="AF90" i="26"/>
  <c r="AF2" i="26"/>
  <c r="AB3" i="26"/>
  <c r="AB4" i="26"/>
  <c r="AB5" i="26"/>
  <c r="AB6" i="26"/>
  <c r="AB7" i="26"/>
  <c r="AB8" i="26"/>
  <c r="AB9" i="26"/>
  <c r="AB10" i="26"/>
  <c r="AB11" i="26"/>
  <c r="AB12" i="26"/>
  <c r="AB13" i="26"/>
  <c r="AB14" i="26"/>
  <c r="AB15" i="26"/>
  <c r="AB16" i="26"/>
  <c r="AB17" i="26"/>
  <c r="AB18" i="26"/>
  <c r="AB19" i="26"/>
  <c r="AB20" i="26"/>
  <c r="AB21" i="26"/>
  <c r="AB22" i="26"/>
  <c r="AB23" i="26"/>
  <c r="AB24" i="26"/>
  <c r="AB25" i="26"/>
  <c r="AB26" i="26"/>
  <c r="AB27" i="26"/>
  <c r="AB28" i="26"/>
  <c r="AB29" i="26"/>
  <c r="AB30" i="26"/>
  <c r="AB31" i="26"/>
  <c r="AB32" i="26"/>
  <c r="AB33" i="26"/>
  <c r="AB34" i="26"/>
  <c r="AB35" i="26"/>
  <c r="AB36" i="26"/>
  <c r="AB37" i="26"/>
  <c r="AB38" i="26"/>
  <c r="AB39" i="26"/>
  <c r="AB40" i="26"/>
  <c r="AB41" i="26"/>
  <c r="AB42" i="26"/>
  <c r="AB43" i="26"/>
  <c r="AB44" i="26"/>
  <c r="AB45" i="26"/>
  <c r="AB46" i="26"/>
  <c r="AB47" i="26"/>
  <c r="AB48" i="26"/>
  <c r="AB49" i="26"/>
  <c r="AB50" i="26"/>
  <c r="AB51" i="26"/>
  <c r="AB52" i="26"/>
  <c r="AB53" i="26"/>
  <c r="AB54" i="26"/>
  <c r="AB55" i="26"/>
  <c r="AB56" i="26"/>
  <c r="AB57" i="26"/>
  <c r="AB58" i="26"/>
  <c r="AB59" i="26"/>
  <c r="AB60" i="26"/>
  <c r="AB61" i="26"/>
  <c r="AB62" i="26"/>
  <c r="AB63" i="26"/>
  <c r="AB64" i="26"/>
  <c r="AB65" i="26"/>
  <c r="AB66" i="26"/>
  <c r="AB67" i="26"/>
  <c r="AB68" i="26"/>
  <c r="AB69" i="26"/>
  <c r="AB70" i="26"/>
  <c r="AB71" i="26"/>
  <c r="AB72" i="26"/>
  <c r="AB73" i="26"/>
  <c r="AB74" i="26"/>
  <c r="AB75" i="26"/>
  <c r="AB76" i="26"/>
  <c r="AB77" i="26"/>
  <c r="AB78" i="26"/>
  <c r="AB79" i="26"/>
  <c r="AB80" i="26"/>
  <c r="AB81" i="26"/>
  <c r="AB82" i="26"/>
  <c r="AB83" i="26"/>
  <c r="AB84" i="26"/>
  <c r="AB85" i="26"/>
  <c r="AB86" i="26"/>
  <c r="AB87" i="26"/>
  <c r="AB88" i="26"/>
  <c r="AB89" i="26"/>
  <c r="AB90" i="26"/>
  <c r="AB2" i="26"/>
  <c r="X3" i="26"/>
  <c r="X4" i="26"/>
  <c r="X5" i="26"/>
  <c r="X6" i="26"/>
  <c r="X7" i="26"/>
  <c r="X8" i="26"/>
  <c r="X9" i="26"/>
  <c r="X10" i="26"/>
  <c r="X11" i="26"/>
  <c r="X12" i="26"/>
  <c r="X13" i="26"/>
  <c r="X14" i="26"/>
  <c r="X15" i="26"/>
  <c r="X16" i="26"/>
  <c r="X17" i="26"/>
  <c r="X18" i="26"/>
  <c r="X19" i="26"/>
  <c r="X20" i="26"/>
  <c r="X21" i="26"/>
  <c r="X22" i="26"/>
  <c r="X23" i="26"/>
  <c r="X24" i="26"/>
  <c r="X25" i="26"/>
  <c r="X26" i="26"/>
  <c r="X27" i="26"/>
  <c r="X28" i="26"/>
  <c r="X29" i="26"/>
  <c r="X30" i="26"/>
  <c r="X31" i="26"/>
  <c r="X32" i="26"/>
  <c r="X33" i="26"/>
  <c r="X34" i="26"/>
  <c r="X35" i="26"/>
  <c r="X36" i="26"/>
  <c r="X37" i="26"/>
  <c r="X38" i="26"/>
  <c r="X39" i="26"/>
  <c r="X40" i="26"/>
  <c r="X41" i="26"/>
  <c r="X42" i="26"/>
  <c r="X43" i="26"/>
  <c r="X44" i="26"/>
  <c r="X45" i="26"/>
  <c r="X46" i="26"/>
  <c r="X47" i="26"/>
  <c r="X48" i="26"/>
  <c r="X49" i="26"/>
  <c r="X50" i="26"/>
  <c r="X51" i="26"/>
  <c r="X52" i="26"/>
  <c r="X53" i="26"/>
  <c r="X54" i="26"/>
  <c r="X55" i="26"/>
  <c r="X56" i="26"/>
  <c r="X57" i="26"/>
  <c r="X58" i="26"/>
  <c r="X59" i="26"/>
  <c r="X60" i="26"/>
  <c r="X61" i="26"/>
  <c r="X62" i="26"/>
  <c r="X63" i="26"/>
  <c r="X64" i="26"/>
  <c r="X65" i="26"/>
  <c r="X66" i="26"/>
  <c r="X67" i="26"/>
  <c r="X68" i="26"/>
  <c r="X69" i="26"/>
  <c r="X70" i="26"/>
  <c r="X71" i="26"/>
  <c r="X72" i="26"/>
  <c r="X73" i="26"/>
  <c r="X74" i="26"/>
  <c r="X75" i="26"/>
  <c r="X76" i="26"/>
  <c r="X77" i="26"/>
  <c r="X78" i="26"/>
  <c r="X79" i="26"/>
  <c r="X80" i="26"/>
  <c r="X81" i="26"/>
  <c r="X82" i="26"/>
  <c r="X83" i="26"/>
  <c r="X84" i="26"/>
  <c r="X85" i="26"/>
  <c r="X86" i="26"/>
  <c r="X87" i="26"/>
  <c r="X88" i="26"/>
  <c r="X89" i="26"/>
  <c r="X90" i="26"/>
  <c r="X2" i="26"/>
  <c r="T3" i="26"/>
  <c r="T4" i="26"/>
  <c r="T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49" i="26"/>
  <c r="T50" i="26"/>
  <c r="T51" i="26"/>
  <c r="T52" i="26"/>
  <c r="T53" i="26"/>
  <c r="T54" i="26"/>
  <c r="T55" i="26"/>
  <c r="T56" i="26"/>
  <c r="T57" i="26"/>
  <c r="T58" i="26"/>
  <c r="T59" i="26"/>
  <c r="T60" i="26"/>
  <c r="T61" i="26"/>
  <c r="T62" i="26"/>
  <c r="T63" i="26"/>
  <c r="T64" i="26"/>
  <c r="T65" i="26"/>
  <c r="T66" i="26"/>
  <c r="T67" i="26"/>
  <c r="T68" i="26"/>
  <c r="T69" i="26"/>
  <c r="T70" i="26"/>
  <c r="T71" i="26"/>
  <c r="T72" i="26"/>
  <c r="T73" i="26"/>
  <c r="T74" i="26"/>
  <c r="T75" i="26"/>
  <c r="T76" i="26"/>
  <c r="T77" i="26"/>
  <c r="T78" i="26"/>
  <c r="T79" i="26"/>
  <c r="T80" i="26"/>
  <c r="T81" i="26"/>
  <c r="T82" i="26"/>
  <c r="T83" i="26"/>
  <c r="T84" i="26"/>
  <c r="T85" i="26"/>
  <c r="T86" i="26"/>
  <c r="T87" i="26"/>
  <c r="T88" i="26"/>
  <c r="T89" i="26"/>
  <c r="T90" i="26"/>
  <c r="T2" i="26"/>
  <c r="P3" i="26"/>
  <c r="P4" i="26"/>
  <c r="P5" i="26"/>
  <c r="P6" i="26"/>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84" i="26"/>
  <c r="P85" i="26"/>
  <c r="P86" i="26"/>
  <c r="P87" i="26"/>
  <c r="P88" i="26"/>
  <c r="P89" i="26"/>
  <c r="P90" i="26"/>
  <c r="P2" i="26"/>
  <c r="AZ91" i="26" l="1"/>
  <c r="BD91" i="26"/>
  <c r="BH91" i="26"/>
  <c r="AR91" i="26"/>
  <c r="AN91" i="26"/>
  <c r="AF91" i="26"/>
  <c r="AB91" i="26"/>
  <c r="X91" i="26"/>
  <c r="T91" i="26"/>
  <c r="P91" i="26"/>
  <c r="C5" i="24"/>
  <c r="B5" i="24" s="1"/>
  <c r="BK3" i="26"/>
  <c r="BK4" i="26"/>
  <c r="BK5" i="26"/>
  <c r="BK6" i="26"/>
  <c r="BK7" i="26"/>
  <c r="BK8" i="26"/>
  <c r="BK9" i="26"/>
  <c r="BK10" i="26"/>
  <c r="BK11" i="26"/>
  <c r="BK12" i="26"/>
  <c r="BK13" i="26"/>
  <c r="BK14" i="26"/>
  <c r="BK15" i="26"/>
  <c r="BK16" i="26"/>
  <c r="BK17" i="26"/>
  <c r="BK18" i="26"/>
  <c r="BK19" i="26"/>
  <c r="BK20" i="26"/>
  <c r="BK21" i="26"/>
  <c r="BK22" i="26"/>
  <c r="BK23" i="26"/>
  <c r="BK24" i="26"/>
  <c r="BK26" i="26"/>
  <c r="BK27" i="26"/>
  <c r="BK28" i="26"/>
  <c r="BK29" i="26"/>
  <c r="BK30" i="26"/>
  <c r="BK31" i="26"/>
  <c r="BK33" i="26"/>
  <c r="BK34" i="26"/>
  <c r="BK35" i="26"/>
  <c r="BK36" i="26"/>
  <c r="BK37" i="26"/>
  <c r="BK38" i="26"/>
  <c r="BK39" i="26"/>
  <c r="BK40" i="26"/>
  <c r="BK41" i="26"/>
  <c r="BK42" i="26"/>
  <c r="BK43" i="26"/>
  <c r="BK45" i="26"/>
  <c r="BK47" i="26"/>
  <c r="BK49" i="26"/>
  <c r="BK50" i="26"/>
  <c r="BK51" i="26"/>
  <c r="BK52" i="26"/>
  <c r="BK53" i="26"/>
  <c r="BK54" i="26"/>
  <c r="BK57" i="26"/>
  <c r="BK58" i="26"/>
  <c r="BK59" i="26"/>
  <c r="BK60" i="26"/>
  <c r="BK61" i="26"/>
  <c r="BK62" i="26"/>
  <c r="BK63" i="26"/>
  <c r="BK64" i="26"/>
  <c r="BK65" i="26"/>
  <c r="BK66" i="26"/>
  <c r="BK67" i="26"/>
  <c r="BK68" i="26"/>
  <c r="BK69" i="26"/>
  <c r="BK70" i="26"/>
  <c r="BK71" i="26"/>
  <c r="BK72" i="26"/>
  <c r="BK73" i="26"/>
  <c r="BK74" i="26"/>
  <c r="BK75" i="26"/>
  <c r="BK76" i="26"/>
  <c r="BK77" i="26"/>
  <c r="BK78" i="26"/>
  <c r="BK79" i="26"/>
  <c r="BK80" i="26"/>
  <c r="BK81" i="26"/>
  <c r="BK83" i="26"/>
  <c r="BK84" i="26"/>
  <c r="BK85" i="26"/>
  <c r="BK87" i="26"/>
  <c r="BK89" i="26"/>
  <c r="BK90" i="26"/>
  <c r="BK2" i="26"/>
  <c r="C3" i="24"/>
  <c r="C4" i="24"/>
  <c r="AV25" i="26"/>
  <c r="AV56" i="26" l="1"/>
  <c r="AV86" i="26"/>
  <c r="AV88" i="26"/>
  <c r="AV48" i="26"/>
  <c r="AV91" i="26" l="1"/>
  <c r="BK46" i="26"/>
  <c r="BK48" i="26"/>
  <c r="BK88" i="26"/>
  <c r="BK86" i="26"/>
  <c r="BK44" i="26"/>
  <c r="B71" i="24" l="1"/>
  <c r="B70" i="24"/>
  <c r="B69" i="24"/>
  <c r="B68" i="24"/>
  <c r="B66" i="24"/>
  <c r="C91" i="26"/>
  <c r="G90" i="26"/>
  <c r="D90" i="26"/>
  <c r="F90" i="26" s="1"/>
  <c r="G89" i="26"/>
  <c r="D89" i="26"/>
  <c r="F89" i="26" s="1"/>
  <c r="G88" i="26"/>
  <c r="D88" i="26"/>
  <c r="F88" i="26" s="1"/>
  <c r="G87" i="26"/>
  <c r="D87" i="26"/>
  <c r="F87" i="26" s="1"/>
  <c r="G86" i="26"/>
  <c r="D86" i="26"/>
  <c r="F86" i="26" s="1"/>
  <c r="G85" i="26"/>
  <c r="D85" i="26"/>
  <c r="F85" i="26" s="1"/>
  <c r="G84" i="26"/>
  <c r="D84" i="26"/>
  <c r="F84" i="26" s="1"/>
  <c r="G83" i="26"/>
  <c r="D83" i="26"/>
  <c r="F83" i="26" s="1"/>
  <c r="BK82" i="26"/>
  <c r="D82" i="26"/>
  <c r="F82" i="26" s="1"/>
  <c r="G81" i="26"/>
  <c r="D81" i="26"/>
  <c r="F81" i="26" s="1"/>
  <c r="G80" i="26"/>
  <c r="D80" i="26"/>
  <c r="F80" i="26" s="1"/>
  <c r="G79" i="26"/>
  <c r="D79" i="26"/>
  <c r="F79" i="26" s="1"/>
  <c r="G78" i="26"/>
  <c r="D78" i="26"/>
  <c r="F78" i="26" s="1"/>
  <c r="G77" i="26"/>
  <c r="D77" i="26"/>
  <c r="F77" i="26" s="1"/>
  <c r="G76" i="26"/>
  <c r="D76" i="26"/>
  <c r="F76" i="26" s="1"/>
  <c r="G75" i="26"/>
  <c r="D75" i="26"/>
  <c r="F75" i="26" s="1"/>
  <c r="G74" i="26"/>
  <c r="D74" i="26"/>
  <c r="F74" i="26" s="1"/>
  <c r="G73" i="26"/>
  <c r="D73" i="26"/>
  <c r="F73" i="26" s="1"/>
  <c r="G72" i="26"/>
  <c r="D72" i="26"/>
  <c r="F72" i="26" s="1"/>
  <c r="G71" i="26"/>
  <c r="D71" i="26"/>
  <c r="F71" i="26" s="1"/>
  <c r="G70" i="26"/>
  <c r="D70" i="26"/>
  <c r="F70" i="26" s="1"/>
  <c r="G69" i="26"/>
  <c r="D69" i="26"/>
  <c r="F69" i="26" s="1"/>
  <c r="G68" i="26"/>
  <c r="D68" i="26"/>
  <c r="F68" i="26" s="1"/>
  <c r="G67" i="26"/>
  <c r="D67" i="26"/>
  <c r="F67" i="26" s="1"/>
  <c r="G66" i="26"/>
  <c r="D66" i="26"/>
  <c r="F66" i="26" s="1"/>
  <c r="G65" i="26"/>
  <c r="D65" i="26"/>
  <c r="F65" i="26" s="1"/>
  <c r="G64" i="26"/>
  <c r="D64" i="26"/>
  <c r="F64" i="26" s="1"/>
  <c r="G63" i="26"/>
  <c r="D63" i="26"/>
  <c r="F63" i="26" s="1"/>
  <c r="G62" i="26"/>
  <c r="D62" i="26"/>
  <c r="F62" i="26" s="1"/>
  <c r="G61" i="26"/>
  <c r="D61" i="26"/>
  <c r="F61" i="26" s="1"/>
  <c r="G60" i="26"/>
  <c r="D60" i="26"/>
  <c r="F60" i="26" s="1"/>
  <c r="G59" i="26"/>
  <c r="D59" i="26"/>
  <c r="F59" i="26" s="1"/>
  <c r="G58" i="26"/>
  <c r="D58" i="26"/>
  <c r="F58" i="26" s="1"/>
  <c r="G57" i="26"/>
  <c r="D57" i="26"/>
  <c r="F57" i="26" s="1"/>
  <c r="B63" i="24"/>
  <c r="D56" i="26"/>
  <c r="F56" i="26" s="1"/>
  <c r="D55" i="26"/>
  <c r="F55" i="26" s="1"/>
  <c r="G54" i="26"/>
  <c r="D54" i="26"/>
  <c r="F54" i="26" s="1"/>
  <c r="G53" i="26"/>
  <c r="D53" i="26"/>
  <c r="F53" i="26" s="1"/>
  <c r="G52" i="26"/>
  <c r="D52" i="26"/>
  <c r="F52" i="26" s="1"/>
  <c r="G51" i="26"/>
  <c r="D51" i="26"/>
  <c r="F51" i="26" s="1"/>
  <c r="G50" i="26"/>
  <c r="D50" i="26"/>
  <c r="F50" i="26" s="1"/>
  <c r="G49" i="26"/>
  <c r="D49" i="26"/>
  <c r="F49" i="26" s="1"/>
  <c r="G48" i="26"/>
  <c r="D48" i="26"/>
  <c r="F48" i="26" s="1"/>
  <c r="G47" i="26"/>
  <c r="D47" i="26"/>
  <c r="F47" i="26" s="1"/>
  <c r="G46" i="26"/>
  <c r="D46" i="26"/>
  <c r="F46" i="26" s="1"/>
  <c r="G45" i="26"/>
  <c r="D45" i="26"/>
  <c r="F45" i="26" s="1"/>
  <c r="G44" i="26"/>
  <c r="D44" i="26"/>
  <c r="F44" i="26" s="1"/>
  <c r="G43" i="26"/>
  <c r="D43" i="26"/>
  <c r="F43" i="26" s="1"/>
  <c r="G42" i="26"/>
  <c r="D42" i="26"/>
  <c r="F42" i="26" s="1"/>
  <c r="G41" i="26"/>
  <c r="D41" i="26"/>
  <c r="F41" i="26" s="1"/>
  <c r="G40" i="26"/>
  <c r="D40" i="26"/>
  <c r="F40" i="26" s="1"/>
  <c r="G39" i="26"/>
  <c r="D39" i="26"/>
  <c r="F39" i="26" s="1"/>
  <c r="G38" i="26"/>
  <c r="D38" i="26"/>
  <c r="F38" i="26" s="1"/>
  <c r="G37" i="26"/>
  <c r="D37" i="26"/>
  <c r="F37" i="26" s="1"/>
  <c r="G36" i="26"/>
  <c r="D36" i="26"/>
  <c r="F36" i="26" s="1"/>
  <c r="G35" i="26"/>
  <c r="D35" i="26"/>
  <c r="F35" i="26" s="1"/>
  <c r="G34" i="26"/>
  <c r="D34" i="26"/>
  <c r="F34" i="26" s="1"/>
  <c r="G33" i="26"/>
  <c r="D33" i="26"/>
  <c r="F33" i="26" s="1"/>
  <c r="D32" i="26"/>
  <c r="F32" i="26" s="1"/>
  <c r="G31" i="26"/>
  <c r="D31" i="26"/>
  <c r="F31" i="26" s="1"/>
  <c r="G30" i="26"/>
  <c r="D30" i="26"/>
  <c r="F30" i="26" s="1"/>
  <c r="G29" i="26"/>
  <c r="D29" i="26"/>
  <c r="F29" i="26" s="1"/>
  <c r="G28" i="26"/>
  <c r="D28" i="26"/>
  <c r="F28" i="26" s="1"/>
  <c r="G27" i="26"/>
  <c r="D27" i="26"/>
  <c r="F27" i="26" s="1"/>
  <c r="G26" i="26"/>
  <c r="D26" i="26"/>
  <c r="F26" i="26" s="1"/>
  <c r="BK25" i="26"/>
  <c r="D25" i="26"/>
  <c r="F25" i="26" s="1"/>
  <c r="G24" i="26"/>
  <c r="D24" i="26"/>
  <c r="F24" i="26" s="1"/>
  <c r="G23" i="26"/>
  <c r="D23" i="26"/>
  <c r="F23" i="26" s="1"/>
  <c r="G22" i="26"/>
  <c r="D22" i="26"/>
  <c r="F22" i="26" s="1"/>
  <c r="G21" i="26"/>
  <c r="D21" i="26"/>
  <c r="F21" i="26" s="1"/>
  <c r="G20" i="26"/>
  <c r="D20" i="26"/>
  <c r="F20" i="26" s="1"/>
  <c r="G19" i="26"/>
  <c r="D19" i="26"/>
  <c r="F19" i="26" s="1"/>
  <c r="G18" i="26"/>
  <c r="D18" i="26"/>
  <c r="F18" i="26" s="1"/>
  <c r="G17" i="26"/>
  <c r="D17" i="26"/>
  <c r="F17" i="26" s="1"/>
  <c r="G16" i="26"/>
  <c r="D16" i="26"/>
  <c r="F16" i="26" s="1"/>
  <c r="G15" i="26"/>
  <c r="D15" i="26"/>
  <c r="F15" i="26" s="1"/>
  <c r="G14" i="26"/>
  <c r="D14" i="26"/>
  <c r="F14" i="26" s="1"/>
  <c r="G13" i="26"/>
  <c r="D13" i="26"/>
  <c r="F13" i="26" s="1"/>
  <c r="G12" i="26"/>
  <c r="D12" i="26"/>
  <c r="F12" i="26" s="1"/>
  <c r="G11" i="26"/>
  <c r="D11" i="26"/>
  <c r="F11" i="26" s="1"/>
  <c r="G10" i="26"/>
  <c r="D10" i="26"/>
  <c r="F10" i="26" s="1"/>
  <c r="G9" i="26"/>
  <c r="D9" i="26"/>
  <c r="F9" i="26" s="1"/>
  <c r="G8" i="26"/>
  <c r="D8" i="26"/>
  <c r="F8" i="26" s="1"/>
  <c r="G7" i="26"/>
  <c r="D7" i="26"/>
  <c r="F7" i="26" s="1"/>
  <c r="G6" i="26"/>
  <c r="D6" i="26"/>
  <c r="F6" i="26" s="1"/>
  <c r="G5" i="26"/>
  <c r="D5" i="26"/>
  <c r="F5" i="26" s="1"/>
  <c r="G4" i="26"/>
  <c r="D4" i="26"/>
  <c r="F4" i="26" s="1"/>
  <c r="G3" i="26"/>
  <c r="D3" i="26"/>
  <c r="F3" i="26" s="1"/>
  <c r="G2" i="26"/>
  <c r="D2" i="26"/>
  <c r="F2" i="26" s="1"/>
  <c r="B65" i="24" l="1"/>
  <c r="AJ55" i="26"/>
  <c r="AJ91" i="26" s="1"/>
  <c r="B61" i="24"/>
  <c r="BK32" i="26"/>
  <c r="BK55" i="26"/>
  <c r="BK56" i="26"/>
  <c r="H66" i="26"/>
  <c r="H12" i="26"/>
  <c r="H50" i="26"/>
  <c r="H51" i="26"/>
  <c r="H76" i="26"/>
  <c r="H35" i="26"/>
  <c r="H48" i="26"/>
  <c r="H77" i="26"/>
  <c r="H45" i="26"/>
  <c r="H71" i="26"/>
  <c r="H26" i="26"/>
  <c r="H30" i="26"/>
  <c r="H34" i="26"/>
  <c r="H57" i="26"/>
  <c r="H24" i="26"/>
  <c r="H5" i="26"/>
  <c r="J36" i="26"/>
  <c r="K36" i="26" s="1"/>
  <c r="J45" i="26"/>
  <c r="K45" i="26" s="1"/>
  <c r="H85" i="26"/>
  <c r="J4" i="26"/>
  <c r="K4" i="26" s="1"/>
  <c r="J44" i="26"/>
  <c r="K44" i="26" s="1"/>
  <c r="H64" i="26"/>
  <c r="H3" i="26"/>
  <c r="J6" i="26"/>
  <c r="K6" i="26" s="1"/>
  <c r="H15" i="26"/>
  <c r="H61" i="26"/>
  <c r="J5" i="26"/>
  <c r="K5" i="26" s="1"/>
  <c r="H8" i="26"/>
  <c r="J13" i="26"/>
  <c r="K13" i="26" s="1"/>
  <c r="H43" i="26"/>
  <c r="H54" i="26"/>
  <c r="J64" i="26"/>
  <c r="K64" i="26" s="1"/>
  <c r="J67" i="26"/>
  <c r="K67" i="26" s="1"/>
  <c r="H73" i="26"/>
  <c r="H29" i="26"/>
  <c r="H44" i="26"/>
  <c r="H74" i="26"/>
  <c r="H53" i="26"/>
  <c r="J8" i="26"/>
  <c r="K8" i="26" s="1"/>
  <c r="J10" i="26"/>
  <c r="K10" i="26" s="1"/>
  <c r="H20" i="26"/>
  <c r="J39" i="26"/>
  <c r="K39" i="26" s="1"/>
  <c r="H52" i="26"/>
  <c r="J65" i="26"/>
  <c r="K65" i="26" s="1"/>
  <c r="J81" i="26"/>
  <c r="K81" i="26" s="1"/>
  <c r="J84" i="26"/>
  <c r="K84" i="26" s="1"/>
  <c r="H86" i="26"/>
  <c r="J90" i="26"/>
  <c r="K90" i="26" s="1"/>
  <c r="J18" i="26"/>
  <c r="K18" i="26" s="1"/>
  <c r="J49" i="26"/>
  <c r="K49" i="26" s="1"/>
  <c r="H58" i="26"/>
  <c r="H67" i="26"/>
  <c r="J74" i="26"/>
  <c r="K74" i="26" s="1"/>
  <c r="H87" i="26"/>
  <c r="H78" i="26"/>
  <c r="J23" i="26"/>
  <c r="K23" i="26" s="1"/>
  <c r="H9" i="26"/>
  <c r="J48" i="26"/>
  <c r="K48" i="26" s="1"/>
  <c r="J14" i="26"/>
  <c r="K14" i="26" s="1"/>
  <c r="J30" i="26"/>
  <c r="K30" i="26" s="1"/>
  <c r="H62" i="26"/>
  <c r="H68" i="26"/>
  <c r="J79" i="26"/>
  <c r="K79" i="26" s="1"/>
  <c r="H80" i="26"/>
  <c r="H81" i="26"/>
  <c r="H90" i="26"/>
  <c r="J7" i="26"/>
  <c r="K7" i="26" s="1"/>
  <c r="J21" i="26"/>
  <c r="K21" i="26" s="1"/>
  <c r="J59" i="26"/>
  <c r="K59" i="26" s="1"/>
  <c r="H2" i="26"/>
  <c r="J9" i="26"/>
  <c r="K9" i="26" s="1"/>
  <c r="H10" i="26"/>
  <c r="J32" i="26"/>
  <c r="J51" i="26"/>
  <c r="K51" i="26" s="1"/>
  <c r="H69" i="26"/>
  <c r="H41" i="26"/>
  <c r="J17" i="26"/>
  <c r="K17" i="26" s="1"/>
  <c r="J35" i="26"/>
  <c r="K35" i="26" s="1"/>
  <c r="H11" i="26"/>
  <c r="H16" i="26"/>
  <c r="J20" i="26"/>
  <c r="K20" i="26" s="1"/>
  <c r="J63" i="26"/>
  <c r="K63" i="26" s="1"/>
  <c r="J89" i="26"/>
  <c r="K89" i="26" s="1"/>
  <c r="J12" i="26"/>
  <c r="K12" i="26" s="1"/>
  <c r="H7" i="26"/>
  <c r="H13" i="26"/>
  <c r="J22" i="26"/>
  <c r="K22" i="26" s="1"/>
  <c r="H23" i="26"/>
  <c r="H47" i="26"/>
  <c r="J52" i="26"/>
  <c r="K52" i="26" s="1"/>
  <c r="H60" i="26"/>
  <c r="H4" i="26"/>
  <c r="H6" i="26"/>
  <c r="H18" i="26"/>
  <c r="H33" i="26"/>
  <c r="D91" i="26"/>
  <c r="J27" i="26"/>
  <c r="K27" i="26" s="1"/>
  <c r="H28" i="26"/>
  <c r="J46" i="26"/>
  <c r="H17" i="26"/>
  <c r="H21" i="26"/>
  <c r="H22" i="26"/>
  <c r="J26" i="26"/>
  <c r="H31" i="26"/>
  <c r="J34" i="26"/>
  <c r="K34" i="26" s="1"/>
  <c r="H42" i="26"/>
  <c r="H19" i="26"/>
  <c r="J3" i="26"/>
  <c r="J16" i="26"/>
  <c r="K16" i="26" s="1"/>
  <c r="J28" i="26"/>
  <c r="K28" i="26" s="1"/>
  <c r="J33" i="26"/>
  <c r="K33" i="26" s="1"/>
  <c r="J40" i="26"/>
  <c r="J2" i="26"/>
  <c r="K2" i="26" s="1"/>
  <c r="J24" i="26"/>
  <c r="K24" i="26" s="1"/>
  <c r="F91" i="26"/>
  <c r="H14" i="26"/>
  <c r="J25" i="26"/>
  <c r="G25" i="26"/>
  <c r="H25" i="26" s="1"/>
  <c r="J31" i="26"/>
  <c r="K31" i="26" s="1"/>
  <c r="J11" i="26"/>
  <c r="J15" i="26"/>
  <c r="J19" i="26"/>
  <c r="J37" i="26"/>
  <c r="K37" i="26" s="1"/>
  <c r="H39" i="26"/>
  <c r="J83" i="26"/>
  <c r="K83" i="26" s="1"/>
  <c r="J47" i="26"/>
  <c r="K47" i="26" s="1"/>
  <c r="J53" i="26"/>
  <c r="K53" i="26" s="1"/>
  <c r="H65" i="26"/>
  <c r="J29" i="26"/>
  <c r="H38" i="26"/>
  <c r="H36" i="26"/>
  <c r="H37" i="26"/>
  <c r="H63" i="26"/>
  <c r="H27" i="26"/>
  <c r="H40" i="26"/>
  <c r="J42" i="26"/>
  <c r="K42" i="26" s="1"/>
  <c r="H49" i="26"/>
  <c r="J57" i="26"/>
  <c r="J60" i="26"/>
  <c r="K60" i="26" s="1"/>
  <c r="H79" i="26"/>
  <c r="H89" i="26"/>
  <c r="J41" i="26"/>
  <c r="K41" i="26" s="1"/>
  <c r="H46" i="26"/>
  <c r="B60" i="24"/>
  <c r="J56" i="26"/>
  <c r="J73" i="26"/>
  <c r="J38" i="26"/>
  <c r="K38" i="26" s="1"/>
  <c r="J43" i="26"/>
  <c r="K43" i="26" s="1"/>
  <c r="B62" i="24"/>
  <c r="J62" i="26"/>
  <c r="H70" i="26"/>
  <c r="J50" i="26"/>
  <c r="K50" i="26" s="1"/>
  <c r="J54" i="26"/>
  <c r="K54" i="26" s="1"/>
  <c r="J58" i="26"/>
  <c r="K58" i="26" s="1"/>
  <c r="J61" i="26"/>
  <c r="K61" i="26" s="1"/>
  <c r="J69" i="26"/>
  <c r="J71" i="26"/>
  <c r="J87" i="26"/>
  <c r="K87" i="26" s="1"/>
  <c r="H88" i="26"/>
  <c r="J78" i="26"/>
  <c r="K78" i="26" s="1"/>
  <c r="H75" i="26"/>
  <c r="H59" i="26"/>
  <c r="J75" i="26"/>
  <c r="K75" i="26" s="1"/>
  <c r="J66" i="26"/>
  <c r="K66" i="26" s="1"/>
  <c r="J68" i="26"/>
  <c r="J85" i="26"/>
  <c r="K85" i="26" s="1"/>
  <c r="J86" i="26"/>
  <c r="B64" i="24"/>
  <c r="G82" i="26"/>
  <c r="J82" i="26"/>
  <c r="H83" i="26"/>
  <c r="J88" i="26"/>
  <c r="J70" i="26"/>
  <c r="H72" i="26"/>
  <c r="J76" i="26"/>
  <c r="K76" i="26" s="1"/>
  <c r="J77" i="26"/>
  <c r="J72" i="26"/>
  <c r="K72" i="26" s="1"/>
  <c r="J80" i="26"/>
  <c r="K80" i="26" s="1"/>
  <c r="H84" i="26"/>
  <c r="AQ55" i="20"/>
  <c r="AQ91" i="20"/>
  <c r="BK91" i="26" l="1"/>
  <c r="B12" i="24" s="1"/>
  <c r="B67" i="24"/>
  <c r="G55" i="26"/>
  <c r="H55" i="26" s="1"/>
  <c r="G56" i="26"/>
  <c r="H56" i="26" s="1"/>
  <c r="G32" i="26"/>
  <c r="H32" i="26" s="1"/>
  <c r="J55" i="26"/>
  <c r="K82" i="26"/>
  <c r="K29" i="26"/>
  <c r="K70" i="26"/>
  <c r="K15" i="26"/>
  <c r="K88" i="26"/>
  <c r="K62" i="26"/>
  <c r="K19" i="26"/>
  <c r="K40" i="26"/>
  <c r="K3" i="26"/>
  <c r="K46" i="26"/>
  <c r="K69" i="26"/>
  <c r="K77" i="26"/>
  <c r="K71" i="26"/>
  <c r="K73" i="26"/>
  <c r="K57" i="26"/>
  <c r="H82" i="26"/>
  <c r="K26" i="26"/>
  <c r="K68" i="26"/>
  <c r="K25" i="26"/>
  <c r="K11" i="26"/>
  <c r="K86" i="26"/>
  <c r="B4" i="24"/>
  <c r="B3" i="24"/>
  <c r="BA30" i="20"/>
  <c r="AR90" i="20"/>
  <c r="AR89" i="20"/>
  <c r="AR88" i="20"/>
  <c r="AR87" i="20"/>
  <c r="AR86" i="20"/>
  <c r="AR85" i="20"/>
  <c r="AR84" i="20"/>
  <c r="AR83" i="20"/>
  <c r="AR82" i="20"/>
  <c r="AR81" i="20"/>
  <c r="AR80" i="20"/>
  <c r="AR79" i="20"/>
  <c r="AR78" i="20"/>
  <c r="AR77" i="20"/>
  <c r="AR76" i="20"/>
  <c r="AR75" i="20"/>
  <c r="AR74" i="20"/>
  <c r="AR73" i="20"/>
  <c r="AR72" i="20"/>
  <c r="AR71" i="20"/>
  <c r="AR70" i="20"/>
  <c r="AR69" i="20"/>
  <c r="AR68" i="20"/>
  <c r="AR67" i="20"/>
  <c r="AR66" i="20"/>
  <c r="AR65" i="20"/>
  <c r="AR64" i="20"/>
  <c r="AR63" i="20"/>
  <c r="AR62" i="20"/>
  <c r="AR61" i="20"/>
  <c r="AR60" i="20"/>
  <c r="AR59" i="20"/>
  <c r="AR58" i="20"/>
  <c r="AR57" i="20"/>
  <c r="AR56" i="20"/>
  <c r="AR55" i="20"/>
  <c r="AR54" i="20"/>
  <c r="AR53" i="20"/>
  <c r="AR52" i="20"/>
  <c r="AR51" i="20"/>
  <c r="AR50" i="20"/>
  <c r="AR49" i="20"/>
  <c r="AR48" i="20"/>
  <c r="AR47" i="20"/>
  <c r="AR46" i="20"/>
  <c r="AR45" i="20"/>
  <c r="AR44" i="20"/>
  <c r="AR43" i="20"/>
  <c r="AR42" i="20"/>
  <c r="AR41" i="20"/>
  <c r="AR40" i="20"/>
  <c r="AR39" i="20"/>
  <c r="AR38" i="20"/>
  <c r="AR37" i="20"/>
  <c r="AR36" i="20"/>
  <c r="AR35" i="20"/>
  <c r="AR34" i="20"/>
  <c r="AR33" i="20"/>
  <c r="AR32" i="20"/>
  <c r="AR31" i="20"/>
  <c r="AR30" i="20"/>
  <c r="AR29" i="20"/>
  <c r="AR28" i="20"/>
  <c r="AR27" i="20"/>
  <c r="AR26" i="20"/>
  <c r="AR25" i="20"/>
  <c r="AR24" i="20"/>
  <c r="AR23" i="20"/>
  <c r="AR22" i="20"/>
  <c r="AR21" i="20"/>
  <c r="AR20" i="20"/>
  <c r="AR19" i="20"/>
  <c r="AR18" i="20"/>
  <c r="AR17" i="20"/>
  <c r="AR16" i="20"/>
  <c r="AR15" i="20"/>
  <c r="AR14" i="20"/>
  <c r="AR13" i="20"/>
  <c r="AR12" i="20"/>
  <c r="AR11" i="20"/>
  <c r="AR10" i="20"/>
  <c r="AR9" i="20"/>
  <c r="AR8" i="20"/>
  <c r="AR7" i="20"/>
  <c r="AR6" i="20"/>
  <c r="AR5" i="20"/>
  <c r="AR4" i="20"/>
  <c r="AR3" i="20"/>
  <c r="AR2" i="20"/>
  <c r="AN90" i="20"/>
  <c r="AN89" i="20"/>
  <c r="AN88" i="20"/>
  <c r="AN87" i="20"/>
  <c r="AN86" i="20"/>
  <c r="AN85" i="20"/>
  <c r="AN84" i="20"/>
  <c r="AN83" i="20"/>
  <c r="AN82" i="20"/>
  <c r="AN81" i="20"/>
  <c r="AN80" i="20"/>
  <c r="AN79" i="20"/>
  <c r="AN78" i="20"/>
  <c r="AN77" i="20"/>
  <c r="AN76" i="20"/>
  <c r="AN75" i="20"/>
  <c r="AN74" i="20"/>
  <c r="AN73" i="20"/>
  <c r="AN72" i="20"/>
  <c r="AN71" i="20"/>
  <c r="AN70" i="20"/>
  <c r="AN69" i="20"/>
  <c r="AN68" i="20"/>
  <c r="AN67" i="20"/>
  <c r="AN66" i="20"/>
  <c r="AN65" i="20"/>
  <c r="AN64" i="20"/>
  <c r="AN63" i="20"/>
  <c r="AN62" i="20"/>
  <c r="AN61" i="20"/>
  <c r="AN60" i="20"/>
  <c r="AN59" i="20"/>
  <c r="AN58" i="20"/>
  <c r="AN57" i="20"/>
  <c r="AN56" i="20"/>
  <c r="AN55" i="20"/>
  <c r="AN54" i="20"/>
  <c r="AN53" i="20"/>
  <c r="AN52" i="20"/>
  <c r="AN51" i="20"/>
  <c r="AN50" i="20"/>
  <c r="AN49" i="20"/>
  <c r="AN48" i="20"/>
  <c r="AN47" i="20"/>
  <c r="AN46" i="20"/>
  <c r="AN45" i="20"/>
  <c r="AN44" i="20"/>
  <c r="AN43" i="20"/>
  <c r="AN42" i="20"/>
  <c r="AN41" i="20"/>
  <c r="AN40" i="20"/>
  <c r="AN39" i="20"/>
  <c r="AN38" i="20"/>
  <c r="AN37" i="20"/>
  <c r="AN36" i="20"/>
  <c r="AN35" i="20"/>
  <c r="AN34" i="20"/>
  <c r="AN33" i="20"/>
  <c r="AN32" i="20"/>
  <c r="AN31" i="20"/>
  <c r="AN30" i="20"/>
  <c r="AN29" i="20"/>
  <c r="AN28" i="20"/>
  <c r="AN27" i="20"/>
  <c r="AN26" i="20"/>
  <c r="AN25" i="20"/>
  <c r="AN24" i="20"/>
  <c r="AN23" i="20"/>
  <c r="AN22" i="20"/>
  <c r="AN21" i="20"/>
  <c r="AN20" i="20"/>
  <c r="AN19" i="20"/>
  <c r="AN18" i="20"/>
  <c r="AN17" i="20"/>
  <c r="AN16" i="20"/>
  <c r="AN15" i="20"/>
  <c r="AN14" i="20"/>
  <c r="AN13" i="20"/>
  <c r="AN12" i="20"/>
  <c r="AN11" i="20"/>
  <c r="AN10" i="20"/>
  <c r="AN9" i="20"/>
  <c r="AN8" i="20"/>
  <c r="AN7" i="20"/>
  <c r="AN6" i="20"/>
  <c r="AN5" i="20"/>
  <c r="AN4" i="20"/>
  <c r="AN3" i="20"/>
  <c r="AN2" i="20"/>
  <c r="AJ3" i="20"/>
  <c r="AJ4" i="20"/>
  <c r="AJ5" i="20"/>
  <c r="AJ6" i="20"/>
  <c r="AJ7" i="20"/>
  <c r="AJ8" i="20"/>
  <c r="AJ9" i="20"/>
  <c r="AJ10" i="20"/>
  <c r="AJ11" i="20"/>
  <c r="AJ12" i="20"/>
  <c r="AJ13" i="20"/>
  <c r="AJ14"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42" i="20"/>
  <c r="AJ43" i="20"/>
  <c r="AJ45" i="20"/>
  <c r="AJ46" i="20"/>
  <c r="AJ47" i="20"/>
  <c r="AJ48" i="20"/>
  <c r="AJ49" i="20"/>
  <c r="AJ50" i="20"/>
  <c r="AJ51" i="20"/>
  <c r="AJ52" i="20"/>
  <c r="AJ53" i="20"/>
  <c r="AJ54" i="20"/>
  <c r="AJ55" i="20"/>
  <c r="AJ56" i="20"/>
  <c r="AJ57" i="20"/>
  <c r="AJ58" i="20"/>
  <c r="AJ59" i="20"/>
  <c r="AJ60" i="20"/>
  <c r="AJ61" i="20"/>
  <c r="AJ62" i="20"/>
  <c r="AJ63" i="20"/>
  <c r="AJ64" i="20"/>
  <c r="AJ65" i="20"/>
  <c r="AJ66" i="20"/>
  <c r="AJ67" i="20"/>
  <c r="AJ68" i="20"/>
  <c r="AJ69" i="20"/>
  <c r="AJ71" i="20"/>
  <c r="AJ72" i="20"/>
  <c r="AJ73" i="20"/>
  <c r="AJ74" i="20"/>
  <c r="AJ75" i="20"/>
  <c r="AJ76" i="20"/>
  <c r="AJ77" i="20"/>
  <c r="AJ78" i="20"/>
  <c r="AJ79" i="20"/>
  <c r="AJ80" i="20"/>
  <c r="AJ81" i="20"/>
  <c r="AJ82" i="20"/>
  <c r="AJ83" i="20"/>
  <c r="AJ84" i="20"/>
  <c r="AJ85" i="20"/>
  <c r="AJ86" i="20"/>
  <c r="AJ87" i="20"/>
  <c r="AJ88" i="20"/>
  <c r="AJ89" i="20"/>
  <c r="AJ90" i="20"/>
  <c r="AJ2" i="20"/>
  <c r="B8" i="4"/>
  <c r="P31" i="22"/>
  <c r="O26" i="20"/>
  <c r="AU26" i="20" s="1"/>
  <c r="AS26" i="10"/>
  <c r="X26" i="10"/>
  <c r="R26" i="10"/>
  <c r="O26" i="10"/>
  <c r="AW91" i="20"/>
  <c r="AY91" i="20"/>
  <c r="AU2" i="20"/>
  <c r="G2" i="20" s="1"/>
  <c r="AU3" i="20"/>
  <c r="AU4" i="20"/>
  <c r="AU5" i="20"/>
  <c r="AU6" i="20"/>
  <c r="AU7" i="20"/>
  <c r="AU8" i="20"/>
  <c r="AU9" i="20"/>
  <c r="AU10" i="20"/>
  <c r="AU11" i="20"/>
  <c r="AU12" i="20"/>
  <c r="AU13" i="20"/>
  <c r="AU14" i="20"/>
  <c r="AU16" i="20"/>
  <c r="AU17" i="20"/>
  <c r="AU18" i="20"/>
  <c r="AU20" i="20"/>
  <c r="AU21" i="20"/>
  <c r="AU22" i="20"/>
  <c r="AU23" i="20"/>
  <c r="AU24" i="20"/>
  <c r="AU25" i="20"/>
  <c r="AU27" i="20"/>
  <c r="AU28" i="20"/>
  <c r="AU29" i="20"/>
  <c r="AU30" i="20"/>
  <c r="AU31" i="20"/>
  <c r="AU32" i="20"/>
  <c r="AU33" i="20"/>
  <c r="AU34" i="20"/>
  <c r="AU35" i="20"/>
  <c r="AU36" i="20"/>
  <c r="AU37" i="20"/>
  <c r="AU38" i="20"/>
  <c r="AU39" i="20"/>
  <c r="AU40" i="20"/>
  <c r="AU41" i="20"/>
  <c r="AU42" i="20"/>
  <c r="AU43" i="20"/>
  <c r="AU45" i="20"/>
  <c r="AU46" i="20"/>
  <c r="AU47" i="20"/>
  <c r="AU48" i="20"/>
  <c r="AU49" i="20"/>
  <c r="AU50" i="20"/>
  <c r="AU51" i="20"/>
  <c r="AU52" i="20"/>
  <c r="AU53" i="20"/>
  <c r="AU54" i="20"/>
  <c r="AU57" i="20"/>
  <c r="AU58" i="20"/>
  <c r="AU59" i="20"/>
  <c r="AU61" i="20"/>
  <c r="AU62" i="20"/>
  <c r="AU63" i="20"/>
  <c r="AU64" i="20"/>
  <c r="AU65" i="20"/>
  <c r="AU66" i="20"/>
  <c r="AU68" i="20"/>
  <c r="AU69" i="20"/>
  <c r="AU71" i="20"/>
  <c r="AU72" i="20"/>
  <c r="AU74" i="20"/>
  <c r="AU75" i="20"/>
  <c r="AU76" i="20"/>
  <c r="AU77" i="20"/>
  <c r="AU78" i="20"/>
  <c r="AU79" i="20"/>
  <c r="AU80" i="20"/>
  <c r="AU81" i="20"/>
  <c r="AU82" i="20"/>
  <c r="AU83" i="20"/>
  <c r="AU84" i="20"/>
  <c r="AU85" i="20"/>
  <c r="AU86" i="20"/>
  <c r="AU87" i="20"/>
  <c r="AU88" i="20"/>
  <c r="AU89" i="20"/>
  <c r="AU90" i="20"/>
  <c r="R29" i="22"/>
  <c r="R11" i="22"/>
  <c r="Q8" i="20"/>
  <c r="D20" i="22"/>
  <c r="D29" i="22"/>
  <c r="D37" i="22"/>
  <c r="D39" i="22"/>
  <c r="D42" i="22"/>
  <c r="D57" i="22"/>
  <c r="D58" i="22"/>
  <c r="D61" i="22"/>
  <c r="D82" i="22"/>
  <c r="D87" i="22"/>
  <c r="BH19" i="22"/>
  <c r="K55" i="26" l="1"/>
  <c r="G91" i="26"/>
  <c r="H91" i="26"/>
  <c r="K32" i="26"/>
  <c r="K56" i="26"/>
  <c r="J91" i="26"/>
  <c r="L69" i="24"/>
  <c r="J67" i="24"/>
  <c r="L67" i="24" s="1"/>
  <c r="K91" i="26" l="1"/>
  <c r="Q91" i="10"/>
  <c r="T91" i="10"/>
  <c r="W91" i="10"/>
  <c r="Z91" i="10"/>
  <c r="AC91" i="10"/>
  <c r="AF91" i="10"/>
  <c r="AI91" i="10"/>
  <c r="AL91" i="10"/>
  <c r="AO91" i="10"/>
  <c r="AR91" i="10"/>
  <c r="AU91" i="10"/>
  <c r="AX91" i="10"/>
  <c r="D91" i="19"/>
  <c r="U11" i="19"/>
  <c r="U53" i="19"/>
  <c r="U26" i="19"/>
  <c r="U68" i="19"/>
  <c r="U10" i="19"/>
  <c r="U78" i="19"/>
  <c r="U71" i="19"/>
  <c r="U44" i="19"/>
  <c r="U13" i="19"/>
  <c r="Q31" i="19"/>
  <c r="U25" i="19"/>
  <c r="Q2" i="19"/>
  <c r="Q3" i="19"/>
  <c r="Q56" i="19"/>
  <c r="Q73" i="19"/>
  <c r="Q48" i="19"/>
  <c r="Q54" i="19"/>
  <c r="Q13" i="19"/>
  <c r="Q82" i="19"/>
  <c r="Q25" i="19"/>
  <c r="Q91" i="19" l="1"/>
  <c r="U91" i="19"/>
  <c r="AI70" i="20"/>
  <c r="AJ70" i="20" s="1"/>
  <c r="AI44" i="20"/>
  <c r="AI15" i="20"/>
  <c r="AA55" i="20"/>
  <c r="AU55" i="20" s="1"/>
  <c r="W67" i="20"/>
  <c r="W56" i="20"/>
  <c r="W70" i="20"/>
  <c r="AU70" i="20" s="1"/>
  <c r="W60" i="20"/>
  <c r="S19" i="20"/>
  <c r="AU19" i="20" s="1"/>
  <c r="S67" i="20"/>
  <c r="AU67" i="20" s="1"/>
  <c r="S56" i="20"/>
  <c r="AU56" i="20" s="1"/>
  <c r="O60" i="20"/>
  <c r="AU60" i="20" s="1"/>
  <c r="AJ15" i="20" l="1"/>
  <c r="AU15" i="20"/>
  <c r="AU91" i="20" s="1"/>
  <c r="AJ44" i="20"/>
  <c r="AU44" i="20"/>
  <c r="AC56" i="19"/>
  <c r="AC3" i="19"/>
  <c r="AC46" i="19"/>
  <c r="Y49" i="19"/>
  <c r="Y11" i="19"/>
  <c r="Y54" i="19"/>
  <c r="Y91" i="19" l="1"/>
  <c r="AC91" i="19"/>
  <c r="AR91" i="20"/>
  <c r="P26" i="10"/>
  <c r="AG25" i="19" l="1"/>
  <c r="R21" i="10"/>
  <c r="D3" i="21"/>
  <c r="B2" i="24"/>
  <c r="BL3" i="22"/>
  <c r="BL4" i="22"/>
  <c r="BL5" i="22"/>
  <c r="BL7" i="22"/>
  <c r="BL8" i="22"/>
  <c r="BL11" i="22"/>
  <c r="BL15" i="22"/>
  <c r="BL17" i="22"/>
  <c r="BL22" i="22"/>
  <c r="BL24" i="22"/>
  <c r="BL29" i="22"/>
  <c r="BL32" i="22"/>
  <c r="BL33" i="22"/>
  <c r="BL34" i="22"/>
  <c r="BL35" i="22"/>
  <c r="BL36" i="22"/>
  <c r="BL40" i="22"/>
  <c r="BL41" i="22"/>
  <c r="BL47" i="22"/>
  <c r="BL50" i="22"/>
  <c r="BL51" i="22"/>
  <c r="BL62" i="22"/>
  <c r="BL64" i="22"/>
  <c r="BL65" i="22"/>
  <c r="BL77" i="22"/>
  <c r="BL79" i="22"/>
  <c r="BL80" i="22"/>
  <c r="BL84" i="22"/>
  <c r="BL88" i="22"/>
  <c r="BL89" i="22"/>
  <c r="BL90" i="22"/>
  <c r="BL4" i="18"/>
  <c r="BL5" i="18"/>
  <c r="BL8" i="18"/>
  <c r="BL15" i="18"/>
  <c r="BL16" i="18"/>
  <c r="BL17" i="18"/>
  <c r="BL20" i="18"/>
  <c r="BL22" i="18"/>
  <c r="BL24" i="18"/>
  <c r="BL27" i="18"/>
  <c r="BL29" i="18"/>
  <c r="BL33" i="18"/>
  <c r="BL34" i="18"/>
  <c r="BL35" i="18"/>
  <c r="BL36" i="18"/>
  <c r="BL39" i="18"/>
  <c r="BL40" i="18"/>
  <c r="BL42" i="18"/>
  <c r="BL47" i="18"/>
  <c r="BL50" i="18"/>
  <c r="BL51" i="18"/>
  <c r="BL52" i="18"/>
  <c r="BL58" i="18"/>
  <c r="BL59" i="18"/>
  <c r="BL61" i="18"/>
  <c r="BL64" i="18"/>
  <c r="BL65" i="18"/>
  <c r="BL66" i="18"/>
  <c r="BL72" i="18"/>
  <c r="BL76" i="18"/>
  <c r="BL77" i="18"/>
  <c r="BL79" i="18"/>
  <c r="BL80" i="18"/>
  <c r="BL82" i="18"/>
  <c r="BL84" i="18"/>
  <c r="BL87" i="18"/>
  <c r="BL88" i="18"/>
  <c r="BL89" i="18"/>
  <c r="BL90" i="18"/>
  <c r="P86" i="18"/>
  <c r="BL86" i="18" s="1"/>
  <c r="X85" i="18"/>
  <c r="T85" i="18"/>
  <c r="P85" i="18"/>
  <c r="AN83" i="18"/>
  <c r="AJ83" i="18"/>
  <c r="AF83" i="18"/>
  <c r="AB83" i="18"/>
  <c r="X83" i="18"/>
  <c r="T83" i="18"/>
  <c r="P83" i="18"/>
  <c r="AF81" i="18"/>
  <c r="AB81" i="18"/>
  <c r="T81" i="18"/>
  <c r="P81" i="18"/>
  <c r="AR78" i="18"/>
  <c r="AN78" i="18"/>
  <c r="AB78" i="18"/>
  <c r="X75" i="18"/>
  <c r="BL75" i="18" s="1"/>
  <c r="X74" i="18"/>
  <c r="BL74" i="18" s="1"/>
  <c r="BH73" i="18"/>
  <c r="BD73" i="18"/>
  <c r="AZ73" i="18"/>
  <c r="AV73" i="18"/>
  <c r="AR73" i="18"/>
  <c r="AN73" i="18"/>
  <c r="AJ73" i="18"/>
  <c r="AF73" i="18"/>
  <c r="AB73" i="18"/>
  <c r="X73" i="18"/>
  <c r="T73" i="18"/>
  <c r="P73" i="18"/>
  <c r="AR71" i="18"/>
  <c r="AN71" i="18"/>
  <c r="AB71" i="18"/>
  <c r="BH70" i="18"/>
  <c r="AV70" i="18"/>
  <c r="AR70" i="18"/>
  <c r="T70" i="18"/>
  <c r="BD69" i="18"/>
  <c r="AZ69" i="18"/>
  <c r="AF68" i="18"/>
  <c r="X68" i="18"/>
  <c r="BH67" i="18"/>
  <c r="AV67" i="18"/>
  <c r="AN67" i="18"/>
  <c r="AJ67" i="18"/>
  <c r="AF67" i="18"/>
  <c r="AB67" i="18"/>
  <c r="T67" i="18"/>
  <c r="BH63" i="18"/>
  <c r="BD63" i="18"/>
  <c r="AV62" i="18"/>
  <c r="BL62" i="18" s="1"/>
  <c r="P60" i="18"/>
  <c r="BL60" i="18" s="1"/>
  <c r="X57" i="18"/>
  <c r="BL57" i="18" s="1"/>
  <c r="AV56" i="18"/>
  <c r="AN56" i="18"/>
  <c r="AB56" i="18"/>
  <c r="X56" i="18"/>
  <c r="AF55" i="18"/>
  <c r="X55" i="18"/>
  <c r="T55" i="18"/>
  <c r="P55" i="18"/>
  <c r="BD54" i="18"/>
  <c r="BH54" i="18"/>
  <c r="AZ54" i="18"/>
  <c r="AJ54" i="18"/>
  <c r="AF54" i="18"/>
  <c r="AB54" i="18"/>
  <c r="X54" i="18"/>
  <c r="T54" i="18"/>
  <c r="BD53" i="18"/>
  <c r="BL53" i="18" s="1"/>
  <c r="AF49" i="18"/>
  <c r="BL49" i="18" s="1"/>
  <c r="BH48" i="18"/>
  <c r="BD48" i="18"/>
  <c r="AZ48" i="18"/>
  <c r="AV48" i="18"/>
  <c r="AR48" i="18"/>
  <c r="AN48" i="18"/>
  <c r="AJ48" i="18"/>
  <c r="AF48" i="18"/>
  <c r="AB48" i="18"/>
  <c r="X48" i="18"/>
  <c r="T48" i="18"/>
  <c r="P48" i="18"/>
  <c r="BH46" i="18"/>
  <c r="AZ46" i="18"/>
  <c r="AV46" i="18"/>
  <c r="AJ46" i="18"/>
  <c r="AF46" i="18"/>
  <c r="AB46" i="18"/>
  <c r="X46" i="18"/>
  <c r="P46" i="18"/>
  <c r="T46" i="18"/>
  <c r="BL45" i="18"/>
  <c r="BH44" i="18"/>
  <c r="AZ44" i="18"/>
  <c r="AR44" i="18"/>
  <c r="AN44" i="18"/>
  <c r="AJ44" i="18"/>
  <c r="AB44" i="18"/>
  <c r="X44" i="18"/>
  <c r="T44" i="18"/>
  <c r="T43" i="18"/>
  <c r="AV43" i="18"/>
  <c r="AJ43" i="18"/>
  <c r="AB43" i="18"/>
  <c r="X43" i="18"/>
  <c r="P43" i="18"/>
  <c r="BH41" i="18"/>
  <c r="P41" i="18"/>
  <c r="T38" i="18"/>
  <c r="BL38" i="18" s="1"/>
  <c r="AJ37" i="18"/>
  <c r="BL37" i="18" s="1"/>
  <c r="AZ32" i="18"/>
  <c r="AN32" i="18"/>
  <c r="AV31" i="18"/>
  <c r="AN31" i="18"/>
  <c r="AF31" i="18"/>
  <c r="AB31" i="18"/>
  <c r="P31" i="18"/>
  <c r="P30" i="18"/>
  <c r="BL30" i="18" s="1"/>
  <c r="BD28" i="18"/>
  <c r="BL28" i="18" s="1"/>
  <c r="AF26" i="18"/>
  <c r="BL26" i="18" s="1"/>
  <c r="BH25" i="18"/>
  <c r="BD25" i="18"/>
  <c r="AZ25" i="18"/>
  <c r="AV25" i="18"/>
  <c r="AR25" i="18"/>
  <c r="AN25" i="18"/>
  <c r="AJ25" i="18"/>
  <c r="AF25" i="18"/>
  <c r="AB25" i="18"/>
  <c r="X25" i="18"/>
  <c r="T25" i="18"/>
  <c r="P25" i="18"/>
  <c r="P23" i="18"/>
  <c r="BL23" i="18" s="1"/>
  <c r="AV21" i="18"/>
  <c r="X21" i="18"/>
  <c r="T21" i="18"/>
  <c r="P21" i="18"/>
  <c r="BH19" i="18"/>
  <c r="BD19" i="18"/>
  <c r="AZ19" i="18"/>
  <c r="AV19" i="18"/>
  <c r="AR19" i="18"/>
  <c r="AN19" i="18"/>
  <c r="AJ19" i="18"/>
  <c r="AF19" i="18"/>
  <c r="AB19" i="18"/>
  <c r="X19" i="18"/>
  <c r="T19" i="18"/>
  <c r="U20" i="18"/>
  <c r="P19" i="18"/>
  <c r="AN18" i="18"/>
  <c r="AB18" i="18"/>
  <c r="X18" i="18"/>
  <c r="T18" i="18"/>
  <c r="P18" i="18"/>
  <c r="AJ14" i="18"/>
  <c r="AB14" i="18"/>
  <c r="BH13" i="18"/>
  <c r="AZ13" i="18"/>
  <c r="AV13" i="18"/>
  <c r="AR13" i="18"/>
  <c r="AJ13" i="18"/>
  <c r="AF13" i="18"/>
  <c r="AB13" i="18"/>
  <c r="X13" i="18"/>
  <c r="T13" i="18"/>
  <c r="P13" i="18"/>
  <c r="T12" i="18"/>
  <c r="BL12" i="18" s="1"/>
  <c r="X11" i="18"/>
  <c r="BL11" i="18" s="1"/>
  <c r="AR10" i="18"/>
  <c r="AN10" i="18"/>
  <c r="AB10" i="18"/>
  <c r="BD9" i="18"/>
  <c r="AB9" i="18"/>
  <c r="BD7" i="18"/>
  <c r="BL7" i="18" s="1"/>
  <c r="T6" i="18"/>
  <c r="BL6" i="18" s="1"/>
  <c r="BH3" i="18"/>
  <c r="BD3" i="18"/>
  <c r="AZ3" i="18"/>
  <c r="AV3" i="18"/>
  <c r="AZ2" i="18"/>
  <c r="AR2" i="18"/>
  <c r="AJ2" i="18"/>
  <c r="P2" i="18"/>
  <c r="U4" i="10"/>
  <c r="AS30" i="10"/>
  <c r="AA30" i="10"/>
  <c r="AM2" i="10"/>
  <c r="U67" i="10"/>
  <c r="AA2" i="10"/>
  <c r="X2" i="10"/>
  <c r="U2" i="10"/>
  <c r="AA89" i="10"/>
  <c r="U89" i="10"/>
  <c r="AM88" i="10"/>
  <c r="AA88" i="10"/>
  <c r="U88" i="10"/>
  <c r="R88" i="10"/>
  <c r="AS86" i="10"/>
  <c r="AM86" i="10"/>
  <c r="AJ86" i="10"/>
  <c r="AG86" i="10"/>
  <c r="AA86" i="10"/>
  <c r="AS85" i="10"/>
  <c r="AP85" i="10"/>
  <c r="AM85" i="10"/>
  <c r="AG85" i="10"/>
  <c r="AA85" i="10"/>
  <c r="X85" i="10"/>
  <c r="U85" i="10"/>
  <c r="R85" i="10"/>
  <c r="O85" i="10"/>
  <c r="O91" i="10" s="1"/>
  <c r="U84" i="10"/>
  <c r="AP83" i="10"/>
  <c r="AM83" i="10"/>
  <c r="AJ83" i="10"/>
  <c r="AA83" i="10"/>
  <c r="X83" i="10"/>
  <c r="AM82" i="10"/>
  <c r="AV81" i="10"/>
  <c r="AS81" i="10"/>
  <c r="AP81" i="10"/>
  <c r="AM81" i="10"/>
  <c r="AJ81" i="10"/>
  <c r="AG81" i="10"/>
  <c r="AD81" i="10"/>
  <c r="R77" i="10"/>
  <c r="AM76" i="10"/>
  <c r="AJ76" i="10"/>
  <c r="AG76" i="10"/>
  <c r="AD76" i="10"/>
  <c r="AA76" i="10"/>
  <c r="X76" i="10"/>
  <c r="U76" i="10"/>
  <c r="AV74" i="10"/>
  <c r="AS74" i="10"/>
  <c r="AP74" i="10"/>
  <c r="AM74" i="10"/>
  <c r="AJ74" i="10"/>
  <c r="AG74" i="10"/>
  <c r="AD74" i="10"/>
  <c r="X74" i="10"/>
  <c r="AM70" i="10"/>
  <c r="AD70" i="10"/>
  <c r="AA70" i="10"/>
  <c r="X70" i="10"/>
  <c r="R70" i="10"/>
  <c r="AV68" i="10"/>
  <c r="AS68" i="10"/>
  <c r="X68" i="10"/>
  <c r="U68" i="10"/>
  <c r="R67" i="10"/>
  <c r="AP66" i="10"/>
  <c r="AM66" i="10"/>
  <c r="AA66" i="10"/>
  <c r="U65" i="10"/>
  <c r="U64" i="10"/>
  <c r="R64" i="10"/>
  <c r="AD63" i="10"/>
  <c r="X63" i="10"/>
  <c r="U62" i="10"/>
  <c r="AM60" i="10"/>
  <c r="X60" i="10"/>
  <c r="AM56" i="10"/>
  <c r="AD56" i="10"/>
  <c r="AA56" i="10"/>
  <c r="X56" i="10"/>
  <c r="R56" i="10"/>
  <c r="X55" i="10"/>
  <c r="AS54" i="10"/>
  <c r="AA51" i="10"/>
  <c r="U51" i="10"/>
  <c r="U50" i="10"/>
  <c r="AV49" i="10"/>
  <c r="AS49" i="10"/>
  <c r="AP49" i="10"/>
  <c r="AM49" i="10"/>
  <c r="AJ49" i="10"/>
  <c r="AD49" i="10"/>
  <c r="AA49" i="10"/>
  <c r="X49" i="10"/>
  <c r="U49" i="10"/>
  <c r="R49" i="10"/>
  <c r="AV48" i="10"/>
  <c r="AS48" i="10"/>
  <c r="AP48" i="10"/>
  <c r="AM48" i="10"/>
  <c r="AG48" i="10"/>
  <c r="AD48" i="10"/>
  <c r="AA48" i="10"/>
  <c r="X48" i="10"/>
  <c r="AP47" i="10"/>
  <c r="U47" i="10"/>
  <c r="R47" i="10"/>
  <c r="AP46" i="10"/>
  <c r="U45" i="10"/>
  <c r="AM44" i="10"/>
  <c r="AV44" i="10"/>
  <c r="AS44" i="10"/>
  <c r="AP44" i="10"/>
  <c r="AJ44" i="10"/>
  <c r="AG44" i="10"/>
  <c r="AD44" i="10"/>
  <c r="AA44" i="10"/>
  <c r="X44" i="10"/>
  <c r="U41" i="10"/>
  <c r="AV38" i="10"/>
  <c r="AP38" i="10"/>
  <c r="AM38" i="10"/>
  <c r="AJ38" i="10"/>
  <c r="AD38" i="10"/>
  <c r="AA38" i="10"/>
  <c r="X38" i="10"/>
  <c r="U38" i="10"/>
  <c r="R38" i="10"/>
  <c r="AA35" i="10"/>
  <c r="U35" i="10"/>
  <c r="AD33" i="10"/>
  <c r="AA33" i="10"/>
  <c r="X33" i="10"/>
  <c r="U33" i="10"/>
  <c r="AV31" i="10"/>
  <c r="AM31" i="10"/>
  <c r="AG31" i="10"/>
  <c r="X31" i="10"/>
  <c r="R31" i="10"/>
  <c r="AA27" i="10"/>
  <c r="BH25" i="22"/>
  <c r="BD25" i="22"/>
  <c r="AZ25" i="22"/>
  <c r="AV25" i="22"/>
  <c r="AR25" i="22"/>
  <c r="AN25" i="22"/>
  <c r="AJ25" i="22"/>
  <c r="AF25" i="22"/>
  <c r="AB25" i="22"/>
  <c r="X25" i="22"/>
  <c r="X24" i="10"/>
  <c r="R24" i="10"/>
  <c r="P23" i="22"/>
  <c r="AV23" i="10"/>
  <c r="AS23" i="10"/>
  <c r="AP23" i="10"/>
  <c r="AJ23" i="10"/>
  <c r="AG23" i="10"/>
  <c r="AA23" i="10"/>
  <c r="X23" i="10"/>
  <c r="AP22" i="10"/>
  <c r="AA22" i="10"/>
  <c r="X22" i="10"/>
  <c r="U22" i="10"/>
  <c r="BH21" i="22"/>
  <c r="AZ21" i="22"/>
  <c r="P21" i="22"/>
  <c r="AG21" i="10"/>
  <c r="X21" i="10"/>
  <c r="T20" i="22"/>
  <c r="BD19" i="22"/>
  <c r="AZ19" i="22"/>
  <c r="AV19" i="22"/>
  <c r="AR19" i="22"/>
  <c r="AN19" i="22"/>
  <c r="AJ19" i="22"/>
  <c r="AF19" i="22"/>
  <c r="AB19" i="22"/>
  <c r="X19" i="22"/>
  <c r="T19" i="22"/>
  <c r="P19" i="22"/>
  <c r="AV19" i="10"/>
  <c r="AS19" i="10"/>
  <c r="AP19" i="10"/>
  <c r="AM19" i="10"/>
  <c r="AJ19" i="10"/>
  <c r="AG19" i="10"/>
  <c r="AD19" i="10"/>
  <c r="AA19" i="10"/>
  <c r="X19" i="10"/>
  <c r="U19" i="10"/>
  <c r="R19" i="10"/>
  <c r="AJ18" i="22"/>
  <c r="AB18" i="22"/>
  <c r="P18" i="22"/>
  <c r="AP18" i="10"/>
  <c r="AM18" i="10"/>
  <c r="AJ18" i="10"/>
  <c r="AV17" i="10"/>
  <c r="AM17" i="10"/>
  <c r="AG17" i="10"/>
  <c r="AA17" i="10"/>
  <c r="U17" i="10"/>
  <c r="R15" i="10"/>
  <c r="AS14" i="10"/>
  <c r="AJ14" i="10"/>
  <c r="X14" i="10"/>
  <c r="R14" i="10"/>
  <c r="AB13" i="22"/>
  <c r="P13" i="22"/>
  <c r="AV13" i="10"/>
  <c r="AS13" i="10"/>
  <c r="AP13" i="10"/>
  <c r="AM13" i="10"/>
  <c r="AJ13" i="10"/>
  <c r="AG13" i="10"/>
  <c r="AD13" i="10"/>
  <c r="AA13" i="10"/>
  <c r="X13" i="10"/>
  <c r="U13" i="10"/>
  <c r="R13" i="10"/>
  <c r="BD12" i="22"/>
  <c r="AV12" i="22"/>
  <c r="AR12" i="22"/>
  <c r="AN12" i="22"/>
  <c r="AF12" i="22"/>
  <c r="X12" i="22"/>
  <c r="AV12" i="10"/>
  <c r="AM12" i="10"/>
  <c r="AJ12" i="10"/>
  <c r="AD12" i="10"/>
  <c r="AA12" i="10"/>
  <c r="BD10" i="22"/>
  <c r="AZ10" i="22"/>
  <c r="AJ10" i="22"/>
  <c r="AF10" i="22"/>
  <c r="AB10" i="22"/>
  <c r="X10" i="22"/>
  <c r="T10" i="22"/>
  <c r="P10" i="22"/>
  <c r="AV10" i="10"/>
  <c r="AS10" i="10"/>
  <c r="AP10" i="10"/>
  <c r="AM10" i="10"/>
  <c r="AJ10" i="10"/>
  <c r="AD10" i="10"/>
  <c r="AA10" i="10"/>
  <c r="X10" i="10"/>
  <c r="U10" i="10"/>
  <c r="R10" i="10"/>
  <c r="T9" i="22"/>
  <c r="BL9" i="22" s="1"/>
  <c r="AJ9" i="10"/>
  <c r="AG9" i="10"/>
  <c r="R9" i="10"/>
  <c r="AS7" i="10"/>
  <c r="AP7" i="10"/>
  <c r="AM7" i="10"/>
  <c r="AZ6" i="22"/>
  <c r="AV6" i="22"/>
  <c r="AR6" i="22"/>
  <c r="AN6" i="22"/>
  <c r="AF6" i="22"/>
  <c r="AB6" i="22"/>
  <c r="X6" i="22"/>
  <c r="AV6" i="10"/>
  <c r="AS6" i="10"/>
  <c r="AP6" i="10"/>
  <c r="AM6" i="10"/>
  <c r="AJ6" i="10"/>
  <c r="AG6" i="10"/>
  <c r="AD6" i="10"/>
  <c r="AA6" i="10"/>
  <c r="U6" i="10"/>
  <c r="R6" i="10"/>
  <c r="R5" i="10"/>
  <c r="AP4" i="10"/>
  <c r="AM4" i="10"/>
  <c r="AP90" i="10"/>
  <c r="AJ90" i="10"/>
  <c r="X90" i="10"/>
  <c r="AJ87" i="22"/>
  <c r="BL87" i="22" s="1"/>
  <c r="AN86" i="22"/>
  <c r="AF86" i="22"/>
  <c r="X86" i="22"/>
  <c r="T86" i="22"/>
  <c r="P86" i="22"/>
  <c r="BH85" i="22"/>
  <c r="BD85" i="22"/>
  <c r="AZ85" i="22"/>
  <c r="AJ85" i="22"/>
  <c r="AF85" i="22"/>
  <c r="AB85" i="22"/>
  <c r="X85" i="22"/>
  <c r="T85" i="22"/>
  <c r="P85" i="22"/>
  <c r="BH83" i="22"/>
  <c r="BD83" i="22"/>
  <c r="AZ83" i="22"/>
  <c r="AV83" i="22"/>
  <c r="AR83" i="22"/>
  <c r="AN83" i="22"/>
  <c r="AJ83" i="22"/>
  <c r="AF83" i="22"/>
  <c r="AB83" i="22"/>
  <c r="X83" i="22"/>
  <c r="T83" i="22"/>
  <c r="AB82" i="22"/>
  <c r="T82" i="22"/>
  <c r="BD81" i="22"/>
  <c r="X81" i="22"/>
  <c r="AV80" i="10"/>
  <c r="AS80" i="10"/>
  <c r="AJ80" i="10"/>
  <c r="AG80" i="10"/>
  <c r="X80" i="10"/>
  <c r="U80" i="10"/>
  <c r="AA79" i="10"/>
  <c r="AG79" i="10"/>
  <c r="X79" i="10"/>
  <c r="BD78" i="22"/>
  <c r="AZ78" i="22"/>
  <c r="AJ78" i="22"/>
  <c r="AF78" i="22"/>
  <c r="AB78" i="22"/>
  <c r="X78" i="22"/>
  <c r="T78" i="22"/>
  <c r="P78" i="22"/>
  <c r="AV78" i="10"/>
  <c r="AS78" i="10"/>
  <c r="AP78" i="10"/>
  <c r="AM78" i="10"/>
  <c r="AJ78" i="10"/>
  <c r="AD78" i="10"/>
  <c r="AA78" i="10"/>
  <c r="X78" i="10"/>
  <c r="U78" i="10"/>
  <c r="R78" i="10"/>
  <c r="X76" i="22"/>
  <c r="BL76" i="22" s="1"/>
  <c r="BD75" i="22"/>
  <c r="AZ75" i="22"/>
  <c r="AV75" i="22"/>
  <c r="AR75" i="22"/>
  <c r="AF75" i="22"/>
  <c r="P75" i="22"/>
  <c r="AP75" i="10"/>
  <c r="AJ75" i="10"/>
  <c r="X75" i="10"/>
  <c r="AV74" i="22"/>
  <c r="AR74" i="22"/>
  <c r="AN74" i="22"/>
  <c r="AF74" i="22"/>
  <c r="AB74" i="22"/>
  <c r="X74" i="22"/>
  <c r="BH73" i="22"/>
  <c r="BD73" i="22"/>
  <c r="AZ73" i="22"/>
  <c r="AV73" i="22"/>
  <c r="AR73" i="22"/>
  <c r="AN73" i="22"/>
  <c r="AJ73" i="22"/>
  <c r="AF73" i="22"/>
  <c r="AB73" i="22"/>
  <c r="X73" i="22"/>
  <c r="T73" i="22"/>
  <c r="P73" i="22"/>
  <c r="AV73" i="10"/>
  <c r="AS73" i="10"/>
  <c r="AP73" i="10"/>
  <c r="AM73" i="10"/>
  <c r="AJ73" i="10"/>
  <c r="AG73" i="10"/>
  <c r="AD73" i="10"/>
  <c r="AA73" i="10"/>
  <c r="X73" i="10"/>
  <c r="U73" i="10"/>
  <c r="X72" i="22"/>
  <c r="BL72" i="22" s="1"/>
  <c r="BD71" i="22"/>
  <c r="AZ71" i="22"/>
  <c r="AJ71" i="22"/>
  <c r="AF71" i="22"/>
  <c r="AB71" i="22"/>
  <c r="X71" i="22"/>
  <c r="T71" i="22"/>
  <c r="P71" i="22"/>
  <c r="AV71" i="10"/>
  <c r="AS71" i="10"/>
  <c r="AP71" i="10"/>
  <c r="AM71" i="10"/>
  <c r="AR70" i="22"/>
  <c r="AJ70" i="22"/>
  <c r="X70" i="22"/>
  <c r="P70" i="22"/>
  <c r="AR69" i="22"/>
  <c r="AV69" i="22"/>
  <c r="AZ69" i="22"/>
  <c r="BD69" i="22"/>
  <c r="AN69" i="22"/>
  <c r="AJ69" i="22"/>
  <c r="AF69" i="22"/>
  <c r="AB69" i="22"/>
  <c r="X69" i="22"/>
  <c r="T69" i="22"/>
  <c r="P69" i="22"/>
  <c r="AV69" i="10"/>
  <c r="AS69" i="10"/>
  <c r="BH68" i="22"/>
  <c r="P68" i="22"/>
  <c r="AJ67" i="22"/>
  <c r="BL67" i="22" s="1"/>
  <c r="AV63" i="22"/>
  <c r="T63" i="22"/>
  <c r="X61" i="22"/>
  <c r="BL61" i="22" s="1"/>
  <c r="AJ60" i="22"/>
  <c r="P60" i="22"/>
  <c r="BD59" i="22"/>
  <c r="BL59" i="22" s="1"/>
  <c r="BD58" i="22"/>
  <c r="AZ58" i="22"/>
  <c r="AR58" i="22"/>
  <c r="AJ58" i="22"/>
  <c r="AJ57" i="22"/>
  <c r="BL57" i="22" s="1"/>
  <c r="AR56" i="22"/>
  <c r="AJ56" i="22"/>
  <c r="X56" i="22"/>
  <c r="P56" i="22"/>
  <c r="AZ55" i="22"/>
  <c r="AV55" i="22"/>
  <c r="BH54" i="22"/>
  <c r="BD54" i="22"/>
  <c r="AZ54" i="22"/>
  <c r="AV54" i="22"/>
  <c r="AR54" i="22"/>
  <c r="AF54" i="22"/>
  <c r="AB54" i="22"/>
  <c r="X54" i="22"/>
  <c r="T54" i="22"/>
  <c r="P54" i="22"/>
  <c r="BD53" i="22"/>
  <c r="AZ53" i="22"/>
  <c r="AV53" i="22"/>
  <c r="P52" i="22"/>
  <c r="BL52" i="22" s="1"/>
  <c r="AV52" i="10"/>
  <c r="AR49" i="22"/>
  <c r="X49" i="22"/>
  <c r="T49" i="22"/>
  <c r="BH48" i="22"/>
  <c r="BD48" i="22"/>
  <c r="AZ48" i="22"/>
  <c r="AV48" i="22"/>
  <c r="AR48" i="22"/>
  <c r="AN48" i="22"/>
  <c r="AJ48" i="22"/>
  <c r="AF48" i="22"/>
  <c r="AB48" i="22"/>
  <c r="X48" i="22"/>
  <c r="T48" i="22"/>
  <c r="P48" i="22"/>
  <c r="AG91" i="10" l="1"/>
  <c r="AV91" i="10"/>
  <c r="AA91" i="10"/>
  <c r="AM91" i="10"/>
  <c r="BL81" i="22"/>
  <c r="BL41" i="18"/>
  <c r="BL63" i="22"/>
  <c r="BL9" i="18"/>
  <c r="BL49" i="22"/>
  <c r="BL32" i="18"/>
  <c r="BL68" i="18"/>
  <c r="BL53" i="22"/>
  <c r="BL10" i="18"/>
  <c r="BL60" i="22"/>
  <c r="BL68" i="22"/>
  <c r="BL70" i="22"/>
  <c r="BL71" i="22"/>
  <c r="BL75" i="22"/>
  <c r="BL6" i="22"/>
  <c r="BL10" i="22"/>
  <c r="BL3" i="18"/>
  <c r="BL25" i="18"/>
  <c r="BL44" i="18"/>
  <c r="BL54" i="18"/>
  <c r="BL55" i="18"/>
  <c r="BL70" i="18"/>
  <c r="BL81" i="18"/>
  <c r="BL78" i="18"/>
  <c r="BL69" i="18"/>
  <c r="BL58" i="22"/>
  <c r="BL82" i="22"/>
  <c r="BL56" i="18"/>
  <c r="BL71" i="18"/>
  <c r="BL55" i="22"/>
  <c r="BL18" i="22"/>
  <c r="BL48" i="22"/>
  <c r="BL56" i="22"/>
  <c r="BL69" i="22"/>
  <c r="BL73" i="22"/>
  <c r="BL74" i="22"/>
  <c r="BL25" i="22"/>
  <c r="BL2" i="18"/>
  <c r="BL14" i="18"/>
  <c r="BL19" i="18"/>
  <c r="BL31" i="18"/>
  <c r="BL43" i="18"/>
  <c r="BL67" i="18"/>
  <c r="BL73" i="18"/>
  <c r="BL83" i="18"/>
  <c r="BL86" i="22"/>
  <c r="BL48" i="18"/>
  <c r="BL54" i="22"/>
  <c r="BL85" i="22"/>
  <c r="BL19" i="22"/>
  <c r="BL21" i="22"/>
  <c r="BL18" i="18"/>
  <c r="BL21" i="18"/>
  <c r="BL46" i="18"/>
  <c r="BL63" i="18"/>
  <c r="BL85" i="18"/>
  <c r="BL12" i="22"/>
  <c r="BL13" i="18"/>
  <c r="BL78" i="22"/>
  <c r="BL66" i="22"/>
  <c r="BL83" i="22"/>
  <c r="BD45" i="22"/>
  <c r="AJ45" i="22"/>
  <c r="T45" i="22"/>
  <c r="AN46" i="22"/>
  <c r="AF46" i="22"/>
  <c r="P46" i="22"/>
  <c r="BH44" i="22"/>
  <c r="BD44" i="22"/>
  <c r="AV44" i="22"/>
  <c r="AJ44" i="22"/>
  <c r="AF44" i="22"/>
  <c r="AB44" i="22"/>
  <c r="X44" i="22"/>
  <c r="T44" i="22"/>
  <c r="BH43" i="22"/>
  <c r="AZ43" i="22"/>
  <c r="AV43" i="22"/>
  <c r="AN43" i="22"/>
  <c r="AJ43" i="22"/>
  <c r="AF43" i="22"/>
  <c r="AB43" i="22"/>
  <c r="X43" i="22"/>
  <c r="P43" i="22"/>
  <c r="AS43" i="10"/>
  <c r="AS91" i="10" s="1"/>
  <c r="AP43" i="10"/>
  <c r="AP91" i="10" s="1"/>
  <c r="AJ43" i="10"/>
  <c r="AJ91" i="10" s="1"/>
  <c r="AD43" i="10"/>
  <c r="X43" i="10"/>
  <c r="X91" i="10" s="1"/>
  <c r="AJ42" i="22"/>
  <c r="BL42" i="22" s="1"/>
  <c r="AD40" i="10"/>
  <c r="U40" i="10"/>
  <c r="R40" i="10"/>
  <c r="X39" i="22"/>
  <c r="BL39" i="22" s="1"/>
  <c r="AB38" i="22"/>
  <c r="AF38" i="22"/>
  <c r="X38" i="22"/>
  <c r="BH37" i="22"/>
  <c r="BD37" i="22"/>
  <c r="AV37" i="22"/>
  <c r="AF37" i="22"/>
  <c r="AB37" i="22"/>
  <c r="X37" i="22"/>
  <c r="U32" i="10"/>
  <c r="R32" i="10"/>
  <c r="AN31" i="22"/>
  <c r="T31" i="22"/>
  <c r="X30" i="22"/>
  <c r="BL30" i="22" s="1"/>
  <c r="AN28" i="22"/>
  <c r="P28" i="22"/>
  <c r="P27" i="22"/>
  <c r="BL27" i="22" s="1"/>
  <c r="R27" i="10"/>
  <c r="AJ26" i="22"/>
  <c r="T26" i="22"/>
  <c r="P26" i="22"/>
  <c r="AR26" i="22"/>
  <c r="AN23" i="22"/>
  <c r="AB23" i="22"/>
  <c r="X20" i="22"/>
  <c r="BL20" i="22" s="1"/>
  <c r="X16" i="22"/>
  <c r="BL16" i="22" s="1"/>
  <c r="BH14" i="22"/>
  <c r="AJ14" i="22"/>
  <c r="T14" i="22"/>
  <c r="AJ13" i="22"/>
  <c r="BH13" i="22"/>
  <c r="BD13" i="22"/>
  <c r="AZ13" i="22"/>
  <c r="AV13" i="22"/>
  <c r="AR13" i="22"/>
  <c r="AN13" i="22"/>
  <c r="C91" i="10"/>
  <c r="M91" i="10"/>
  <c r="E91" i="10"/>
  <c r="D87" i="21"/>
  <c r="D82" i="21"/>
  <c r="D61" i="21"/>
  <c r="D59" i="21"/>
  <c r="D58" i="21"/>
  <c r="D57" i="21"/>
  <c r="D42" i="21"/>
  <c r="D20" i="21"/>
  <c r="D8" i="21"/>
  <c r="D29" i="21"/>
  <c r="D37" i="21"/>
  <c r="D39" i="21"/>
  <c r="D86" i="21"/>
  <c r="D84" i="21"/>
  <c r="D81" i="21"/>
  <c r="D74" i="21"/>
  <c r="D71" i="21"/>
  <c r="D69" i="21"/>
  <c r="D66" i="21"/>
  <c r="D48" i="21"/>
  <c r="D46" i="21"/>
  <c r="D44" i="21"/>
  <c r="D43" i="21"/>
  <c r="D41" i="21"/>
  <c r="D18" i="21"/>
  <c r="D11" i="21"/>
  <c r="D7" i="21"/>
  <c r="U91" i="10" l="1"/>
  <c r="R91" i="10"/>
  <c r="AD91" i="10"/>
  <c r="O93" i="10" s="1"/>
  <c r="B47" i="24" s="1"/>
  <c r="BL38" i="22"/>
  <c r="H38" i="22" s="1"/>
  <c r="BL14" i="22"/>
  <c r="H14" i="22" s="1"/>
  <c r="BL26" i="22"/>
  <c r="H26" i="22" s="1"/>
  <c r="BL31" i="22"/>
  <c r="H31" i="22" s="1"/>
  <c r="BL46" i="22"/>
  <c r="H46" i="22" s="1"/>
  <c r="BL45" i="22"/>
  <c r="H45" i="22" s="1"/>
  <c r="BL13" i="22"/>
  <c r="H13" i="22" s="1"/>
  <c r="BL23" i="22"/>
  <c r="H23" i="22" s="1"/>
  <c r="BL28" i="22"/>
  <c r="H28" i="22" s="1"/>
  <c r="BL43" i="22"/>
  <c r="H43" i="22" s="1"/>
  <c r="BL44" i="22"/>
  <c r="BL37" i="22"/>
  <c r="H37" i="22" s="1"/>
  <c r="E55" i="19"/>
  <c r="H55" i="19" s="1"/>
  <c r="AG55" i="19"/>
  <c r="I55" i="19" s="1"/>
  <c r="D55" i="18"/>
  <c r="G55" i="18"/>
  <c r="H55" i="18"/>
  <c r="D55" i="22"/>
  <c r="G55" i="22" s="1"/>
  <c r="H55" i="22"/>
  <c r="D55" i="10"/>
  <c r="G55" i="10"/>
  <c r="AY55" i="10"/>
  <c r="H55" i="10" s="1"/>
  <c r="E25" i="19"/>
  <c r="H25" i="19" s="1"/>
  <c r="I25" i="19"/>
  <c r="D25" i="18"/>
  <c r="G25" i="18"/>
  <c r="H25" i="18"/>
  <c r="D25" i="22"/>
  <c r="G25" i="22" s="1"/>
  <c r="H25" i="22"/>
  <c r="D25" i="10"/>
  <c r="G25" i="10"/>
  <c r="AY25" i="10"/>
  <c r="H25" i="10" s="1"/>
  <c r="E63" i="19"/>
  <c r="H63" i="19" s="1"/>
  <c r="AG63" i="19"/>
  <c r="I63" i="19" s="1"/>
  <c r="D62" i="18"/>
  <c r="G62" i="18" s="1"/>
  <c r="H62" i="18"/>
  <c r="F25" i="10"/>
  <c r="F25" i="22" s="1"/>
  <c r="P25" i="10"/>
  <c r="S25" i="10"/>
  <c r="V25" i="10"/>
  <c r="Y25" i="10"/>
  <c r="AB25" i="10"/>
  <c r="AE25" i="10"/>
  <c r="AH25" i="10"/>
  <c r="AK25" i="10"/>
  <c r="AN25" i="10"/>
  <c r="AQ25" i="10"/>
  <c r="AT25" i="10"/>
  <c r="AW25" i="10"/>
  <c r="P55" i="10"/>
  <c r="S55" i="10"/>
  <c r="V55" i="10"/>
  <c r="Y55" i="10"/>
  <c r="AB55" i="10"/>
  <c r="AE55" i="10"/>
  <c r="AH55" i="10"/>
  <c r="AK55" i="10"/>
  <c r="AN55" i="10"/>
  <c r="AQ55" i="10"/>
  <c r="AT55" i="10"/>
  <c r="AW55" i="10"/>
  <c r="F2" i="10"/>
  <c r="F3" i="10"/>
  <c r="F3" i="22" s="1"/>
  <c r="F4" i="10"/>
  <c r="F4" i="22" s="1"/>
  <c r="F5" i="10"/>
  <c r="F5" i="22" s="1"/>
  <c r="F6" i="10"/>
  <c r="F6" i="22" s="1"/>
  <c r="F7" i="10"/>
  <c r="F7" i="22" s="1"/>
  <c r="F8" i="10"/>
  <c r="F8" i="22" s="1"/>
  <c r="F9" i="10"/>
  <c r="F9" i="22" s="1"/>
  <c r="F10" i="10"/>
  <c r="F10" i="22" s="1"/>
  <c r="F11" i="10"/>
  <c r="F11" i="22" s="1"/>
  <c r="F12" i="10"/>
  <c r="F12" i="22" s="1"/>
  <c r="F13" i="10"/>
  <c r="F13" i="22" s="1"/>
  <c r="F14" i="10"/>
  <c r="F14" i="22" s="1"/>
  <c r="F15" i="10"/>
  <c r="F15" i="22" s="1"/>
  <c r="F16" i="10"/>
  <c r="F16" i="22" s="1"/>
  <c r="F17" i="10"/>
  <c r="F17" i="22" s="1"/>
  <c r="F18" i="10"/>
  <c r="F18" i="22" s="1"/>
  <c r="F19" i="10"/>
  <c r="F19" i="22" s="1"/>
  <c r="F20" i="10"/>
  <c r="F20" i="22" s="1"/>
  <c r="F21" i="10"/>
  <c r="F21" i="22" s="1"/>
  <c r="F22" i="10"/>
  <c r="F22" i="22" s="1"/>
  <c r="F23" i="10"/>
  <c r="F23" i="22" s="1"/>
  <c r="F24" i="10"/>
  <c r="F24" i="22" s="1"/>
  <c r="F26" i="10"/>
  <c r="F26" i="22" s="1"/>
  <c r="F27" i="10"/>
  <c r="F27" i="22" s="1"/>
  <c r="F28" i="10"/>
  <c r="F28" i="22" s="1"/>
  <c r="F29" i="10"/>
  <c r="F29" i="22" s="1"/>
  <c r="F30" i="10"/>
  <c r="F30" i="22" s="1"/>
  <c r="F31" i="10"/>
  <c r="F31" i="22" s="1"/>
  <c r="F32" i="10"/>
  <c r="F32" i="22" s="1"/>
  <c r="F33" i="10"/>
  <c r="F33" i="22" s="1"/>
  <c r="F34" i="10"/>
  <c r="F34" i="22" s="1"/>
  <c r="F35" i="10"/>
  <c r="F35" i="22" s="1"/>
  <c r="F36" i="10"/>
  <c r="F36" i="22" s="1"/>
  <c r="F37" i="10"/>
  <c r="F37" i="22" s="1"/>
  <c r="F38" i="10"/>
  <c r="F38" i="22" s="1"/>
  <c r="F39" i="10"/>
  <c r="F39" i="22" s="1"/>
  <c r="F40" i="10"/>
  <c r="F40" i="22" s="1"/>
  <c r="F41" i="10"/>
  <c r="F41" i="22" s="1"/>
  <c r="F42" i="10"/>
  <c r="F42" i="22" s="1"/>
  <c r="F43" i="10"/>
  <c r="F43" i="22" s="1"/>
  <c r="F44" i="10"/>
  <c r="F44" i="22" s="1"/>
  <c r="F45" i="10"/>
  <c r="F45" i="22" s="1"/>
  <c r="F46" i="10"/>
  <c r="F46" i="22" s="1"/>
  <c r="F47" i="10"/>
  <c r="F47" i="22" s="1"/>
  <c r="F48" i="10"/>
  <c r="F48" i="22" s="1"/>
  <c r="F49" i="10"/>
  <c r="F49" i="22" s="1"/>
  <c r="F50" i="10"/>
  <c r="F50" i="22" s="1"/>
  <c r="F51" i="10"/>
  <c r="F51" i="22" s="1"/>
  <c r="F52" i="10"/>
  <c r="F52" i="22" s="1"/>
  <c r="F53" i="10"/>
  <c r="F53" i="22" s="1"/>
  <c r="F54" i="10"/>
  <c r="F54" i="22" s="1"/>
  <c r="F56" i="10"/>
  <c r="F56" i="22" s="1"/>
  <c r="F57" i="10"/>
  <c r="F57" i="22" s="1"/>
  <c r="F58" i="10"/>
  <c r="F58" i="22" s="1"/>
  <c r="F59" i="10"/>
  <c r="F59" i="22" s="1"/>
  <c r="F60" i="10"/>
  <c r="F60" i="22" s="1"/>
  <c r="F61" i="10"/>
  <c r="F61" i="22" s="1"/>
  <c r="F62" i="10"/>
  <c r="F62" i="22" s="1"/>
  <c r="F63" i="10"/>
  <c r="F63" i="22" s="1"/>
  <c r="F64" i="10"/>
  <c r="F64" i="22" s="1"/>
  <c r="F65" i="10"/>
  <c r="F65" i="22" s="1"/>
  <c r="F66" i="10"/>
  <c r="F66" i="22" s="1"/>
  <c r="F67" i="10"/>
  <c r="F67" i="22" s="1"/>
  <c r="F68" i="10"/>
  <c r="F68" i="22" s="1"/>
  <c r="F69" i="10"/>
  <c r="F69" i="22" s="1"/>
  <c r="F70" i="10"/>
  <c r="F70" i="22" s="1"/>
  <c r="F71" i="10"/>
  <c r="F71" i="22" s="1"/>
  <c r="F72" i="10"/>
  <c r="F72" i="22" s="1"/>
  <c r="F73" i="10"/>
  <c r="F73" i="22" s="1"/>
  <c r="F74" i="10"/>
  <c r="F74" i="22" s="1"/>
  <c r="F75" i="10"/>
  <c r="F75" i="22" s="1"/>
  <c r="F76" i="10"/>
  <c r="F76" i="22" s="1"/>
  <c r="F77" i="10"/>
  <c r="F77" i="22" s="1"/>
  <c r="F78" i="10"/>
  <c r="F78" i="22" s="1"/>
  <c r="F79" i="10"/>
  <c r="F79" i="22" s="1"/>
  <c r="F80" i="10"/>
  <c r="F80" i="22" s="1"/>
  <c r="F81" i="10"/>
  <c r="F81" i="22" s="1"/>
  <c r="F82" i="10"/>
  <c r="F82" i="22" s="1"/>
  <c r="F83" i="10"/>
  <c r="F83" i="22" s="1"/>
  <c r="F84" i="10"/>
  <c r="F84" i="22" s="1"/>
  <c r="F85" i="10"/>
  <c r="F85" i="22" s="1"/>
  <c r="F86" i="10"/>
  <c r="F86" i="22" s="1"/>
  <c r="F87" i="10"/>
  <c r="F87" i="22" s="1"/>
  <c r="F88" i="10"/>
  <c r="F88" i="22" s="1"/>
  <c r="F89" i="10"/>
  <c r="F89" i="22" s="1"/>
  <c r="F90" i="10"/>
  <c r="F90" i="22" s="1"/>
  <c r="F55" i="10"/>
  <c r="F55" i="22" s="1"/>
  <c r="BD92" i="22"/>
  <c r="AZ92" i="22"/>
  <c r="AV92" i="22"/>
  <c r="AR92" i="22"/>
  <c r="AN92" i="22"/>
  <c r="AJ92" i="22"/>
  <c r="AF92" i="22"/>
  <c r="AB92" i="22"/>
  <c r="X92" i="22"/>
  <c r="T92" i="22"/>
  <c r="P92" i="22"/>
  <c r="C92" i="22"/>
  <c r="H90" i="22"/>
  <c r="BI90" i="22"/>
  <c r="BE90" i="22"/>
  <c r="BA90" i="22"/>
  <c r="AW90" i="22"/>
  <c r="AS90" i="22"/>
  <c r="AO90" i="22"/>
  <c r="AK90" i="22"/>
  <c r="AG90" i="22"/>
  <c r="AC90" i="22"/>
  <c r="Y90" i="22"/>
  <c r="U90" i="22"/>
  <c r="Q90" i="22"/>
  <c r="D90" i="22"/>
  <c r="G90" i="22" s="1"/>
  <c r="BI89" i="22"/>
  <c r="BE89" i="22"/>
  <c r="BA89" i="22"/>
  <c r="AW89" i="22"/>
  <c r="AS89" i="22"/>
  <c r="AO89" i="22"/>
  <c r="AK89" i="22"/>
  <c r="AG89" i="22"/>
  <c r="AC89" i="22"/>
  <c r="Y89" i="22"/>
  <c r="U89" i="22"/>
  <c r="Q89" i="22"/>
  <c r="H89" i="22"/>
  <c r="D89" i="22"/>
  <c r="G89" i="22" s="1"/>
  <c r="BI88" i="22"/>
  <c r="BE88" i="22"/>
  <c r="BA88" i="22"/>
  <c r="AW88" i="22"/>
  <c r="AS88" i="22"/>
  <c r="AO88" i="22"/>
  <c r="AK88" i="22"/>
  <c r="AG88" i="22"/>
  <c r="AC88" i="22"/>
  <c r="Y88" i="22"/>
  <c r="U88" i="22"/>
  <c r="Q88" i="22"/>
  <c r="H88" i="22"/>
  <c r="D88" i="22"/>
  <c r="G88" i="22" s="1"/>
  <c r="H87" i="22"/>
  <c r="BI87" i="22"/>
  <c r="BE87" i="22"/>
  <c r="BA87" i="22"/>
  <c r="AW87" i="22"/>
  <c r="AS87" i="22"/>
  <c r="AO87" i="22"/>
  <c r="AK87" i="22"/>
  <c r="AG87" i="22"/>
  <c r="AC87" i="22"/>
  <c r="Y87" i="22"/>
  <c r="U87" i="22"/>
  <c r="Q87" i="22"/>
  <c r="G87" i="22"/>
  <c r="H86" i="22"/>
  <c r="BI86" i="22"/>
  <c r="BE86" i="22"/>
  <c r="BA86" i="22"/>
  <c r="AW86" i="22"/>
  <c r="AS86" i="22"/>
  <c r="AO86" i="22"/>
  <c r="AK86" i="22"/>
  <c r="AG86" i="22"/>
  <c r="AC86" i="22"/>
  <c r="Y86" i="22"/>
  <c r="U86" i="22"/>
  <c r="Q86" i="22"/>
  <c r="D86" i="22"/>
  <c r="G86" i="22" s="1"/>
  <c r="H85" i="22"/>
  <c r="BI85" i="22"/>
  <c r="BE85" i="22"/>
  <c r="BA85" i="22"/>
  <c r="AW85" i="22"/>
  <c r="AS85" i="22"/>
  <c r="AO85" i="22"/>
  <c r="AK85" i="22"/>
  <c r="AG85" i="22"/>
  <c r="AC85" i="22"/>
  <c r="Y85" i="22"/>
  <c r="U85" i="22"/>
  <c r="Q85" i="22"/>
  <c r="D85" i="22"/>
  <c r="G85" i="22" s="1"/>
  <c r="BI84" i="22"/>
  <c r="BE84" i="22"/>
  <c r="BA84" i="22"/>
  <c r="AW84" i="22"/>
  <c r="AS84" i="22"/>
  <c r="AO84" i="22"/>
  <c r="AK84" i="22"/>
  <c r="AG84" i="22"/>
  <c r="AC84" i="22"/>
  <c r="Y84" i="22"/>
  <c r="U84" i="22"/>
  <c r="Q84" i="22"/>
  <c r="H84" i="22"/>
  <c r="D84" i="22"/>
  <c r="G84" i="22" s="1"/>
  <c r="H83" i="22"/>
  <c r="BI83" i="22"/>
  <c r="BE83" i="22"/>
  <c r="BA83" i="22"/>
  <c r="AW83" i="22"/>
  <c r="AS83" i="22"/>
  <c r="AO83" i="22"/>
  <c r="AK83" i="22"/>
  <c r="AG83" i="22"/>
  <c r="AC83" i="22"/>
  <c r="Y83" i="22"/>
  <c r="U83" i="22"/>
  <c r="Q83" i="22"/>
  <c r="D83" i="22"/>
  <c r="G83" i="22" s="1"/>
  <c r="H82" i="22"/>
  <c r="BI82" i="22"/>
  <c r="BE82" i="22"/>
  <c r="BA82" i="22"/>
  <c r="AW82" i="22"/>
  <c r="AS82" i="22"/>
  <c r="AO82" i="22"/>
  <c r="AK82" i="22"/>
  <c r="AG82" i="22"/>
  <c r="AC82" i="22"/>
  <c r="Y82" i="22"/>
  <c r="U82" i="22"/>
  <c r="Q82" i="22"/>
  <c r="G82" i="22"/>
  <c r="H81" i="22"/>
  <c r="BI81" i="22"/>
  <c r="BE81" i="22"/>
  <c r="BA81" i="22"/>
  <c r="AW81" i="22"/>
  <c r="AS81" i="22"/>
  <c r="AO81" i="22"/>
  <c r="AK81" i="22"/>
  <c r="AG81" i="22"/>
  <c r="AC81" i="22"/>
  <c r="Y81" i="22"/>
  <c r="U81" i="22"/>
  <c r="Q81" i="22"/>
  <c r="D81" i="22"/>
  <c r="G81" i="22" s="1"/>
  <c r="H80" i="22"/>
  <c r="BI80" i="22"/>
  <c r="BE80" i="22"/>
  <c r="BA80" i="22"/>
  <c r="AW80" i="22"/>
  <c r="AS80" i="22"/>
  <c r="AO80" i="22"/>
  <c r="AK80" i="22"/>
  <c r="AG80" i="22"/>
  <c r="AC80" i="22"/>
  <c r="Y80" i="22"/>
  <c r="U80" i="22"/>
  <c r="Q80" i="22"/>
  <c r="D80" i="22"/>
  <c r="G80" i="22" s="1"/>
  <c r="BI79" i="22"/>
  <c r="BE79" i="22"/>
  <c r="BA79" i="22"/>
  <c r="AW79" i="22"/>
  <c r="AS79" i="22"/>
  <c r="AO79" i="22"/>
  <c r="AK79" i="22"/>
  <c r="AG79" i="22"/>
  <c r="AC79" i="22"/>
  <c r="Y79" i="22"/>
  <c r="U79" i="22"/>
  <c r="Q79" i="22"/>
  <c r="H79" i="22"/>
  <c r="D79" i="22"/>
  <c r="G79" i="22" s="1"/>
  <c r="H78" i="22"/>
  <c r="BI78" i="22"/>
  <c r="BE78" i="22"/>
  <c r="BA78" i="22"/>
  <c r="AW78" i="22"/>
  <c r="AS78" i="22"/>
  <c r="AO78" i="22"/>
  <c r="AK78" i="22"/>
  <c r="AG78" i="22"/>
  <c r="AC78" i="22"/>
  <c r="Y78" i="22"/>
  <c r="U78" i="22"/>
  <c r="Q78" i="22"/>
  <c r="D78" i="22"/>
  <c r="G78" i="22"/>
  <c r="BI77" i="22"/>
  <c r="BE77" i="22"/>
  <c r="BA77" i="22"/>
  <c r="AW77" i="22"/>
  <c r="AS77" i="22"/>
  <c r="AO77" i="22"/>
  <c r="AK77" i="22"/>
  <c r="AG77" i="22"/>
  <c r="AC77" i="22"/>
  <c r="Y77" i="22"/>
  <c r="U77" i="22"/>
  <c r="Q77" i="22"/>
  <c r="H77" i="22"/>
  <c r="D77" i="22"/>
  <c r="G77" i="22" s="1"/>
  <c r="H76" i="22"/>
  <c r="BI76" i="22"/>
  <c r="BE76" i="22"/>
  <c r="BA76" i="22"/>
  <c r="AW76" i="22"/>
  <c r="AS76" i="22"/>
  <c r="AO76" i="22"/>
  <c r="AK76" i="22"/>
  <c r="AG76" i="22"/>
  <c r="AC76" i="22"/>
  <c r="Y76" i="22"/>
  <c r="U76" i="22"/>
  <c r="Q76" i="22"/>
  <c r="D76" i="22"/>
  <c r="G76" i="22" s="1"/>
  <c r="H75" i="22"/>
  <c r="BI75" i="22"/>
  <c r="BE75" i="22"/>
  <c r="BA75" i="22"/>
  <c r="AW75" i="22"/>
  <c r="AS75" i="22"/>
  <c r="AO75" i="22"/>
  <c r="AK75" i="22"/>
  <c r="AG75" i="22"/>
  <c r="AC75" i="22"/>
  <c r="Y75" i="22"/>
  <c r="U75" i="22"/>
  <c r="Q75" i="22"/>
  <c r="D75" i="22"/>
  <c r="G75" i="22" s="1"/>
  <c r="H74" i="22"/>
  <c r="BI74" i="22"/>
  <c r="BE74" i="22"/>
  <c r="BA74" i="22"/>
  <c r="AW74" i="22"/>
  <c r="AS74" i="22"/>
  <c r="AO74" i="22"/>
  <c r="AK74" i="22"/>
  <c r="AG74" i="22"/>
  <c r="AC74" i="22"/>
  <c r="Y74" i="22"/>
  <c r="U74" i="22"/>
  <c r="Q74" i="22"/>
  <c r="D74" i="22"/>
  <c r="G74" i="22" s="1"/>
  <c r="H73" i="22"/>
  <c r="BI73" i="22"/>
  <c r="BE73" i="22"/>
  <c r="BA73" i="22"/>
  <c r="AW73" i="22"/>
  <c r="AS73" i="22"/>
  <c r="AO73" i="22"/>
  <c r="AK73" i="22"/>
  <c r="AG73" i="22"/>
  <c r="AC73" i="22"/>
  <c r="Y73" i="22"/>
  <c r="U73" i="22"/>
  <c r="Q73" i="22"/>
  <c r="D73" i="22"/>
  <c r="G73" i="22" s="1"/>
  <c r="H72" i="22"/>
  <c r="BI72" i="22"/>
  <c r="BE72" i="22"/>
  <c r="BA72" i="22"/>
  <c r="AW72" i="22"/>
  <c r="AS72" i="22"/>
  <c r="AO72" i="22"/>
  <c r="AK72" i="22"/>
  <c r="AG72" i="22"/>
  <c r="AC72" i="22"/>
  <c r="Y72" i="22"/>
  <c r="U72" i="22"/>
  <c r="Q72" i="22"/>
  <c r="D72" i="22"/>
  <c r="G72" i="22" s="1"/>
  <c r="H71" i="22"/>
  <c r="BI71" i="22"/>
  <c r="BE71" i="22"/>
  <c r="BA71" i="22"/>
  <c r="AW71" i="22"/>
  <c r="AS71" i="22"/>
  <c r="AO71" i="22"/>
  <c r="AK71" i="22"/>
  <c r="AG71" i="22"/>
  <c r="AC71" i="22"/>
  <c r="Y71" i="22"/>
  <c r="U71" i="22"/>
  <c r="Q71" i="22"/>
  <c r="D71" i="22"/>
  <c r="G71" i="22" s="1"/>
  <c r="H70" i="22"/>
  <c r="BI70" i="22"/>
  <c r="BE70" i="22"/>
  <c r="BA70" i="22"/>
  <c r="AW70" i="22"/>
  <c r="AS70" i="22"/>
  <c r="AO70" i="22"/>
  <c r="AK70" i="22"/>
  <c r="AG70" i="22"/>
  <c r="AC70" i="22"/>
  <c r="Y70" i="22"/>
  <c r="U70" i="22"/>
  <c r="Q70" i="22"/>
  <c r="D70" i="22"/>
  <c r="G70" i="22"/>
  <c r="H69" i="22"/>
  <c r="BI69" i="22"/>
  <c r="BE69" i="22"/>
  <c r="BA69" i="22"/>
  <c r="AW69" i="22"/>
  <c r="AS69" i="22"/>
  <c r="AO69" i="22"/>
  <c r="AK69" i="22"/>
  <c r="AG69" i="22"/>
  <c r="AC69" i="22"/>
  <c r="Y69" i="22"/>
  <c r="U69" i="22"/>
  <c r="Q69" i="22"/>
  <c r="D69" i="22"/>
  <c r="G69" i="22" s="1"/>
  <c r="H68" i="22"/>
  <c r="BI68" i="22"/>
  <c r="BE68" i="22"/>
  <c r="BA68" i="22"/>
  <c r="AW68" i="22"/>
  <c r="AS68" i="22"/>
  <c r="AO68" i="22"/>
  <c r="AK68" i="22"/>
  <c r="AG68" i="22"/>
  <c r="AC68" i="22"/>
  <c r="Y68" i="22"/>
  <c r="U68" i="22"/>
  <c r="Q68" i="22"/>
  <c r="D68" i="22"/>
  <c r="G68" i="22" s="1"/>
  <c r="H67" i="22"/>
  <c r="BI67" i="22"/>
  <c r="BE67" i="22"/>
  <c r="BA67" i="22"/>
  <c r="AW67" i="22"/>
  <c r="AS67" i="22"/>
  <c r="AO67" i="22"/>
  <c r="AK67" i="22"/>
  <c r="AG67" i="22"/>
  <c r="AC67" i="22"/>
  <c r="Y67" i="22"/>
  <c r="U67" i="22"/>
  <c r="Q67" i="22"/>
  <c r="D67" i="22"/>
  <c r="G67" i="22" s="1"/>
  <c r="H66" i="22"/>
  <c r="BI66" i="22"/>
  <c r="BE66" i="22"/>
  <c r="BA66" i="22"/>
  <c r="AW66" i="22"/>
  <c r="AS66" i="22"/>
  <c r="AO66" i="22"/>
  <c r="AK66" i="22"/>
  <c r="AG66" i="22"/>
  <c r="AC66" i="22"/>
  <c r="Y66" i="22"/>
  <c r="U66" i="22"/>
  <c r="Q66" i="22"/>
  <c r="D66" i="22"/>
  <c r="G66" i="22" s="1"/>
  <c r="BI65" i="22"/>
  <c r="BE65" i="22"/>
  <c r="BA65" i="22"/>
  <c r="AW65" i="22"/>
  <c r="AS65" i="22"/>
  <c r="AO65" i="22"/>
  <c r="AK65" i="22"/>
  <c r="AG65" i="22"/>
  <c r="AC65" i="22"/>
  <c r="Y65" i="22"/>
  <c r="U65" i="22"/>
  <c r="Q65" i="22"/>
  <c r="H65" i="22"/>
  <c r="D65" i="22"/>
  <c r="G65" i="22" s="1"/>
  <c r="H64" i="22"/>
  <c r="BI64" i="22"/>
  <c r="BE64" i="22"/>
  <c r="BA64" i="22"/>
  <c r="AW64" i="22"/>
  <c r="AS64" i="22"/>
  <c r="AO64" i="22"/>
  <c r="AK64" i="22"/>
  <c r="AG64" i="22"/>
  <c r="AC64" i="22"/>
  <c r="Y64" i="22"/>
  <c r="U64" i="22"/>
  <c r="Q64" i="22"/>
  <c r="D64" i="22"/>
  <c r="G64" i="22" s="1"/>
  <c r="H63" i="22"/>
  <c r="BI63" i="22"/>
  <c r="BE63" i="22"/>
  <c r="BA63" i="22"/>
  <c r="AW63" i="22"/>
  <c r="AS63" i="22"/>
  <c r="AO63" i="22"/>
  <c r="AK63" i="22"/>
  <c r="AG63" i="22"/>
  <c r="AC63" i="22"/>
  <c r="Y63" i="22"/>
  <c r="U63" i="22"/>
  <c r="Q63" i="22"/>
  <c r="D63" i="22"/>
  <c r="G63" i="22" s="1"/>
  <c r="H62" i="22"/>
  <c r="BI62" i="22"/>
  <c r="BE62" i="22"/>
  <c r="BA62" i="22"/>
  <c r="AW62" i="22"/>
  <c r="AS62" i="22"/>
  <c r="AO62" i="22"/>
  <c r="AK62" i="22"/>
  <c r="AG62" i="22"/>
  <c r="AC62" i="22"/>
  <c r="Y62" i="22"/>
  <c r="U62" i="22"/>
  <c r="Q62" i="22"/>
  <c r="D62" i="22"/>
  <c r="G62" i="22" s="1"/>
  <c r="H61" i="22"/>
  <c r="BI61" i="22"/>
  <c r="BE61" i="22"/>
  <c r="BA61" i="22"/>
  <c r="AW61" i="22"/>
  <c r="AS61" i="22"/>
  <c r="AO61" i="22"/>
  <c r="AK61" i="22"/>
  <c r="AG61" i="22"/>
  <c r="AC61" i="22"/>
  <c r="Y61" i="22"/>
  <c r="U61" i="22"/>
  <c r="Q61" i="22"/>
  <c r="G61" i="22"/>
  <c r="H60" i="22"/>
  <c r="BI60" i="22"/>
  <c r="BE60" i="22"/>
  <c r="BA60" i="22"/>
  <c r="AW60" i="22"/>
  <c r="AS60" i="22"/>
  <c r="AO60" i="22"/>
  <c r="AK60" i="22"/>
  <c r="AG60" i="22"/>
  <c r="AC60" i="22"/>
  <c r="Y60" i="22"/>
  <c r="U60" i="22"/>
  <c r="Q60" i="22"/>
  <c r="D60" i="22"/>
  <c r="G60" i="22" s="1"/>
  <c r="H59" i="22"/>
  <c r="BI59" i="22"/>
  <c r="BE59" i="22"/>
  <c r="BA59" i="22"/>
  <c r="AW59" i="22"/>
  <c r="AS59" i="22"/>
  <c r="AO59" i="22"/>
  <c r="AK59" i="22"/>
  <c r="AG59" i="22"/>
  <c r="AC59" i="22"/>
  <c r="Y59" i="22"/>
  <c r="U59" i="22"/>
  <c r="Q59" i="22"/>
  <c r="D59" i="22"/>
  <c r="G59" i="22" s="1"/>
  <c r="H58" i="22"/>
  <c r="BI58" i="22"/>
  <c r="BE58" i="22"/>
  <c r="BA58" i="22"/>
  <c r="AW58" i="22"/>
  <c r="AS58" i="22"/>
  <c r="AO58" i="22"/>
  <c r="AK58" i="22"/>
  <c r="AG58" i="22"/>
  <c r="AC58" i="22"/>
  <c r="Y58" i="22"/>
  <c r="U58" i="22"/>
  <c r="Q58" i="22"/>
  <c r="G58" i="22"/>
  <c r="H57" i="22"/>
  <c r="BI57" i="22"/>
  <c r="BE57" i="22"/>
  <c r="BA57" i="22"/>
  <c r="AW57" i="22"/>
  <c r="AS57" i="22"/>
  <c r="AO57" i="22"/>
  <c r="AK57" i="22"/>
  <c r="AG57" i="22"/>
  <c r="AC57" i="22"/>
  <c r="Y57" i="22"/>
  <c r="U57" i="22"/>
  <c r="Q57" i="22"/>
  <c r="G57" i="22"/>
  <c r="H56" i="22"/>
  <c r="BI56" i="22"/>
  <c r="BE56" i="22"/>
  <c r="BA56" i="22"/>
  <c r="AW56" i="22"/>
  <c r="AS56" i="22"/>
  <c r="AO56" i="22"/>
  <c r="AK56" i="22"/>
  <c r="AG56" i="22"/>
  <c r="AC56" i="22"/>
  <c r="Y56" i="22"/>
  <c r="U56" i="22"/>
  <c r="Q56" i="22"/>
  <c r="D56" i="22"/>
  <c r="G56" i="22" s="1"/>
  <c r="BE55" i="22"/>
  <c r="BA55" i="22"/>
  <c r="AW55" i="22"/>
  <c r="AS55" i="22"/>
  <c r="AO55" i="22"/>
  <c r="AK55" i="22"/>
  <c r="AG55" i="22"/>
  <c r="AC55" i="22"/>
  <c r="Y55" i="22"/>
  <c r="U55" i="22"/>
  <c r="Q55" i="22"/>
  <c r="H54" i="22"/>
  <c r="BI54" i="22"/>
  <c r="BE54" i="22"/>
  <c r="BA54" i="22"/>
  <c r="AW54" i="22"/>
  <c r="AS54" i="22"/>
  <c r="AO54" i="22"/>
  <c r="AK54" i="22"/>
  <c r="AG54" i="22"/>
  <c r="AC54" i="22"/>
  <c r="Y54" i="22"/>
  <c r="U54" i="22"/>
  <c r="Q54" i="22"/>
  <c r="D54" i="22"/>
  <c r="G54" i="22" s="1"/>
  <c r="H53" i="22"/>
  <c r="BI53" i="22"/>
  <c r="BE53" i="22"/>
  <c r="BA53" i="22"/>
  <c r="AW53" i="22"/>
  <c r="AS53" i="22"/>
  <c r="AO53" i="22"/>
  <c r="AK53" i="22"/>
  <c r="AG53" i="22"/>
  <c r="AC53" i="22"/>
  <c r="Y53" i="22"/>
  <c r="U53" i="22"/>
  <c r="Q53" i="22"/>
  <c r="D53" i="22"/>
  <c r="G53" i="22" s="1"/>
  <c r="H52" i="22"/>
  <c r="BI52" i="22"/>
  <c r="BE52" i="22"/>
  <c r="BA52" i="22"/>
  <c r="AW52" i="22"/>
  <c r="AS52" i="22"/>
  <c r="AO52" i="22"/>
  <c r="AK52" i="22"/>
  <c r="AG52" i="22"/>
  <c r="AC52" i="22"/>
  <c r="Y52" i="22"/>
  <c r="U52" i="22"/>
  <c r="Q52" i="22"/>
  <c r="D52" i="22"/>
  <c r="G52" i="22" s="1"/>
  <c r="BI51" i="22"/>
  <c r="BE51" i="22"/>
  <c r="BA51" i="22"/>
  <c r="AW51" i="22"/>
  <c r="AS51" i="22"/>
  <c r="AO51" i="22"/>
  <c r="AK51" i="22"/>
  <c r="AG51" i="22"/>
  <c r="AC51" i="22"/>
  <c r="Y51" i="22"/>
  <c r="U51" i="22"/>
  <c r="Q51" i="22"/>
  <c r="H51" i="22"/>
  <c r="D51" i="22"/>
  <c r="G51" i="22"/>
  <c r="H50" i="22"/>
  <c r="BI50" i="22"/>
  <c r="BE50" i="22"/>
  <c r="BA50" i="22"/>
  <c r="AW50" i="22"/>
  <c r="AS50" i="22"/>
  <c r="AO50" i="22"/>
  <c r="AK50" i="22"/>
  <c r="AG50" i="22"/>
  <c r="AC50" i="22"/>
  <c r="Y50" i="22"/>
  <c r="U50" i="22"/>
  <c r="Q50" i="22"/>
  <c r="D50" i="22"/>
  <c r="G50" i="22" s="1"/>
  <c r="H49" i="22"/>
  <c r="BI49" i="22"/>
  <c r="BE49" i="22"/>
  <c r="BA49" i="22"/>
  <c r="AW49" i="22"/>
  <c r="AS49" i="22"/>
  <c r="AO49" i="22"/>
  <c r="AK49" i="22"/>
  <c r="AG49" i="22"/>
  <c r="AC49" i="22"/>
  <c r="Y49" i="22"/>
  <c r="U49" i="22"/>
  <c r="Q49" i="22"/>
  <c r="D49" i="22"/>
  <c r="G49" i="22" s="1"/>
  <c r="H48" i="22"/>
  <c r="BI48" i="22"/>
  <c r="BE48" i="22"/>
  <c r="BA48" i="22"/>
  <c r="AW48" i="22"/>
  <c r="AS48" i="22"/>
  <c r="AO48" i="22"/>
  <c r="AK48" i="22"/>
  <c r="AG48" i="22"/>
  <c r="AC48" i="22"/>
  <c r="Y48" i="22"/>
  <c r="U48" i="22"/>
  <c r="Q48" i="22"/>
  <c r="D48" i="22"/>
  <c r="G48" i="22" s="1"/>
  <c r="BI47" i="22"/>
  <c r="BE47" i="22"/>
  <c r="BA47" i="22"/>
  <c r="AW47" i="22"/>
  <c r="AS47" i="22"/>
  <c r="AO47" i="22"/>
  <c r="AK47" i="22"/>
  <c r="AG47" i="22"/>
  <c r="AC47" i="22"/>
  <c r="Y47" i="22"/>
  <c r="U47" i="22"/>
  <c r="Q47" i="22"/>
  <c r="H47" i="22"/>
  <c r="D47" i="22"/>
  <c r="G47" i="22" s="1"/>
  <c r="BI46" i="22"/>
  <c r="BE46" i="22"/>
  <c r="BA46" i="22"/>
  <c r="AW46" i="22"/>
  <c r="AS46" i="22"/>
  <c r="AO46" i="22"/>
  <c r="AK46" i="22"/>
  <c r="AG46" i="22"/>
  <c r="AC46" i="22"/>
  <c r="Y46" i="22"/>
  <c r="U46" i="22"/>
  <c r="Q46" i="22"/>
  <c r="D46" i="22"/>
  <c r="G46" i="22"/>
  <c r="BI45" i="22"/>
  <c r="BE45" i="22"/>
  <c r="BA45" i="22"/>
  <c r="AW45" i="22"/>
  <c r="AS45" i="22"/>
  <c r="AO45" i="22"/>
  <c r="AK45" i="22"/>
  <c r="AG45" i="22"/>
  <c r="AC45" i="22"/>
  <c r="Y45" i="22"/>
  <c r="U45" i="22"/>
  <c r="Q45" i="22"/>
  <c r="D45" i="22"/>
  <c r="G45" i="22" s="1"/>
  <c r="H44" i="22"/>
  <c r="BI44" i="22"/>
  <c r="BE44" i="22"/>
  <c r="BA44" i="22"/>
  <c r="AW44" i="22"/>
  <c r="AS44" i="22"/>
  <c r="AO44" i="22"/>
  <c r="AK44" i="22"/>
  <c r="AG44" i="22"/>
  <c r="AC44" i="22"/>
  <c r="Y44" i="22"/>
  <c r="U44" i="22"/>
  <c r="Q44" i="22"/>
  <c r="D44" i="22"/>
  <c r="G44" i="22"/>
  <c r="BI43" i="22"/>
  <c r="BE43" i="22"/>
  <c r="BA43" i="22"/>
  <c r="AW43" i="22"/>
  <c r="AS43" i="22"/>
  <c r="AO43" i="22"/>
  <c r="AK43" i="22"/>
  <c r="AG43" i="22"/>
  <c r="AC43" i="22"/>
  <c r="Y43" i="22"/>
  <c r="U43" i="22"/>
  <c r="Q43" i="22"/>
  <c r="D43" i="22"/>
  <c r="G43" i="22" s="1"/>
  <c r="H42" i="22"/>
  <c r="BI42" i="22"/>
  <c r="BE42" i="22"/>
  <c r="BA42" i="22"/>
  <c r="AW42" i="22"/>
  <c r="AS42" i="22"/>
  <c r="AO42" i="22"/>
  <c r="AK42" i="22"/>
  <c r="AG42" i="22"/>
  <c r="AC42" i="22"/>
  <c r="Y42" i="22"/>
  <c r="U42" i="22"/>
  <c r="Q42" i="22"/>
  <c r="G42" i="22"/>
  <c r="H41" i="22"/>
  <c r="BI41" i="22"/>
  <c r="BE41" i="22"/>
  <c r="BA41" i="22"/>
  <c r="AW41" i="22"/>
  <c r="AS41" i="22"/>
  <c r="AO41" i="22"/>
  <c r="AK41" i="22"/>
  <c r="AG41" i="22"/>
  <c r="AC41" i="22"/>
  <c r="Y41" i="22"/>
  <c r="U41" i="22"/>
  <c r="Q41" i="22"/>
  <c r="D41" i="22"/>
  <c r="G41" i="22" s="1"/>
  <c r="H40" i="22"/>
  <c r="BI40" i="22"/>
  <c r="BE40" i="22"/>
  <c r="BA40" i="22"/>
  <c r="AW40" i="22"/>
  <c r="AS40" i="22"/>
  <c r="AO40" i="22"/>
  <c r="AK40" i="22"/>
  <c r="AG40" i="22"/>
  <c r="AC40" i="22"/>
  <c r="Y40" i="22"/>
  <c r="U40" i="22"/>
  <c r="Q40" i="22"/>
  <c r="D40" i="22"/>
  <c r="G40" i="22" s="1"/>
  <c r="H39" i="22"/>
  <c r="BI39" i="22"/>
  <c r="BE39" i="22"/>
  <c r="BA39" i="22"/>
  <c r="AW39" i="22"/>
  <c r="AS39" i="22"/>
  <c r="AO39" i="22"/>
  <c r="AK39" i="22"/>
  <c r="AG39" i="22"/>
  <c r="AC39" i="22"/>
  <c r="Y39" i="22"/>
  <c r="U39" i="22"/>
  <c r="Q39" i="22"/>
  <c r="G39" i="22"/>
  <c r="BI38" i="22"/>
  <c r="BE38" i="22"/>
  <c r="BA38" i="22"/>
  <c r="AW38" i="22"/>
  <c r="AS38" i="22"/>
  <c r="AO38" i="22"/>
  <c r="AK38" i="22"/>
  <c r="AG38" i="22"/>
  <c r="AC38" i="22"/>
  <c r="Y38" i="22"/>
  <c r="U38" i="22"/>
  <c r="Q38" i="22"/>
  <c r="D38" i="22"/>
  <c r="G38" i="22" s="1"/>
  <c r="BI37" i="22"/>
  <c r="BE37" i="22"/>
  <c r="BA37" i="22"/>
  <c r="AW37" i="22"/>
  <c r="AS37" i="22"/>
  <c r="AO37" i="22"/>
  <c r="AK37" i="22"/>
  <c r="AG37" i="22"/>
  <c r="AC37" i="22"/>
  <c r="Y37" i="22"/>
  <c r="U37" i="22"/>
  <c r="Q37" i="22"/>
  <c r="G37" i="22"/>
  <c r="H36" i="22"/>
  <c r="BI36" i="22"/>
  <c r="BE36" i="22"/>
  <c r="BA36" i="22"/>
  <c r="AW36" i="22"/>
  <c r="AS36" i="22"/>
  <c r="AO36" i="22"/>
  <c r="AK36" i="22"/>
  <c r="AG36" i="22"/>
  <c r="AC36" i="22"/>
  <c r="Y36" i="22"/>
  <c r="U36" i="22"/>
  <c r="Q36" i="22"/>
  <c r="D36" i="22"/>
  <c r="G36" i="22"/>
  <c r="H35" i="22"/>
  <c r="BI35" i="22"/>
  <c r="BE35" i="22"/>
  <c r="BA35" i="22"/>
  <c r="AW35" i="22"/>
  <c r="AS35" i="22"/>
  <c r="AO35" i="22"/>
  <c r="AK35" i="22"/>
  <c r="AG35" i="22"/>
  <c r="AC35" i="22"/>
  <c r="Y35" i="22"/>
  <c r="U35" i="22"/>
  <c r="Q35" i="22"/>
  <c r="D35" i="22"/>
  <c r="G35" i="22" s="1"/>
  <c r="H34" i="22"/>
  <c r="BI34" i="22"/>
  <c r="BE34" i="22"/>
  <c r="BA34" i="22"/>
  <c r="AW34" i="22"/>
  <c r="AS34" i="22"/>
  <c r="AO34" i="22"/>
  <c r="AK34" i="22"/>
  <c r="AG34" i="22"/>
  <c r="AC34" i="22"/>
  <c r="Y34" i="22"/>
  <c r="U34" i="22"/>
  <c r="Q34" i="22"/>
  <c r="D34" i="22"/>
  <c r="G34" i="22" s="1"/>
  <c r="BI33" i="22"/>
  <c r="BE33" i="22"/>
  <c r="BA33" i="22"/>
  <c r="AW33" i="22"/>
  <c r="AS33" i="22"/>
  <c r="AO33" i="22"/>
  <c r="AK33" i="22"/>
  <c r="AG33" i="22"/>
  <c r="AC33" i="22"/>
  <c r="Y33" i="22"/>
  <c r="U33" i="22"/>
  <c r="Q33" i="22"/>
  <c r="H33" i="22"/>
  <c r="D33" i="22"/>
  <c r="G33" i="22" s="1"/>
  <c r="H32" i="22"/>
  <c r="BI32" i="22"/>
  <c r="BE32" i="22"/>
  <c r="BA32" i="22"/>
  <c r="AW32" i="22"/>
  <c r="AS32" i="22"/>
  <c r="AO32" i="22"/>
  <c r="AK32" i="22"/>
  <c r="AG32" i="22"/>
  <c r="AC32" i="22"/>
  <c r="Y32" i="22"/>
  <c r="U32" i="22"/>
  <c r="Q32" i="22"/>
  <c r="D32" i="22"/>
  <c r="G32" i="22" s="1"/>
  <c r="BI31" i="22"/>
  <c r="BE31" i="22"/>
  <c r="BA31" i="22"/>
  <c r="AW31" i="22"/>
  <c r="AS31" i="22"/>
  <c r="AO31" i="22"/>
  <c r="AK31" i="22"/>
  <c r="AG31" i="22"/>
  <c r="AC31" i="22"/>
  <c r="Y31" i="22"/>
  <c r="U31" i="22"/>
  <c r="Q31" i="22"/>
  <c r="D31" i="22"/>
  <c r="G31" i="22"/>
  <c r="H30" i="22"/>
  <c r="BI30" i="22"/>
  <c r="BE30" i="22"/>
  <c r="BA30" i="22"/>
  <c r="AW30" i="22"/>
  <c r="AS30" i="22"/>
  <c r="AO30" i="22"/>
  <c r="AK30" i="22"/>
  <c r="AG30" i="22"/>
  <c r="AC30" i="22"/>
  <c r="Y30" i="22"/>
  <c r="U30" i="22"/>
  <c r="Q30" i="22"/>
  <c r="D30" i="22"/>
  <c r="G30" i="22" s="1"/>
  <c r="H29" i="22"/>
  <c r="BI29" i="22"/>
  <c r="BE29" i="22"/>
  <c r="BA29" i="22"/>
  <c r="AW29" i="22"/>
  <c r="AS29" i="22"/>
  <c r="AO29" i="22"/>
  <c r="AK29" i="22"/>
  <c r="AG29" i="22"/>
  <c r="AC29" i="22"/>
  <c r="Y29" i="22"/>
  <c r="U29" i="22"/>
  <c r="Q29" i="22"/>
  <c r="G29" i="22"/>
  <c r="BI28" i="22"/>
  <c r="BE28" i="22"/>
  <c r="BA28" i="22"/>
  <c r="AW28" i="22"/>
  <c r="AS28" i="22"/>
  <c r="AO28" i="22"/>
  <c r="AK28" i="22"/>
  <c r="AG28" i="22"/>
  <c r="AC28" i="22"/>
  <c r="Y28" i="22"/>
  <c r="U28" i="22"/>
  <c r="Q28" i="22"/>
  <c r="D28" i="22"/>
  <c r="G28" i="22" s="1"/>
  <c r="H27" i="22"/>
  <c r="BI27" i="22"/>
  <c r="BE27" i="22"/>
  <c r="BA27" i="22"/>
  <c r="AW27" i="22"/>
  <c r="AS27" i="22"/>
  <c r="AO27" i="22"/>
  <c r="AK27" i="22"/>
  <c r="AG27" i="22"/>
  <c r="AC27" i="22"/>
  <c r="Y27" i="22"/>
  <c r="U27" i="22"/>
  <c r="Q27" i="22"/>
  <c r="D27" i="22"/>
  <c r="G27" i="22" s="1"/>
  <c r="BI26" i="22"/>
  <c r="BE26" i="22"/>
  <c r="BA26" i="22"/>
  <c r="AW26" i="22"/>
  <c r="AS26" i="22"/>
  <c r="AO26" i="22"/>
  <c r="AK26" i="22"/>
  <c r="AG26" i="22"/>
  <c r="AC26" i="22"/>
  <c r="Y26" i="22"/>
  <c r="U26" i="22"/>
  <c r="Q26" i="22"/>
  <c r="D26" i="22"/>
  <c r="G26" i="22" s="1"/>
  <c r="BI25" i="22"/>
  <c r="BE25" i="22"/>
  <c r="BA25" i="22"/>
  <c r="AW25" i="22"/>
  <c r="AS25" i="22"/>
  <c r="AO25" i="22"/>
  <c r="AK25" i="22"/>
  <c r="AG25" i="22"/>
  <c r="AC25" i="22"/>
  <c r="Y25" i="22"/>
  <c r="U25" i="22"/>
  <c r="Q25" i="22"/>
  <c r="H24" i="22"/>
  <c r="BI24" i="22"/>
  <c r="BE24" i="22"/>
  <c r="BA24" i="22"/>
  <c r="AW24" i="22"/>
  <c r="AS24" i="22"/>
  <c r="AO24" i="22"/>
  <c r="AK24" i="22"/>
  <c r="AG24" i="22"/>
  <c r="AC24" i="22"/>
  <c r="Y24" i="22"/>
  <c r="U24" i="22"/>
  <c r="Q24" i="22"/>
  <c r="D24" i="22"/>
  <c r="G24" i="22" s="1"/>
  <c r="BI23" i="22"/>
  <c r="BE23" i="22"/>
  <c r="BA23" i="22"/>
  <c r="AW23" i="22"/>
  <c r="AS23" i="22"/>
  <c r="AO23" i="22"/>
  <c r="AK23" i="22"/>
  <c r="AG23" i="22"/>
  <c r="AC23" i="22"/>
  <c r="Y23" i="22"/>
  <c r="U23" i="22"/>
  <c r="Q23" i="22"/>
  <c r="D23" i="22"/>
  <c r="G23" i="22" s="1"/>
  <c r="BI22" i="22"/>
  <c r="BE22" i="22"/>
  <c r="BA22" i="22"/>
  <c r="AW22" i="22"/>
  <c r="AS22" i="22"/>
  <c r="AO22" i="22"/>
  <c r="AK22" i="22"/>
  <c r="AG22" i="22"/>
  <c r="AC22" i="22"/>
  <c r="Y22" i="22"/>
  <c r="U22" i="22"/>
  <c r="Q22" i="22"/>
  <c r="H22" i="22"/>
  <c r="D22" i="22"/>
  <c r="G22" i="22" s="1"/>
  <c r="H21" i="22"/>
  <c r="BI21" i="22"/>
  <c r="BE21" i="22"/>
  <c r="BA21" i="22"/>
  <c r="AW21" i="22"/>
  <c r="AS21" i="22"/>
  <c r="AO21" i="22"/>
  <c r="AK21" i="22"/>
  <c r="AG21" i="22"/>
  <c r="AC21" i="22"/>
  <c r="Y21" i="22"/>
  <c r="U21" i="22"/>
  <c r="Q21" i="22"/>
  <c r="D21" i="22"/>
  <c r="G21" i="22" s="1"/>
  <c r="H20" i="22"/>
  <c r="BI20" i="22"/>
  <c r="BE20" i="22"/>
  <c r="BA20" i="22"/>
  <c r="AW20" i="22"/>
  <c r="AS20" i="22"/>
  <c r="AO20" i="22"/>
  <c r="AK20" i="22"/>
  <c r="AG20" i="22"/>
  <c r="AC20" i="22"/>
  <c r="Y20" i="22"/>
  <c r="U20" i="22"/>
  <c r="Q20" i="22"/>
  <c r="G20" i="22"/>
  <c r="H19" i="22"/>
  <c r="BI19" i="22"/>
  <c r="BE19" i="22"/>
  <c r="BA19" i="22"/>
  <c r="AW19" i="22"/>
  <c r="AS19" i="22"/>
  <c r="AO19" i="22"/>
  <c r="AK19" i="22"/>
  <c r="AG19" i="22"/>
  <c r="AC19" i="22"/>
  <c r="Y19" i="22"/>
  <c r="U19" i="22"/>
  <c r="Q19" i="22"/>
  <c r="D19" i="22"/>
  <c r="G19" i="22" s="1"/>
  <c r="H18" i="22"/>
  <c r="BI18" i="22"/>
  <c r="BE18" i="22"/>
  <c r="BA18" i="22"/>
  <c r="AW18" i="22"/>
  <c r="AS18" i="22"/>
  <c r="AO18" i="22"/>
  <c r="AK18" i="22"/>
  <c r="AG18" i="22"/>
  <c r="AC18" i="22"/>
  <c r="Y18" i="22"/>
  <c r="U18" i="22"/>
  <c r="Q18" i="22"/>
  <c r="D18" i="22"/>
  <c r="G18" i="22" s="1"/>
  <c r="H17" i="22"/>
  <c r="BI17" i="22"/>
  <c r="BE17" i="22"/>
  <c r="BA17" i="22"/>
  <c r="AW17" i="22"/>
  <c r="AS17" i="22"/>
  <c r="AO17" i="22"/>
  <c r="AK17" i="22"/>
  <c r="AG17" i="22"/>
  <c r="AC17" i="22"/>
  <c r="Y17" i="22"/>
  <c r="U17" i="22"/>
  <c r="Q17" i="22"/>
  <c r="D17" i="22"/>
  <c r="G17" i="22" s="1"/>
  <c r="H16" i="22"/>
  <c r="BI16" i="22"/>
  <c r="BE16" i="22"/>
  <c r="BA16" i="22"/>
  <c r="AW16" i="22"/>
  <c r="AS16" i="22"/>
  <c r="AO16" i="22"/>
  <c r="AK16" i="22"/>
  <c r="AG16" i="22"/>
  <c r="AC16" i="22"/>
  <c r="Y16" i="22"/>
  <c r="U16" i="22"/>
  <c r="Q16" i="22"/>
  <c r="D16" i="22"/>
  <c r="G16" i="22" s="1"/>
  <c r="H15" i="22"/>
  <c r="BI15" i="22"/>
  <c r="BE15" i="22"/>
  <c r="BA15" i="22"/>
  <c r="AW15" i="22"/>
  <c r="AS15" i="22"/>
  <c r="AO15" i="22"/>
  <c r="AK15" i="22"/>
  <c r="AG15" i="22"/>
  <c r="AC15" i="22"/>
  <c r="Y15" i="22"/>
  <c r="U15" i="22"/>
  <c r="Q15" i="22"/>
  <c r="D15" i="22"/>
  <c r="G15" i="22" s="1"/>
  <c r="BI14" i="22"/>
  <c r="BE14" i="22"/>
  <c r="BA14" i="22"/>
  <c r="AW14" i="22"/>
  <c r="AS14" i="22"/>
  <c r="AO14" i="22"/>
  <c r="AK14" i="22"/>
  <c r="AG14" i="22"/>
  <c r="AC14" i="22"/>
  <c r="Y14" i="22"/>
  <c r="U14" i="22"/>
  <c r="Q14" i="22"/>
  <c r="D14" i="22"/>
  <c r="G14" i="22" s="1"/>
  <c r="BI13" i="22"/>
  <c r="BE13" i="22"/>
  <c r="BA13" i="22"/>
  <c r="AW13" i="22"/>
  <c r="AS13" i="22"/>
  <c r="AO13" i="22"/>
  <c r="AK13" i="22"/>
  <c r="AG13" i="22"/>
  <c r="AC13" i="22"/>
  <c r="Y13" i="22"/>
  <c r="U13" i="22"/>
  <c r="Q13" i="22"/>
  <c r="D13" i="22"/>
  <c r="G13" i="22" s="1"/>
  <c r="H12" i="22"/>
  <c r="BI12" i="22"/>
  <c r="BE12" i="22"/>
  <c r="BA12" i="22"/>
  <c r="AW12" i="22"/>
  <c r="AS12" i="22"/>
  <c r="AO12" i="22"/>
  <c r="AK12" i="22"/>
  <c r="AG12" i="22"/>
  <c r="AC12" i="22"/>
  <c r="Y12" i="22"/>
  <c r="U12" i="22"/>
  <c r="Q12" i="22"/>
  <c r="D12" i="22"/>
  <c r="G12" i="22"/>
  <c r="H11" i="22"/>
  <c r="BI11" i="22"/>
  <c r="BE11" i="22"/>
  <c r="BA11" i="22"/>
  <c r="AW11" i="22"/>
  <c r="AS11" i="22"/>
  <c r="AO11" i="22"/>
  <c r="AK11" i="22"/>
  <c r="AG11" i="22"/>
  <c r="AC11" i="22"/>
  <c r="Y11" i="22"/>
  <c r="U11" i="22"/>
  <c r="Q11" i="22"/>
  <c r="D11" i="22"/>
  <c r="G11" i="22" s="1"/>
  <c r="H10" i="22"/>
  <c r="BI10" i="22"/>
  <c r="BE10" i="22"/>
  <c r="BA10" i="22"/>
  <c r="AW10" i="22"/>
  <c r="AS10" i="22"/>
  <c r="AO10" i="22"/>
  <c r="AK10" i="22"/>
  <c r="AG10" i="22"/>
  <c r="AC10" i="22"/>
  <c r="Y10" i="22"/>
  <c r="U10" i="22"/>
  <c r="Q10" i="22"/>
  <c r="D10" i="22"/>
  <c r="G10" i="22" s="1"/>
  <c r="H9" i="22"/>
  <c r="BI9" i="22"/>
  <c r="BE9" i="22"/>
  <c r="BA9" i="22"/>
  <c r="AW9" i="22"/>
  <c r="AS9" i="22"/>
  <c r="AO9" i="22"/>
  <c r="AK9" i="22"/>
  <c r="AG9" i="22"/>
  <c r="AC9" i="22"/>
  <c r="Y9" i="22"/>
  <c r="U9" i="22"/>
  <c r="Q9" i="22"/>
  <c r="D9" i="22"/>
  <c r="G9" i="22" s="1"/>
  <c r="H8" i="22"/>
  <c r="BI8" i="22"/>
  <c r="BE8" i="22"/>
  <c r="BA8" i="22"/>
  <c r="AW8" i="22"/>
  <c r="AS8" i="22"/>
  <c r="AO8" i="22"/>
  <c r="AK8" i="22"/>
  <c r="AG8" i="22"/>
  <c r="AC8" i="22"/>
  <c r="Y8" i="22"/>
  <c r="U8" i="22"/>
  <c r="Q8" i="22"/>
  <c r="D8" i="22"/>
  <c r="G8" i="22" s="1"/>
  <c r="BI7" i="22"/>
  <c r="BE7" i="22"/>
  <c r="BA7" i="22"/>
  <c r="AW7" i="22"/>
  <c r="AS7" i="22"/>
  <c r="AO7" i="22"/>
  <c r="AK7" i="22"/>
  <c r="AG7" i="22"/>
  <c r="AC7" i="22"/>
  <c r="Y7" i="22"/>
  <c r="U7" i="22"/>
  <c r="Q7" i="22"/>
  <c r="H7" i="22"/>
  <c r="D7" i="22"/>
  <c r="G7" i="22" s="1"/>
  <c r="H6" i="22"/>
  <c r="BI6" i="22"/>
  <c r="BE6" i="22"/>
  <c r="BA6" i="22"/>
  <c r="AW6" i="22"/>
  <c r="AS6" i="22"/>
  <c r="AO6" i="22"/>
  <c r="AK6" i="22"/>
  <c r="AG6" i="22"/>
  <c r="AC6" i="22"/>
  <c r="Y6" i="22"/>
  <c r="U6" i="22"/>
  <c r="Q6" i="22"/>
  <c r="D6" i="22"/>
  <c r="G6" i="22" s="1"/>
  <c r="BI5" i="22"/>
  <c r="BE5" i="22"/>
  <c r="BA5" i="22"/>
  <c r="AW5" i="22"/>
  <c r="AS5" i="22"/>
  <c r="AO5" i="22"/>
  <c r="AK5" i="22"/>
  <c r="AG5" i="22"/>
  <c r="AC5" i="22"/>
  <c r="Y5" i="22"/>
  <c r="U5" i="22"/>
  <c r="Q5" i="22"/>
  <c r="H5" i="22"/>
  <c r="D5" i="22"/>
  <c r="G5" i="22" s="1"/>
  <c r="H4" i="22"/>
  <c r="BI4" i="22"/>
  <c r="BE4" i="22"/>
  <c r="BA4" i="22"/>
  <c r="AW4" i="22"/>
  <c r="AS4" i="22"/>
  <c r="AO4" i="22"/>
  <c r="AK4" i="22"/>
  <c r="AG4" i="22"/>
  <c r="AC4" i="22"/>
  <c r="Y4" i="22"/>
  <c r="U4" i="22"/>
  <c r="Q4" i="22"/>
  <c r="D4" i="22"/>
  <c r="G4" i="22" s="1"/>
  <c r="H3" i="22"/>
  <c r="BI3" i="22"/>
  <c r="BE3" i="22"/>
  <c r="BA3" i="22"/>
  <c r="AW3" i="22"/>
  <c r="AS3" i="22"/>
  <c r="AO3" i="22"/>
  <c r="AK3" i="22"/>
  <c r="AG3" i="22"/>
  <c r="AC3" i="22"/>
  <c r="Y3" i="22"/>
  <c r="U3" i="22"/>
  <c r="Q3" i="22"/>
  <c r="D3" i="22"/>
  <c r="G3" i="22" s="1"/>
  <c r="H2" i="22"/>
  <c r="BI2" i="22"/>
  <c r="BE2" i="22"/>
  <c r="BA2" i="22"/>
  <c r="AW2" i="22"/>
  <c r="AS2" i="22"/>
  <c r="AO2" i="22"/>
  <c r="AK2" i="22"/>
  <c r="AG2" i="22"/>
  <c r="AC2" i="22"/>
  <c r="Y2" i="22"/>
  <c r="U2" i="22"/>
  <c r="Q2" i="22"/>
  <c r="D2" i="22"/>
  <c r="H98" i="9"/>
  <c r="P56" i="10"/>
  <c r="AG2" i="19"/>
  <c r="I2" i="19" s="1"/>
  <c r="AG46" i="19"/>
  <c r="I46" i="19" s="1"/>
  <c r="G8" i="20"/>
  <c r="G9" i="20"/>
  <c r="G17" i="20"/>
  <c r="G25" i="20"/>
  <c r="G33" i="20"/>
  <c r="G41" i="20"/>
  <c r="G49" i="20"/>
  <c r="G57" i="20"/>
  <c r="G65" i="20"/>
  <c r="G73" i="20"/>
  <c r="G81" i="20"/>
  <c r="G89" i="20"/>
  <c r="BH92" i="22"/>
  <c r="BI55" i="22"/>
  <c r="H684" i="9"/>
  <c r="H649" i="9"/>
  <c r="H621" i="9"/>
  <c r="H603" i="9"/>
  <c r="H593" i="9"/>
  <c r="H531" i="9"/>
  <c r="H517" i="9"/>
  <c r="H759" i="9"/>
  <c r="H271" i="9"/>
  <c r="H252" i="9"/>
  <c r="H228" i="9"/>
  <c r="H79" i="9"/>
  <c r="H106" i="9"/>
  <c r="H156" i="9"/>
  <c r="H229" i="9"/>
  <c r="H25" i="9"/>
  <c r="AS90" i="18"/>
  <c r="AS89" i="18"/>
  <c r="AS88" i="18"/>
  <c r="AS87" i="18"/>
  <c r="AS86" i="18"/>
  <c r="AS85" i="18"/>
  <c r="AS84" i="18"/>
  <c r="AS83" i="18"/>
  <c r="AS82" i="18"/>
  <c r="AS81" i="18"/>
  <c r="AS80" i="18"/>
  <c r="AS79" i="18"/>
  <c r="AS78" i="18"/>
  <c r="AS77" i="18"/>
  <c r="AS76" i="18"/>
  <c r="AS75" i="18"/>
  <c r="AS74" i="18"/>
  <c r="AS73" i="18"/>
  <c r="AS72" i="18"/>
  <c r="AS71" i="18"/>
  <c r="AS70" i="18"/>
  <c r="AS69" i="18"/>
  <c r="AS68" i="18"/>
  <c r="AS67" i="18"/>
  <c r="AS66" i="18"/>
  <c r="AS65" i="18"/>
  <c r="AS64" i="18"/>
  <c r="AS63" i="18"/>
  <c r="AS62" i="18"/>
  <c r="AS61" i="18"/>
  <c r="AS60" i="18"/>
  <c r="AS59" i="18"/>
  <c r="AS58" i="18"/>
  <c r="AS57" i="18"/>
  <c r="AS56" i="18"/>
  <c r="AS55" i="18"/>
  <c r="AS54" i="18"/>
  <c r="AS53" i="18"/>
  <c r="AS52" i="18"/>
  <c r="AS51" i="18"/>
  <c r="AS50" i="18"/>
  <c r="AS49" i="18"/>
  <c r="AS48" i="18"/>
  <c r="AS47" i="18"/>
  <c r="AS46" i="18"/>
  <c r="AS45" i="18"/>
  <c r="AS44" i="18"/>
  <c r="AS43" i="18"/>
  <c r="AS42" i="18"/>
  <c r="AS41" i="18"/>
  <c r="AS40" i="18"/>
  <c r="AS39" i="18"/>
  <c r="AS38" i="18"/>
  <c r="AS37" i="18"/>
  <c r="AS36" i="18"/>
  <c r="AS35" i="18"/>
  <c r="AS34" i="18"/>
  <c r="AS33" i="18"/>
  <c r="AS32" i="18"/>
  <c r="AS31" i="18"/>
  <c r="AS30" i="18"/>
  <c r="AS29" i="18"/>
  <c r="AS28" i="18"/>
  <c r="AS27" i="18"/>
  <c r="AS26" i="18"/>
  <c r="AS25" i="18"/>
  <c r="AS24" i="18"/>
  <c r="AS23" i="18"/>
  <c r="AS22" i="18"/>
  <c r="AS21" i="18"/>
  <c r="AS20" i="18"/>
  <c r="AS19" i="18"/>
  <c r="AS18" i="18"/>
  <c r="AS17" i="18"/>
  <c r="AS16" i="18"/>
  <c r="AS15" i="18"/>
  <c r="AS14" i="18"/>
  <c r="AS13" i="18"/>
  <c r="AS12" i="18"/>
  <c r="AS11" i="18"/>
  <c r="AS10" i="18"/>
  <c r="AS9" i="18"/>
  <c r="AS8" i="18"/>
  <c r="AS7" i="18"/>
  <c r="AS6" i="18"/>
  <c r="AS5" i="18"/>
  <c r="AS4" i="18"/>
  <c r="AS3" i="18"/>
  <c r="AS2" i="18"/>
  <c r="AW2" i="18"/>
  <c r="AW3" i="18"/>
  <c r="AW4" i="18"/>
  <c r="AW5" i="18"/>
  <c r="AW6" i="18"/>
  <c r="AW7" i="18"/>
  <c r="AW8" i="18"/>
  <c r="AW9" i="18"/>
  <c r="AW10" i="18"/>
  <c r="AW11" i="18"/>
  <c r="AW12" i="18"/>
  <c r="AW13" i="18"/>
  <c r="AW14" i="18"/>
  <c r="AW15" i="18"/>
  <c r="AW16" i="18"/>
  <c r="AW17" i="18"/>
  <c r="AW18" i="18"/>
  <c r="AW19" i="18"/>
  <c r="AW20" i="18"/>
  <c r="AW21" i="18"/>
  <c r="AW22" i="18"/>
  <c r="AW23" i="18"/>
  <c r="AW24" i="18"/>
  <c r="AW25" i="18"/>
  <c r="AW26" i="18"/>
  <c r="AW27" i="18"/>
  <c r="AW28" i="18"/>
  <c r="AW29" i="18"/>
  <c r="AW30" i="18"/>
  <c r="AW31" i="18"/>
  <c r="AW32" i="18"/>
  <c r="AW33" i="18"/>
  <c r="AW34" i="18"/>
  <c r="AW35" i="18"/>
  <c r="AW36" i="18"/>
  <c r="AW37" i="18"/>
  <c r="AW38" i="18"/>
  <c r="AW39" i="18"/>
  <c r="AW40" i="18"/>
  <c r="AW41" i="18"/>
  <c r="AW42" i="18"/>
  <c r="AW43" i="18"/>
  <c r="AW44" i="18"/>
  <c r="AW45" i="18"/>
  <c r="AW46" i="18"/>
  <c r="AW47" i="18"/>
  <c r="AW48" i="18"/>
  <c r="AW49" i="18"/>
  <c r="AW50" i="18"/>
  <c r="AW51" i="18"/>
  <c r="AW52" i="18"/>
  <c r="AW53" i="18"/>
  <c r="AW54" i="18"/>
  <c r="AW55" i="18"/>
  <c r="AW56" i="18"/>
  <c r="AW57" i="18"/>
  <c r="AW58" i="18"/>
  <c r="AW59" i="18"/>
  <c r="AW60" i="18"/>
  <c r="AW61" i="18"/>
  <c r="AW62" i="18"/>
  <c r="AW63" i="18"/>
  <c r="AW64" i="18"/>
  <c r="AW65" i="18"/>
  <c r="AW66" i="18"/>
  <c r="AW67" i="18"/>
  <c r="AW68" i="18"/>
  <c r="AW69" i="18"/>
  <c r="AW70" i="18"/>
  <c r="AW71" i="18"/>
  <c r="AW72" i="18"/>
  <c r="AW73" i="18"/>
  <c r="AW74" i="18"/>
  <c r="AW75" i="18"/>
  <c r="AW76" i="18"/>
  <c r="AW77" i="18"/>
  <c r="AW78" i="18"/>
  <c r="AW79" i="18"/>
  <c r="AW80" i="18"/>
  <c r="AW81" i="18"/>
  <c r="AW82" i="18"/>
  <c r="AW83" i="18"/>
  <c r="AW84" i="18"/>
  <c r="AW85" i="18"/>
  <c r="AW86" i="18"/>
  <c r="AW87" i="18"/>
  <c r="AW88" i="18"/>
  <c r="AW89" i="18"/>
  <c r="AW90" i="18"/>
  <c r="BA2" i="18"/>
  <c r="BA3" i="18"/>
  <c r="BA4" i="18"/>
  <c r="BA5" i="18"/>
  <c r="BA6" i="18"/>
  <c r="BA7" i="18"/>
  <c r="BA8" i="18"/>
  <c r="BA9" i="18"/>
  <c r="BA10" i="18"/>
  <c r="BA11" i="18"/>
  <c r="BA12" i="18"/>
  <c r="BA13" i="18"/>
  <c r="BA14" i="18"/>
  <c r="BA15" i="18"/>
  <c r="BA16" i="18"/>
  <c r="BA17" i="18"/>
  <c r="BA18" i="18"/>
  <c r="BA19" i="18"/>
  <c r="BA20" i="18"/>
  <c r="BA21" i="18"/>
  <c r="BA22" i="18"/>
  <c r="BA23" i="18"/>
  <c r="BA24" i="18"/>
  <c r="BA25" i="18"/>
  <c r="BA26" i="18"/>
  <c r="BA27" i="18"/>
  <c r="BA28" i="18"/>
  <c r="BA29" i="18"/>
  <c r="BA30" i="18"/>
  <c r="BA31" i="18"/>
  <c r="BA32" i="18"/>
  <c r="BA33" i="18"/>
  <c r="BA34" i="18"/>
  <c r="BA35" i="18"/>
  <c r="BA36" i="18"/>
  <c r="BA37" i="18"/>
  <c r="BA38" i="18"/>
  <c r="BA39" i="18"/>
  <c r="BA40" i="18"/>
  <c r="BA41" i="18"/>
  <c r="BA42" i="18"/>
  <c r="BA43" i="18"/>
  <c r="BA44" i="18"/>
  <c r="BA45" i="18"/>
  <c r="BA46" i="18"/>
  <c r="BA47" i="18"/>
  <c r="BA48" i="18"/>
  <c r="BA49" i="18"/>
  <c r="BA50" i="18"/>
  <c r="BA51" i="18"/>
  <c r="BA52" i="18"/>
  <c r="BA53" i="18"/>
  <c r="BA54" i="18"/>
  <c r="BA55" i="18"/>
  <c r="BA56" i="18"/>
  <c r="BA57" i="18"/>
  <c r="BA58" i="18"/>
  <c r="BA59" i="18"/>
  <c r="BA60" i="18"/>
  <c r="BA61" i="18"/>
  <c r="BA62" i="18"/>
  <c r="BA63" i="18"/>
  <c r="BA64" i="18"/>
  <c r="BA65" i="18"/>
  <c r="BA66" i="18"/>
  <c r="BA67" i="18"/>
  <c r="BA68" i="18"/>
  <c r="BA69" i="18"/>
  <c r="BA70" i="18"/>
  <c r="BA71" i="18"/>
  <c r="BA72" i="18"/>
  <c r="BA73" i="18"/>
  <c r="BA74" i="18"/>
  <c r="BA75" i="18"/>
  <c r="BA76" i="18"/>
  <c r="BA77" i="18"/>
  <c r="BA78" i="18"/>
  <c r="BA79" i="18"/>
  <c r="BA80" i="18"/>
  <c r="BA81" i="18"/>
  <c r="BA82" i="18"/>
  <c r="BA83" i="18"/>
  <c r="BA84" i="18"/>
  <c r="BA85" i="18"/>
  <c r="BA86" i="18"/>
  <c r="BA87" i="18"/>
  <c r="BA88" i="18"/>
  <c r="BA89" i="18"/>
  <c r="BA90" i="18"/>
  <c r="AO90" i="18"/>
  <c r="AO89" i="18"/>
  <c r="AO88" i="18"/>
  <c r="AO87" i="18"/>
  <c r="AO86" i="18"/>
  <c r="AO85" i="18"/>
  <c r="AO84" i="18"/>
  <c r="AO83" i="18"/>
  <c r="AO82" i="18"/>
  <c r="AO81" i="18"/>
  <c r="AO80" i="18"/>
  <c r="AO79" i="18"/>
  <c r="AO78" i="18"/>
  <c r="AO77" i="18"/>
  <c r="AO76" i="18"/>
  <c r="AO75" i="18"/>
  <c r="AO74" i="18"/>
  <c r="AO73" i="18"/>
  <c r="AO72" i="18"/>
  <c r="AO71" i="18"/>
  <c r="AO70" i="18"/>
  <c r="AO69" i="18"/>
  <c r="AO68" i="18"/>
  <c r="AO67" i="18"/>
  <c r="AO66" i="18"/>
  <c r="AO65" i="18"/>
  <c r="AO64" i="18"/>
  <c r="AO63" i="18"/>
  <c r="AO62" i="18"/>
  <c r="AO61" i="18"/>
  <c r="AO60" i="18"/>
  <c r="AO59" i="18"/>
  <c r="AO58" i="18"/>
  <c r="AO57" i="18"/>
  <c r="AO56" i="18"/>
  <c r="AO55" i="18"/>
  <c r="AO54" i="18"/>
  <c r="AO53" i="18"/>
  <c r="AO52" i="18"/>
  <c r="AO51" i="18"/>
  <c r="AO50" i="18"/>
  <c r="AO49" i="18"/>
  <c r="AO48" i="18"/>
  <c r="AO47" i="18"/>
  <c r="AO46" i="18"/>
  <c r="AO45" i="18"/>
  <c r="AO44" i="18"/>
  <c r="AO43" i="18"/>
  <c r="AO42" i="18"/>
  <c r="AO41" i="18"/>
  <c r="AO40" i="18"/>
  <c r="AO39" i="18"/>
  <c r="AO38" i="18"/>
  <c r="AO37" i="18"/>
  <c r="AO36" i="18"/>
  <c r="AO35" i="18"/>
  <c r="AO34" i="18"/>
  <c r="AO33" i="18"/>
  <c r="AO32" i="18"/>
  <c r="AO31" i="18"/>
  <c r="AO30" i="18"/>
  <c r="AO29" i="18"/>
  <c r="AO28" i="18"/>
  <c r="AO27" i="18"/>
  <c r="AO26" i="18"/>
  <c r="AO25" i="18"/>
  <c r="AO24" i="18"/>
  <c r="AO23" i="18"/>
  <c r="AO22" i="18"/>
  <c r="AO21" i="18"/>
  <c r="AO20" i="18"/>
  <c r="AO19" i="18"/>
  <c r="AO18" i="18"/>
  <c r="AO17" i="18"/>
  <c r="AO16" i="18"/>
  <c r="AO15" i="18"/>
  <c r="AO14" i="18"/>
  <c r="AO13" i="18"/>
  <c r="AO12" i="18"/>
  <c r="AO11" i="18"/>
  <c r="AO10" i="18"/>
  <c r="AO9" i="18"/>
  <c r="AO8" i="18"/>
  <c r="AO7" i="18"/>
  <c r="AO6" i="18"/>
  <c r="AO5" i="18"/>
  <c r="AO4" i="18"/>
  <c r="AO3" i="18"/>
  <c r="AO2" i="18"/>
  <c r="AK90" i="18"/>
  <c r="AK89" i="18"/>
  <c r="AK88" i="18"/>
  <c r="AK87" i="18"/>
  <c r="AK86" i="18"/>
  <c r="AK85" i="18"/>
  <c r="AK84" i="18"/>
  <c r="AK83" i="18"/>
  <c r="AK82" i="18"/>
  <c r="AK81" i="18"/>
  <c r="AK80" i="18"/>
  <c r="AK79" i="18"/>
  <c r="AK78" i="18"/>
  <c r="AK77" i="18"/>
  <c r="AK76" i="18"/>
  <c r="AK75" i="18"/>
  <c r="AK74" i="18"/>
  <c r="AK73" i="18"/>
  <c r="AK72" i="18"/>
  <c r="AK71" i="18"/>
  <c r="AK70" i="18"/>
  <c r="AK69" i="18"/>
  <c r="AK68" i="18"/>
  <c r="AK67" i="18"/>
  <c r="AK66" i="18"/>
  <c r="AK65" i="18"/>
  <c r="AK64" i="18"/>
  <c r="AK63" i="18"/>
  <c r="AK62" i="18"/>
  <c r="AK61" i="18"/>
  <c r="AK60" i="18"/>
  <c r="AK59" i="18"/>
  <c r="AK58" i="18"/>
  <c r="AK57" i="18"/>
  <c r="AK56" i="18"/>
  <c r="AK55" i="18"/>
  <c r="AK54" i="18"/>
  <c r="AK53" i="18"/>
  <c r="AK52" i="18"/>
  <c r="AK51" i="18"/>
  <c r="AK50" i="18"/>
  <c r="AK49" i="18"/>
  <c r="AK48" i="18"/>
  <c r="AK47" i="18"/>
  <c r="AK46" i="18"/>
  <c r="AK45" i="18"/>
  <c r="AK44" i="18"/>
  <c r="AK43" i="18"/>
  <c r="AK42" i="18"/>
  <c r="AK41" i="18"/>
  <c r="AK40" i="18"/>
  <c r="AK39" i="18"/>
  <c r="AK38" i="18"/>
  <c r="AK37" i="18"/>
  <c r="AK36" i="18"/>
  <c r="AK35" i="18"/>
  <c r="AK34" i="18"/>
  <c r="AK33" i="18"/>
  <c r="AK32" i="18"/>
  <c r="AK31" i="18"/>
  <c r="AK30" i="18"/>
  <c r="AK29" i="18"/>
  <c r="AK28" i="18"/>
  <c r="AK27" i="18"/>
  <c r="AK26" i="18"/>
  <c r="AK25" i="18"/>
  <c r="AK24" i="18"/>
  <c r="AK23" i="18"/>
  <c r="AK22" i="18"/>
  <c r="AK21" i="18"/>
  <c r="AK20" i="18"/>
  <c r="AK19" i="18"/>
  <c r="AK18" i="18"/>
  <c r="AK17" i="18"/>
  <c r="AK16" i="18"/>
  <c r="AK15" i="18"/>
  <c r="AK14" i="18"/>
  <c r="AK13" i="18"/>
  <c r="AK12" i="18"/>
  <c r="AK11" i="18"/>
  <c r="AK10" i="18"/>
  <c r="AK9" i="18"/>
  <c r="AK8" i="18"/>
  <c r="AK7" i="18"/>
  <c r="AK6" i="18"/>
  <c r="AK5" i="18"/>
  <c r="AK4" i="18"/>
  <c r="AK3" i="18"/>
  <c r="AK2" i="18"/>
  <c r="AG90" i="18"/>
  <c r="AG89" i="18"/>
  <c r="AG88" i="18"/>
  <c r="AG87" i="18"/>
  <c r="AG86" i="18"/>
  <c r="AG85" i="18"/>
  <c r="AG84" i="18"/>
  <c r="AG83" i="18"/>
  <c r="AG82" i="18"/>
  <c r="AG81" i="18"/>
  <c r="AG80" i="18"/>
  <c r="AG79" i="18"/>
  <c r="AG78" i="18"/>
  <c r="AG77" i="18"/>
  <c r="AG76" i="18"/>
  <c r="AG75" i="18"/>
  <c r="AG74" i="18"/>
  <c r="AG73" i="18"/>
  <c r="AG72" i="18"/>
  <c r="AG71" i="18"/>
  <c r="AG70" i="18"/>
  <c r="AG69" i="18"/>
  <c r="AG68" i="18"/>
  <c r="AG67" i="18"/>
  <c r="AG66" i="18"/>
  <c r="AG65" i="18"/>
  <c r="AG64" i="18"/>
  <c r="AG63" i="18"/>
  <c r="AG62" i="18"/>
  <c r="AG61" i="18"/>
  <c r="AG60" i="18"/>
  <c r="AG59" i="18"/>
  <c r="AG58" i="18"/>
  <c r="AG57" i="18"/>
  <c r="AG56" i="18"/>
  <c r="AG55" i="18"/>
  <c r="AG54" i="18"/>
  <c r="AG53" i="18"/>
  <c r="AG52" i="18"/>
  <c r="AG51" i="18"/>
  <c r="AG50" i="18"/>
  <c r="AG49" i="18"/>
  <c r="AG48" i="18"/>
  <c r="AG47" i="18"/>
  <c r="AG46" i="18"/>
  <c r="AG45" i="18"/>
  <c r="AG44" i="18"/>
  <c r="AG43" i="18"/>
  <c r="AG42" i="18"/>
  <c r="AG41" i="18"/>
  <c r="AG40" i="18"/>
  <c r="AG39" i="18"/>
  <c r="AG38" i="18"/>
  <c r="AG37" i="18"/>
  <c r="AG36" i="18"/>
  <c r="AG35" i="18"/>
  <c r="AG34" i="18"/>
  <c r="AG33" i="18"/>
  <c r="AG32" i="18"/>
  <c r="AG31" i="18"/>
  <c r="AG30" i="18"/>
  <c r="AG29" i="18"/>
  <c r="AG28" i="18"/>
  <c r="AG27" i="18"/>
  <c r="AG26" i="18"/>
  <c r="AG25" i="18"/>
  <c r="AG24" i="18"/>
  <c r="AG23" i="18"/>
  <c r="AG22" i="18"/>
  <c r="AG21" i="18"/>
  <c r="AG20" i="18"/>
  <c r="AG19" i="18"/>
  <c r="AG18" i="18"/>
  <c r="AG17" i="18"/>
  <c r="AG16" i="18"/>
  <c r="AG15" i="18"/>
  <c r="AG14" i="18"/>
  <c r="AG13" i="18"/>
  <c r="AG12" i="18"/>
  <c r="AG11" i="18"/>
  <c r="AG10" i="18"/>
  <c r="AG9" i="18"/>
  <c r="AG8" i="18"/>
  <c r="AG7" i="18"/>
  <c r="AG6" i="18"/>
  <c r="AG5" i="18"/>
  <c r="AG4" i="18"/>
  <c r="AG3" i="18"/>
  <c r="AG2" i="18"/>
  <c r="AC90" i="18"/>
  <c r="AC89" i="18"/>
  <c r="AC88" i="18"/>
  <c r="AC87" i="18"/>
  <c r="AC86" i="18"/>
  <c r="AC85" i="18"/>
  <c r="AC84" i="18"/>
  <c r="AC83" i="18"/>
  <c r="AC82" i="18"/>
  <c r="AC81" i="18"/>
  <c r="AC80" i="18"/>
  <c r="AC79" i="18"/>
  <c r="AC78" i="18"/>
  <c r="AC77" i="18"/>
  <c r="AC76" i="18"/>
  <c r="AC75" i="18"/>
  <c r="AC74" i="18"/>
  <c r="AC73" i="18"/>
  <c r="AC72" i="18"/>
  <c r="AC71" i="18"/>
  <c r="AC70" i="18"/>
  <c r="AC69" i="18"/>
  <c r="AC68" i="18"/>
  <c r="AC67" i="18"/>
  <c r="AC66" i="18"/>
  <c r="AC65" i="18"/>
  <c r="AC64" i="18"/>
  <c r="AC63" i="18"/>
  <c r="AC62" i="18"/>
  <c r="AC61" i="18"/>
  <c r="AC60" i="18"/>
  <c r="AC59" i="18"/>
  <c r="AC58" i="18"/>
  <c r="AC57" i="18"/>
  <c r="AC56" i="18"/>
  <c r="AC55" i="18"/>
  <c r="AC54" i="18"/>
  <c r="AC53" i="18"/>
  <c r="AC52" i="18"/>
  <c r="AC51" i="18"/>
  <c r="AC50" i="18"/>
  <c r="AC49" i="18"/>
  <c r="AC48" i="18"/>
  <c r="AC47" i="18"/>
  <c r="AC46" i="18"/>
  <c r="AC45" i="18"/>
  <c r="AC44" i="18"/>
  <c r="AC43" i="18"/>
  <c r="AC42" i="18"/>
  <c r="AC41" i="18"/>
  <c r="AC40" i="18"/>
  <c r="AC39" i="18"/>
  <c r="AC38" i="18"/>
  <c r="AC37" i="18"/>
  <c r="AC36" i="18"/>
  <c r="AC35" i="18"/>
  <c r="AC34" i="18"/>
  <c r="AC33" i="18"/>
  <c r="AC32" i="18"/>
  <c r="AC31" i="18"/>
  <c r="AC30" i="18"/>
  <c r="AC29" i="18"/>
  <c r="AC28" i="18"/>
  <c r="AC27" i="18"/>
  <c r="AC26" i="18"/>
  <c r="AC25" i="18"/>
  <c r="AC24" i="18"/>
  <c r="AC23" i="18"/>
  <c r="AC22" i="18"/>
  <c r="AC21" i="18"/>
  <c r="AC20" i="18"/>
  <c r="AC19" i="18"/>
  <c r="AC18" i="18"/>
  <c r="AC17" i="18"/>
  <c r="AC16" i="18"/>
  <c r="AC15" i="18"/>
  <c r="AC14" i="18"/>
  <c r="AC13" i="18"/>
  <c r="AC12" i="18"/>
  <c r="AC11" i="18"/>
  <c r="AC10" i="18"/>
  <c r="AC9" i="18"/>
  <c r="AC8" i="18"/>
  <c r="AC7" i="18"/>
  <c r="AC6" i="18"/>
  <c r="AC5" i="18"/>
  <c r="AC4" i="18"/>
  <c r="AC3" i="18"/>
  <c r="AC2" i="18"/>
  <c r="Y90" i="18"/>
  <c r="Y89" i="18"/>
  <c r="Y88" i="18"/>
  <c r="Y87" i="18"/>
  <c r="Y86" i="18"/>
  <c r="Y85" i="18"/>
  <c r="Y84" i="18"/>
  <c r="Y83" i="18"/>
  <c r="Y82" i="18"/>
  <c r="Y81" i="18"/>
  <c r="Y80" i="18"/>
  <c r="Y79" i="18"/>
  <c r="Y78" i="18"/>
  <c r="Y77" i="18"/>
  <c r="Y76" i="18"/>
  <c r="Y75" i="18"/>
  <c r="Y74" i="18"/>
  <c r="Y73" i="18"/>
  <c r="Y72" i="18"/>
  <c r="Y71" i="18"/>
  <c r="Y70" i="18"/>
  <c r="Y69" i="18"/>
  <c r="Y68" i="18"/>
  <c r="Y67" i="18"/>
  <c r="Y66" i="18"/>
  <c r="Y65" i="18"/>
  <c r="Y64" i="18"/>
  <c r="Y63" i="18"/>
  <c r="Y62" i="18"/>
  <c r="Y61" i="18"/>
  <c r="Y60" i="18"/>
  <c r="Y59" i="18"/>
  <c r="Y58" i="18"/>
  <c r="Y57" i="18"/>
  <c r="Y56" i="18"/>
  <c r="Y55" i="18"/>
  <c r="Y54" i="18"/>
  <c r="Y53" i="18"/>
  <c r="Y52" i="18"/>
  <c r="Y51" i="18"/>
  <c r="Y50" i="18"/>
  <c r="Y49" i="18"/>
  <c r="Y48" i="18"/>
  <c r="Y47" i="18"/>
  <c r="Y46" i="18"/>
  <c r="Y45" i="18"/>
  <c r="Y44" i="18"/>
  <c r="Y43" i="18"/>
  <c r="Y42" i="18"/>
  <c r="Y41" i="18"/>
  <c r="Y40" i="18"/>
  <c r="Y39" i="18"/>
  <c r="Y38" i="18"/>
  <c r="Y37" i="18"/>
  <c r="Y36" i="18"/>
  <c r="Y35" i="18"/>
  <c r="Y34" i="18"/>
  <c r="Y33" i="18"/>
  <c r="Y32" i="18"/>
  <c r="Y31" i="18"/>
  <c r="Y30" i="18"/>
  <c r="Y29" i="18"/>
  <c r="Y28" i="18"/>
  <c r="Y27" i="18"/>
  <c r="Y26" i="18"/>
  <c r="Y25" i="18"/>
  <c r="Y24" i="18"/>
  <c r="Y23" i="18"/>
  <c r="Y22" i="18"/>
  <c r="Y21" i="18"/>
  <c r="Y20" i="18"/>
  <c r="Y19" i="18"/>
  <c r="Y18" i="18"/>
  <c r="Y17" i="18"/>
  <c r="Y16" i="18"/>
  <c r="Y15" i="18"/>
  <c r="Y14" i="18"/>
  <c r="Y13" i="18"/>
  <c r="Y12" i="18"/>
  <c r="Y11" i="18"/>
  <c r="Y10" i="18"/>
  <c r="Y9" i="18"/>
  <c r="Y8" i="18"/>
  <c r="Y7" i="18"/>
  <c r="Y6" i="18"/>
  <c r="Y5" i="18"/>
  <c r="Y4" i="18"/>
  <c r="Y3" i="18"/>
  <c r="Y2" i="18"/>
  <c r="U90" i="18"/>
  <c r="U89" i="18"/>
  <c r="U88" i="18"/>
  <c r="U87" i="18"/>
  <c r="U86" i="18"/>
  <c r="U85" i="18"/>
  <c r="U84" i="18"/>
  <c r="U83" i="18"/>
  <c r="U82" i="18"/>
  <c r="U81" i="18"/>
  <c r="U80" i="18"/>
  <c r="U79" i="18"/>
  <c r="U78" i="18"/>
  <c r="U77" i="18"/>
  <c r="U76" i="18"/>
  <c r="U75" i="18"/>
  <c r="U74" i="18"/>
  <c r="U73" i="18"/>
  <c r="U72" i="18"/>
  <c r="U71" i="18"/>
  <c r="U70" i="18"/>
  <c r="U69" i="18"/>
  <c r="U68" i="18"/>
  <c r="U67" i="18"/>
  <c r="U66" i="18"/>
  <c r="U65" i="18"/>
  <c r="U64" i="18"/>
  <c r="U63" i="18"/>
  <c r="U62" i="18"/>
  <c r="U61" i="18"/>
  <c r="U60" i="18"/>
  <c r="U59" i="18"/>
  <c r="U58" i="18"/>
  <c r="U57" i="18"/>
  <c r="U56" i="18"/>
  <c r="U55" i="18"/>
  <c r="U54" i="18"/>
  <c r="U53" i="18"/>
  <c r="U52" i="18"/>
  <c r="U51" i="18"/>
  <c r="U50" i="18"/>
  <c r="U49" i="18"/>
  <c r="U48" i="18"/>
  <c r="U47" i="18"/>
  <c r="U46" i="18"/>
  <c r="U45" i="18"/>
  <c r="U44" i="18"/>
  <c r="U43" i="18"/>
  <c r="U42" i="18"/>
  <c r="U41" i="18"/>
  <c r="U40" i="18"/>
  <c r="U39" i="18"/>
  <c r="U38" i="18"/>
  <c r="U37" i="18"/>
  <c r="U36" i="18"/>
  <c r="U35" i="18"/>
  <c r="U34" i="18"/>
  <c r="U33" i="18"/>
  <c r="U32" i="18"/>
  <c r="U31" i="18"/>
  <c r="U30" i="18"/>
  <c r="U29" i="18"/>
  <c r="U28" i="18"/>
  <c r="U27" i="18"/>
  <c r="U26" i="18"/>
  <c r="U25" i="18"/>
  <c r="U24" i="18"/>
  <c r="U23" i="18"/>
  <c r="U22" i="18"/>
  <c r="U21" i="18"/>
  <c r="U19" i="18"/>
  <c r="U18" i="18"/>
  <c r="U17" i="18"/>
  <c r="U16" i="18"/>
  <c r="U15" i="18"/>
  <c r="U14" i="18"/>
  <c r="U13" i="18"/>
  <c r="U12" i="18"/>
  <c r="U11" i="18"/>
  <c r="U10" i="18"/>
  <c r="U9" i="18"/>
  <c r="U8" i="18"/>
  <c r="U7" i="18"/>
  <c r="U6" i="18"/>
  <c r="U5" i="18"/>
  <c r="U4" i="18"/>
  <c r="U3" i="18"/>
  <c r="U2" i="18"/>
  <c r="Q90" i="18"/>
  <c r="Q89" i="18"/>
  <c r="Q88" i="18"/>
  <c r="Q87" i="18"/>
  <c r="Q86" i="18"/>
  <c r="Q85" i="18"/>
  <c r="Q84" i="18"/>
  <c r="Q83" i="18"/>
  <c r="Q82" i="18"/>
  <c r="Q81" i="18"/>
  <c r="Q80" i="18"/>
  <c r="Q79" i="18"/>
  <c r="Q78" i="18"/>
  <c r="Q77" i="18"/>
  <c r="Q76" i="18"/>
  <c r="Q75" i="18"/>
  <c r="Q74" i="18"/>
  <c r="Q73" i="18"/>
  <c r="Q72" i="18"/>
  <c r="Q71" i="18"/>
  <c r="Q70" i="18"/>
  <c r="Q69" i="18"/>
  <c r="Q68" i="18"/>
  <c r="Q67" i="18"/>
  <c r="Q66" i="18"/>
  <c r="Q65" i="18"/>
  <c r="Q64" i="18"/>
  <c r="Q63" i="18"/>
  <c r="Q62" i="18"/>
  <c r="Q61" i="18"/>
  <c r="Q60" i="18"/>
  <c r="Q59" i="18"/>
  <c r="Q58" i="18"/>
  <c r="Q57" i="18"/>
  <c r="Q56" i="18"/>
  <c r="Q55" i="18"/>
  <c r="Q54" i="18"/>
  <c r="Q53" i="18"/>
  <c r="Q52" i="18"/>
  <c r="Q51" i="18"/>
  <c r="Q50" i="18"/>
  <c r="Q49" i="18"/>
  <c r="Q48" i="18"/>
  <c r="Q47" i="18"/>
  <c r="Q46" i="18"/>
  <c r="Q45" i="18"/>
  <c r="Q44" i="18"/>
  <c r="Q43" i="18"/>
  <c r="Q42" i="18"/>
  <c r="Q41" i="18"/>
  <c r="Q40" i="18"/>
  <c r="Q39" i="18"/>
  <c r="Q38" i="18"/>
  <c r="Q37" i="18"/>
  <c r="Q36" i="18"/>
  <c r="Q35" i="18"/>
  <c r="Q34" i="18"/>
  <c r="Q33" i="18"/>
  <c r="Q32" i="18"/>
  <c r="Q31" i="18"/>
  <c r="Q30" i="18"/>
  <c r="Q29" i="18"/>
  <c r="Q28" i="18"/>
  <c r="Q27" i="18"/>
  <c r="Q26" i="18"/>
  <c r="Q25" i="18"/>
  <c r="Q24" i="18"/>
  <c r="Q23" i="18"/>
  <c r="Q22" i="18"/>
  <c r="Q21" i="18"/>
  <c r="Q20" i="18"/>
  <c r="Q19" i="18"/>
  <c r="Q18" i="18"/>
  <c r="Q17" i="18"/>
  <c r="Q16" i="18"/>
  <c r="Q15" i="18"/>
  <c r="Q14" i="18"/>
  <c r="Q13" i="18"/>
  <c r="Q12" i="18"/>
  <c r="Q11" i="18"/>
  <c r="Q10" i="18"/>
  <c r="Q9" i="18"/>
  <c r="Q8" i="18"/>
  <c r="Q7" i="18"/>
  <c r="Q6" i="18"/>
  <c r="Q5" i="18"/>
  <c r="Q4" i="18"/>
  <c r="Q3" i="18"/>
  <c r="Q2" i="18"/>
  <c r="AW90" i="10"/>
  <c r="AW89" i="10"/>
  <c r="AW88" i="10"/>
  <c r="AW87" i="10"/>
  <c r="AW86" i="10"/>
  <c r="AW85" i="10"/>
  <c r="AW84" i="10"/>
  <c r="AW83" i="10"/>
  <c r="AW82" i="10"/>
  <c r="AW81" i="10"/>
  <c r="AW80" i="10"/>
  <c r="AW79" i="10"/>
  <c r="AW78" i="10"/>
  <c r="AW77" i="10"/>
  <c r="AW76" i="10"/>
  <c r="AW75" i="10"/>
  <c r="AW74" i="10"/>
  <c r="AW73" i="10"/>
  <c r="AW72" i="10"/>
  <c r="AW71" i="10"/>
  <c r="AW70" i="10"/>
  <c r="AW69" i="10"/>
  <c r="AW68" i="10"/>
  <c r="AW67" i="10"/>
  <c r="AW66" i="10"/>
  <c r="AW65" i="10"/>
  <c r="AW64" i="10"/>
  <c r="AW63" i="10"/>
  <c r="AW62" i="10"/>
  <c r="AW61" i="10"/>
  <c r="AW60" i="10"/>
  <c r="AW59" i="10"/>
  <c r="AW58" i="10"/>
  <c r="AW57" i="10"/>
  <c r="AW56" i="10"/>
  <c r="AW54" i="10"/>
  <c r="AW53" i="10"/>
  <c r="AW52" i="10"/>
  <c r="AW51" i="10"/>
  <c r="AW50" i="10"/>
  <c r="AW49" i="10"/>
  <c r="AW48" i="10"/>
  <c r="AW47" i="10"/>
  <c r="AW46" i="10"/>
  <c r="AW45" i="10"/>
  <c r="AW44" i="10"/>
  <c r="AW43" i="10"/>
  <c r="AW42" i="10"/>
  <c r="AW41" i="10"/>
  <c r="AW40" i="10"/>
  <c r="AW39" i="10"/>
  <c r="AW38" i="10"/>
  <c r="AW37" i="10"/>
  <c r="AW36" i="10"/>
  <c r="AW35" i="10"/>
  <c r="AW34" i="10"/>
  <c r="AW33" i="10"/>
  <c r="AW32" i="10"/>
  <c r="AW31" i="10"/>
  <c r="AW30" i="10"/>
  <c r="AW29" i="10"/>
  <c r="AW28" i="10"/>
  <c r="AW27" i="10"/>
  <c r="AW26" i="10"/>
  <c r="AW24" i="10"/>
  <c r="AW23" i="10"/>
  <c r="AW22" i="10"/>
  <c r="AW21" i="10"/>
  <c r="AW20" i="10"/>
  <c r="AW19" i="10"/>
  <c r="AW18" i="10"/>
  <c r="AW17" i="10"/>
  <c r="AW16" i="10"/>
  <c r="AW15" i="10"/>
  <c r="AW14" i="10"/>
  <c r="AW13" i="10"/>
  <c r="AW12" i="10"/>
  <c r="AW11" i="10"/>
  <c r="AW10" i="10"/>
  <c r="AW9" i="10"/>
  <c r="AW8" i="10"/>
  <c r="AW7" i="10"/>
  <c r="AW6" i="10"/>
  <c r="AW5" i="10"/>
  <c r="AW4" i="10"/>
  <c r="AW3" i="10"/>
  <c r="AW2" i="10"/>
  <c r="AT90" i="10"/>
  <c r="AT89" i="10"/>
  <c r="AT88" i="10"/>
  <c r="AT87" i="10"/>
  <c r="AT86" i="10"/>
  <c r="AT85" i="10"/>
  <c r="AT84" i="10"/>
  <c r="AT83" i="10"/>
  <c r="AT82" i="10"/>
  <c r="AT81" i="10"/>
  <c r="AT80" i="10"/>
  <c r="AT79" i="10"/>
  <c r="AT78" i="10"/>
  <c r="AT77" i="10"/>
  <c r="AT76" i="10"/>
  <c r="AT75" i="10"/>
  <c r="AT74" i="10"/>
  <c r="AT73" i="10"/>
  <c r="AT72" i="10"/>
  <c r="AT71" i="10"/>
  <c r="AT70" i="10"/>
  <c r="AT69" i="10"/>
  <c r="AT68" i="10"/>
  <c r="AT67" i="10"/>
  <c r="AT66" i="10"/>
  <c r="AT65" i="10"/>
  <c r="AT64" i="10"/>
  <c r="AT63" i="10"/>
  <c r="AT62" i="10"/>
  <c r="AT61" i="10"/>
  <c r="AT60" i="10"/>
  <c r="AT59" i="10"/>
  <c r="AT58" i="10"/>
  <c r="AT57" i="10"/>
  <c r="AT56" i="10"/>
  <c r="AT54" i="10"/>
  <c r="AT53" i="10"/>
  <c r="AT52" i="10"/>
  <c r="AT51" i="10"/>
  <c r="AT50" i="10"/>
  <c r="AT49" i="10"/>
  <c r="AT48" i="10"/>
  <c r="AT47" i="10"/>
  <c r="AT46" i="10"/>
  <c r="AT45" i="10"/>
  <c r="AT44" i="10"/>
  <c r="AT43" i="10"/>
  <c r="AT42" i="10"/>
  <c r="AT41" i="10"/>
  <c r="AT40" i="10"/>
  <c r="AT39" i="10"/>
  <c r="AT38" i="10"/>
  <c r="AT37" i="10"/>
  <c r="AT36" i="10"/>
  <c r="AT35" i="10"/>
  <c r="AT34" i="10"/>
  <c r="AT33" i="10"/>
  <c r="AT32" i="10"/>
  <c r="AT31" i="10"/>
  <c r="AT30" i="10"/>
  <c r="AT29" i="10"/>
  <c r="AT28" i="10"/>
  <c r="AT27" i="10"/>
  <c r="AT26" i="10"/>
  <c r="AT24" i="10"/>
  <c r="AT23" i="10"/>
  <c r="AT22" i="10"/>
  <c r="AT21" i="10"/>
  <c r="AT20" i="10"/>
  <c r="AT19" i="10"/>
  <c r="AT18" i="10"/>
  <c r="AT17" i="10"/>
  <c r="AT16" i="10"/>
  <c r="AT15" i="10"/>
  <c r="AT14" i="10"/>
  <c r="AT13" i="10"/>
  <c r="AT12" i="10"/>
  <c r="AT11" i="10"/>
  <c r="AT10" i="10"/>
  <c r="AT9" i="10"/>
  <c r="AT8" i="10"/>
  <c r="AT7" i="10"/>
  <c r="AT6" i="10"/>
  <c r="AT5" i="10"/>
  <c r="AT4" i="10"/>
  <c r="AT3" i="10"/>
  <c r="AT2" i="10"/>
  <c r="AQ90" i="10"/>
  <c r="AQ89" i="10"/>
  <c r="AQ88" i="10"/>
  <c r="AQ87" i="10"/>
  <c r="AQ86" i="10"/>
  <c r="AQ85" i="10"/>
  <c r="AQ84" i="10"/>
  <c r="AQ83" i="10"/>
  <c r="AQ82" i="10"/>
  <c r="AQ81" i="10"/>
  <c r="AQ80" i="10"/>
  <c r="AQ79" i="10"/>
  <c r="AQ78" i="10"/>
  <c r="AQ77" i="10"/>
  <c r="AQ76" i="10"/>
  <c r="AQ75" i="10"/>
  <c r="AQ74" i="10"/>
  <c r="AQ73" i="10"/>
  <c r="AQ72" i="10"/>
  <c r="AQ71" i="10"/>
  <c r="AQ70" i="10"/>
  <c r="AQ69" i="10"/>
  <c r="AQ68" i="10"/>
  <c r="AQ67" i="10"/>
  <c r="AQ66" i="10"/>
  <c r="AQ65" i="10"/>
  <c r="AQ64" i="10"/>
  <c r="AQ63" i="10"/>
  <c r="AQ62" i="10"/>
  <c r="AQ61" i="10"/>
  <c r="AQ60" i="10"/>
  <c r="AQ59" i="10"/>
  <c r="AQ58" i="10"/>
  <c r="AQ57" i="10"/>
  <c r="AQ56" i="10"/>
  <c r="AQ54" i="10"/>
  <c r="AQ53" i="10"/>
  <c r="AQ52" i="10"/>
  <c r="AQ51" i="10"/>
  <c r="AQ50" i="10"/>
  <c r="AQ49" i="10"/>
  <c r="AQ48" i="10"/>
  <c r="AQ47" i="10"/>
  <c r="AQ46" i="10"/>
  <c r="AQ45" i="10"/>
  <c r="AQ44" i="10"/>
  <c r="AQ43" i="10"/>
  <c r="AQ42" i="10"/>
  <c r="AQ41" i="10"/>
  <c r="AQ40" i="10"/>
  <c r="AQ39" i="10"/>
  <c r="AQ38" i="10"/>
  <c r="AQ37" i="10"/>
  <c r="AQ36" i="10"/>
  <c r="AQ35" i="10"/>
  <c r="AQ34" i="10"/>
  <c r="AQ33" i="10"/>
  <c r="AQ32" i="10"/>
  <c r="AQ31" i="10"/>
  <c r="AQ29" i="10"/>
  <c r="AQ28" i="10"/>
  <c r="AQ27" i="10"/>
  <c r="AQ26" i="10"/>
  <c r="AQ24" i="10"/>
  <c r="AQ23" i="10"/>
  <c r="AQ22" i="10"/>
  <c r="AQ21" i="10"/>
  <c r="AQ20" i="10"/>
  <c r="AQ19" i="10"/>
  <c r="AQ18" i="10"/>
  <c r="AQ17" i="10"/>
  <c r="AQ16" i="10"/>
  <c r="AQ15" i="10"/>
  <c r="AQ14" i="10"/>
  <c r="AQ13" i="10"/>
  <c r="AQ12" i="10"/>
  <c r="AQ11" i="10"/>
  <c r="AQ10" i="10"/>
  <c r="AQ9" i="10"/>
  <c r="AQ8" i="10"/>
  <c r="AQ7" i="10"/>
  <c r="AQ6" i="10"/>
  <c r="AQ5" i="10"/>
  <c r="AQ4" i="10"/>
  <c r="AQ3" i="10"/>
  <c r="AQ2" i="10"/>
  <c r="AN3" i="10"/>
  <c r="AN4" i="10"/>
  <c r="AN5" i="10"/>
  <c r="AN6" i="10"/>
  <c r="AN7" i="10"/>
  <c r="AN8" i="10"/>
  <c r="AN9" i="10"/>
  <c r="AN10" i="10"/>
  <c r="AN11" i="10"/>
  <c r="AN12" i="10"/>
  <c r="AN13" i="10"/>
  <c r="AN14" i="10"/>
  <c r="AN15" i="10"/>
  <c r="AN16" i="10"/>
  <c r="AN17" i="10"/>
  <c r="AN18" i="10"/>
  <c r="AN19" i="10"/>
  <c r="AN20" i="10"/>
  <c r="AN21" i="10"/>
  <c r="AN22" i="10"/>
  <c r="AN23" i="10"/>
  <c r="AN24"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2" i="10"/>
  <c r="AK90" i="10"/>
  <c r="AK89" i="10"/>
  <c r="AK88" i="10"/>
  <c r="AK87" i="10"/>
  <c r="AK86" i="10"/>
  <c r="AK85" i="10"/>
  <c r="AK84" i="10"/>
  <c r="AK83" i="10"/>
  <c r="AK82" i="10"/>
  <c r="AK81" i="10"/>
  <c r="AK80" i="10"/>
  <c r="AK79" i="10"/>
  <c r="AK78" i="10"/>
  <c r="AK77" i="10"/>
  <c r="AK76" i="10"/>
  <c r="AK75" i="10"/>
  <c r="AK74" i="10"/>
  <c r="AK73" i="10"/>
  <c r="AK72" i="10"/>
  <c r="AK71" i="10"/>
  <c r="AK70" i="10"/>
  <c r="AK69" i="10"/>
  <c r="AK68" i="10"/>
  <c r="AK67" i="10"/>
  <c r="AK66" i="10"/>
  <c r="AK65" i="10"/>
  <c r="AK64" i="10"/>
  <c r="AK63" i="10"/>
  <c r="AK62" i="10"/>
  <c r="AK61" i="10"/>
  <c r="AK60" i="10"/>
  <c r="AK59" i="10"/>
  <c r="AK58" i="10"/>
  <c r="AK57" i="10"/>
  <c r="AK56" i="10"/>
  <c r="AK54" i="10"/>
  <c r="AK53" i="10"/>
  <c r="AK52" i="10"/>
  <c r="AK51" i="10"/>
  <c r="AK50" i="10"/>
  <c r="AK49" i="10"/>
  <c r="AK48" i="10"/>
  <c r="AK47" i="10"/>
  <c r="AK46" i="10"/>
  <c r="AK45" i="10"/>
  <c r="AK44" i="10"/>
  <c r="AK43" i="10"/>
  <c r="AK42" i="10"/>
  <c r="AK41" i="10"/>
  <c r="AK40" i="10"/>
  <c r="AK39" i="10"/>
  <c r="AK38" i="10"/>
  <c r="AK37" i="10"/>
  <c r="AK36" i="10"/>
  <c r="AK35" i="10"/>
  <c r="AK34" i="10"/>
  <c r="AK33" i="10"/>
  <c r="AK32" i="10"/>
  <c r="AK31" i="10"/>
  <c r="AK30" i="10"/>
  <c r="AK29" i="10"/>
  <c r="AK28" i="10"/>
  <c r="AK27" i="10"/>
  <c r="AK26" i="10"/>
  <c r="AK24" i="10"/>
  <c r="AK23" i="10"/>
  <c r="AK22" i="10"/>
  <c r="AK21" i="10"/>
  <c r="AK20" i="10"/>
  <c r="AK19" i="10"/>
  <c r="AK18" i="10"/>
  <c r="AK17" i="10"/>
  <c r="AK16" i="10"/>
  <c r="AK15" i="10"/>
  <c r="AK14" i="10"/>
  <c r="AK13" i="10"/>
  <c r="AK12" i="10"/>
  <c r="AK11" i="10"/>
  <c r="AK10" i="10"/>
  <c r="AK9" i="10"/>
  <c r="AK8" i="10"/>
  <c r="AK7" i="10"/>
  <c r="AK6" i="10"/>
  <c r="AK5" i="10"/>
  <c r="AK4" i="10"/>
  <c r="AK3" i="10"/>
  <c r="AK2" i="10"/>
  <c r="AH90" i="10"/>
  <c r="AH89" i="10"/>
  <c r="AH88" i="10"/>
  <c r="AH87" i="10"/>
  <c r="AH86" i="10"/>
  <c r="AH85" i="10"/>
  <c r="AH84" i="10"/>
  <c r="AH83" i="10"/>
  <c r="AH82" i="10"/>
  <c r="AH81" i="10"/>
  <c r="AH80" i="10"/>
  <c r="AH79" i="10"/>
  <c r="AH78" i="10"/>
  <c r="AH77" i="10"/>
  <c r="AH76" i="10"/>
  <c r="AH75" i="10"/>
  <c r="AH74" i="10"/>
  <c r="AH73" i="10"/>
  <c r="AH72" i="10"/>
  <c r="AH71" i="10"/>
  <c r="AH70" i="10"/>
  <c r="AH69" i="10"/>
  <c r="AH68" i="10"/>
  <c r="AH67" i="10"/>
  <c r="AH66" i="10"/>
  <c r="AH65" i="10"/>
  <c r="AH64" i="10"/>
  <c r="AH63" i="10"/>
  <c r="AH62" i="10"/>
  <c r="AH61" i="10"/>
  <c r="AH60" i="10"/>
  <c r="AH59" i="10"/>
  <c r="AH58" i="10"/>
  <c r="AH57" i="10"/>
  <c r="AH56" i="10"/>
  <c r="AH54" i="10"/>
  <c r="AH53" i="10"/>
  <c r="AH52" i="10"/>
  <c r="AH51" i="10"/>
  <c r="AH50" i="10"/>
  <c r="AH49" i="10"/>
  <c r="AH48" i="10"/>
  <c r="AH47" i="10"/>
  <c r="AH46" i="10"/>
  <c r="AH45" i="10"/>
  <c r="AH44" i="10"/>
  <c r="AH43" i="10"/>
  <c r="AH42" i="10"/>
  <c r="AH41" i="10"/>
  <c r="AH40" i="10"/>
  <c r="AH39" i="10"/>
  <c r="AH38" i="10"/>
  <c r="AH37" i="10"/>
  <c r="AH36" i="10"/>
  <c r="AH35" i="10"/>
  <c r="AH34" i="10"/>
  <c r="AH33" i="10"/>
  <c r="AH32" i="10"/>
  <c r="AH31" i="10"/>
  <c r="AH30" i="10"/>
  <c r="AH29" i="10"/>
  <c r="AH28" i="10"/>
  <c r="AH27" i="10"/>
  <c r="AH26" i="10"/>
  <c r="AH24" i="10"/>
  <c r="AH23" i="10"/>
  <c r="AH22" i="10"/>
  <c r="AH21" i="10"/>
  <c r="AH20" i="10"/>
  <c r="AH19" i="10"/>
  <c r="AH18" i="10"/>
  <c r="AH17" i="10"/>
  <c r="AH16" i="10"/>
  <c r="AH15" i="10"/>
  <c r="AH14" i="10"/>
  <c r="AH13" i="10"/>
  <c r="AH12" i="10"/>
  <c r="AH11" i="10"/>
  <c r="AH10" i="10"/>
  <c r="AH9" i="10"/>
  <c r="AH8" i="10"/>
  <c r="AH7" i="10"/>
  <c r="AH6" i="10"/>
  <c r="AH5" i="10"/>
  <c r="AH4" i="10"/>
  <c r="AH3" i="10"/>
  <c r="AH2" i="10"/>
  <c r="AE90" i="10"/>
  <c r="AE89" i="10"/>
  <c r="AE88" i="10"/>
  <c r="AE87" i="10"/>
  <c r="AE86" i="10"/>
  <c r="AE85" i="10"/>
  <c r="AE84" i="10"/>
  <c r="AE83" i="10"/>
  <c r="AE82" i="10"/>
  <c r="AE81" i="10"/>
  <c r="AE80" i="10"/>
  <c r="AE79" i="10"/>
  <c r="AE78" i="10"/>
  <c r="AE77" i="10"/>
  <c r="AE76" i="10"/>
  <c r="AE75" i="10"/>
  <c r="AE74" i="10"/>
  <c r="AE73" i="10"/>
  <c r="AE72" i="10"/>
  <c r="AE71" i="10"/>
  <c r="AE70" i="10"/>
  <c r="AE69" i="10"/>
  <c r="AE68" i="10"/>
  <c r="AE67" i="10"/>
  <c r="AE66" i="10"/>
  <c r="AE65" i="10"/>
  <c r="AE64" i="10"/>
  <c r="AE63" i="10"/>
  <c r="AE62" i="10"/>
  <c r="AE61" i="10"/>
  <c r="AE60" i="10"/>
  <c r="AE59" i="10"/>
  <c r="AE58" i="10"/>
  <c r="AE57" i="10"/>
  <c r="AE56" i="10"/>
  <c r="AE54" i="10"/>
  <c r="AE53" i="10"/>
  <c r="AE52" i="10"/>
  <c r="AE51" i="10"/>
  <c r="AE50" i="10"/>
  <c r="AE49" i="10"/>
  <c r="AE48" i="10"/>
  <c r="AE47" i="10"/>
  <c r="AE46" i="10"/>
  <c r="AE45" i="10"/>
  <c r="AE44" i="10"/>
  <c r="AE43" i="10"/>
  <c r="AE42" i="10"/>
  <c r="AE41" i="10"/>
  <c r="AE40" i="10"/>
  <c r="AE39" i="10"/>
  <c r="AE38" i="10"/>
  <c r="AE37" i="10"/>
  <c r="AE36" i="10"/>
  <c r="AE35" i="10"/>
  <c r="AE34" i="10"/>
  <c r="AE33" i="10"/>
  <c r="AE32" i="10"/>
  <c r="AE31" i="10"/>
  <c r="AE30" i="10"/>
  <c r="AE29" i="10"/>
  <c r="AE28" i="10"/>
  <c r="AE27" i="10"/>
  <c r="AE26" i="10"/>
  <c r="AE24" i="10"/>
  <c r="AE23" i="10"/>
  <c r="AE22" i="10"/>
  <c r="AE21" i="10"/>
  <c r="AE20" i="10"/>
  <c r="AE19" i="10"/>
  <c r="AE18" i="10"/>
  <c r="AE17" i="10"/>
  <c r="AE16" i="10"/>
  <c r="AE15" i="10"/>
  <c r="AE14" i="10"/>
  <c r="AE13" i="10"/>
  <c r="AE12" i="10"/>
  <c r="AE11" i="10"/>
  <c r="AE10" i="10"/>
  <c r="AE9" i="10"/>
  <c r="AE8" i="10"/>
  <c r="AE7" i="10"/>
  <c r="AE6" i="10"/>
  <c r="AE5" i="10"/>
  <c r="AE4" i="10"/>
  <c r="AE3" i="10"/>
  <c r="AE2"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AB65" i="10"/>
  <c r="AB64" i="10"/>
  <c r="AB63" i="10"/>
  <c r="AB62" i="10"/>
  <c r="AB61" i="10"/>
  <c r="AB60" i="10"/>
  <c r="AB59" i="10"/>
  <c r="AB58" i="10"/>
  <c r="AB57" i="10"/>
  <c r="AB56" i="10"/>
  <c r="AB54" i="10"/>
  <c r="AB53" i="10"/>
  <c r="AB52" i="10"/>
  <c r="AB51" i="10"/>
  <c r="AB50" i="10"/>
  <c r="AB49" i="10"/>
  <c r="AB48" i="10"/>
  <c r="AB47" i="10"/>
  <c r="AB46" i="10"/>
  <c r="AB45" i="10"/>
  <c r="AB44" i="10"/>
  <c r="AB43" i="10"/>
  <c r="AB42" i="10"/>
  <c r="AB41" i="10"/>
  <c r="AB40" i="10"/>
  <c r="AB39" i="10"/>
  <c r="AB38" i="10"/>
  <c r="AB37" i="10"/>
  <c r="AB36" i="10"/>
  <c r="AB35" i="10"/>
  <c r="AB34" i="10"/>
  <c r="AB33" i="10"/>
  <c r="AB32" i="10"/>
  <c r="AB31" i="10"/>
  <c r="AB30" i="10"/>
  <c r="AB29" i="10"/>
  <c r="AB28" i="10"/>
  <c r="AB27" i="10"/>
  <c r="AB26" i="10"/>
  <c r="AB24" i="10"/>
  <c r="AB23" i="10"/>
  <c r="AB22" i="10"/>
  <c r="AB21" i="10"/>
  <c r="AB20" i="10"/>
  <c r="AB19" i="10"/>
  <c r="AB18" i="10"/>
  <c r="AB17" i="10"/>
  <c r="AB16" i="10"/>
  <c r="AB15" i="10"/>
  <c r="AB14" i="10"/>
  <c r="AB13" i="10"/>
  <c r="AB12" i="10"/>
  <c r="AB11" i="10"/>
  <c r="AB10" i="10"/>
  <c r="AB9" i="10"/>
  <c r="AB8" i="10"/>
  <c r="AB7" i="10"/>
  <c r="AB6" i="10"/>
  <c r="AB5" i="10"/>
  <c r="AB4" i="10"/>
  <c r="AB3" i="10"/>
  <c r="AB2" i="10"/>
  <c r="Y90" i="10"/>
  <c r="Y89" i="10"/>
  <c r="Y88" i="10"/>
  <c r="Y87" i="10"/>
  <c r="Y86" i="10"/>
  <c r="Y85" i="10"/>
  <c r="Y84" i="10"/>
  <c r="Y83" i="10"/>
  <c r="Y82" i="10"/>
  <c r="Y81" i="10"/>
  <c r="Y80" i="10"/>
  <c r="Y79" i="10"/>
  <c r="Y78" i="10"/>
  <c r="Y77" i="10"/>
  <c r="Y76" i="10"/>
  <c r="Y75" i="10"/>
  <c r="Y74" i="10"/>
  <c r="Y73" i="10"/>
  <c r="Y72" i="10"/>
  <c r="Y71" i="10"/>
  <c r="Y70" i="10"/>
  <c r="Y69" i="10"/>
  <c r="Y68" i="10"/>
  <c r="Y67" i="10"/>
  <c r="Y66" i="10"/>
  <c r="Y65" i="10"/>
  <c r="Y64" i="10"/>
  <c r="Y63" i="10"/>
  <c r="Y62" i="10"/>
  <c r="Y61" i="10"/>
  <c r="Y60" i="10"/>
  <c r="Y59" i="10"/>
  <c r="Y58" i="10"/>
  <c r="Y57" i="10"/>
  <c r="Y56" i="10"/>
  <c r="Y54" i="10"/>
  <c r="Y53" i="10"/>
  <c r="Y52" i="10"/>
  <c r="Y51" i="10"/>
  <c r="Y50" i="10"/>
  <c r="Y49" i="10"/>
  <c r="Y48" i="10"/>
  <c r="Y47" i="10"/>
  <c r="Y46" i="10"/>
  <c r="Y45" i="10"/>
  <c r="Y44" i="10"/>
  <c r="Y43" i="10"/>
  <c r="Y42" i="10"/>
  <c r="Y41" i="10"/>
  <c r="Y40" i="10"/>
  <c r="Y39" i="10"/>
  <c r="Y38" i="10"/>
  <c r="Y37" i="10"/>
  <c r="Y36" i="10"/>
  <c r="Y35" i="10"/>
  <c r="Y34" i="10"/>
  <c r="Y33" i="10"/>
  <c r="Y32" i="10"/>
  <c r="Y31" i="10"/>
  <c r="Y29" i="10"/>
  <c r="Y28" i="10"/>
  <c r="Y27" i="10"/>
  <c r="Y26" i="10"/>
  <c r="Y24" i="10"/>
  <c r="Y23" i="10"/>
  <c r="Y22" i="10"/>
  <c r="Y21" i="10"/>
  <c r="Y20" i="10"/>
  <c r="Y19" i="10"/>
  <c r="Y18" i="10"/>
  <c r="Y17" i="10"/>
  <c r="Y16" i="10"/>
  <c r="Y15" i="10"/>
  <c r="Y14" i="10"/>
  <c r="Y13" i="10"/>
  <c r="Y12" i="10"/>
  <c r="Y11" i="10"/>
  <c r="Y10" i="10"/>
  <c r="Y9" i="10"/>
  <c r="Y8" i="10"/>
  <c r="Y7" i="10"/>
  <c r="Y6" i="10"/>
  <c r="Y5" i="10"/>
  <c r="Y4" i="10"/>
  <c r="Y3" i="10"/>
  <c r="Y2" i="10"/>
  <c r="V90" i="10"/>
  <c r="V89" i="10"/>
  <c r="V88" i="10"/>
  <c r="V87" i="10"/>
  <c r="V86" i="10"/>
  <c r="V85" i="10"/>
  <c r="V84" i="10"/>
  <c r="V83" i="10"/>
  <c r="V82" i="10"/>
  <c r="V81" i="10"/>
  <c r="V80" i="10"/>
  <c r="V79" i="10"/>
  <c r="V78" i="10"/>
  <c r="V77" i="10"/>
  <c r="V76" i="10"/>
  <c r="V75" i="10"/>
  <c r="V74" i="10"/>
  <c r="V73" i="10"/>
  <c r="V72" i="10"/>
  <c r="V71" i="10"/>
  <c r="V70" i="10"/>
  <c r="V69" i="10"/>
  <c r="V68" i="10"/>
  <c r="V67" i="10"/>
  <c r="V66" i="10"/>
  <c r="V65" i="10"/>
  <c r="V64" i="10"/>
  <c r="V63" i="10"/>
  <c r="V62" i="10"/>
  <c r="V61" i="10"/>
  <c r="V60" i="10"/>
  <c r="V59" i="10"/>
  <c r="V58" i="10"/>
  <c r="V57" i="10"/>
  <c r="V56" i="10"/>
  <c r="V54" i="10"/>
  <c r="V53" i="10"/>
  <c r="V52" i="10"/>
  <c r="V51" i="10"/>
  <c r="V50" i="10"/>
  <c r="V49" i="10"/>
  <c r="V48" i="10"/>
  <c r="V47" i="10"/>
  <c r="V46" i="10"/>
  <c r="V45" i="10"/>
  <c r="V44" i="10"/>
  <c r="V43" i="10"/>
  <c r="V42" i="10"/>
  <c r="V41" i="10"/>
  <c r="V40" i="10"/>
  <c r="V39" i="10"/>
  <c r="V38" i="10"/>
  <c r="V37" i="10"/>
  <c r="V36" i="10"/>
  <c r="V35" i="10"/>
  <c r="V34" i="10"/>
  <c r="V33" i="10"/>
  <c r="V32" i="10"/>
  <c r="V31" i="10"/>
  <c r="V30" i="10"/>
  <c r="V29" i="10"/>
  <c r="V28" i="10"/>
  <c r="V27" i="10"/>
  <c r="V24" i="10"/>
  <c r="V23" i="10"/>
  <c r="V22" i="10"/>
  <c r="V21" i="10"/>
  <c r="V20" i="10"/>
  <c r="V19" i="10"/>
  <c r="V18" i="10"/>
  <c r="V17" i="10"/>
  <c r="V16" i="10"/>
  <c r="V15" i="10"/>
  <c r="V14" i="10"/>
  <c r="V13" i="10"/>
  <c r="V12" i="10"/>
  <c r="V11" i="10"/>
  <c r="V10" i="10"/>
  <c r="V9" i="10"/>
  <c r="V8" i="10"/>
  <c r="V7" i="10"/>
  <c r="V6" i="10"/>
  <c r="V5" i="10"/>
  <c r="V4" i="10"/>
  <c r="V3" i="10"/>
  <c r="V2" i="10"/>
  <c r="S90" i="10"/>
  <c r="S89" i="10"/>
  <c r="S88" i="10"/>
  <c r="S87" i="10"/>
  <c r="S86" i="10"/>
  <c r="S85" i="10"/>
  <c r="S84" i="10"/>
  <c r="S83" i="10"/>
  <c r="S82" i="10"/>
  <c r="S81" i="10"/>
  <c r="S80" i="10"/>
  <c r="S79" i="10"/>
  <c r="S78" i="10"/>
  <c r="S77" i="10"/>
  <c r="S76" i="10"/>
  <c r="S75" i="10"/>
  <c r="S74" i="10"/>
  <c r="S73" i="10"/>
  <c r="S72" i="10"/>
  <c r="S71" i="10"/>
  <c r="S70" i="10"/>
  <c r="S69" i="10"/>
  <c r="S68" i="10"/>
  <c r="S67" i="10"/>
  <c r="S66" i="10"/>
  <c r="S65" i="10"/>
  <c r="S64" i="10"/>
  <c r="S63" i="10"/>
  <c r="S62" i="10"/>
  <c r="S61" i="10"/>
  <c r="S60" i="10"/>
  <c r="S59" i="10"/>
  <c r="S58" i="10"/>
  <c r="S57" i="10"/>
  <c r="S56" i="10"/>
  <c r="S54" i="10"/>
  <c r="S53" i="10"/>
  <c r="S52" i="10"/>
  <c r="S51" i="10"/>
  <c r="S50" i="10"/>
  <c r="S49" i="10"/>
  <c r="S48" i="10"/>
  <c r="S47" i="10"/>
  <c r="S46" i="10"/>
  <c r="S45" i="10"/>
  <c r="S44" i="10"/>
  <c r="S43" i="10"/>
  <c r="S42" i="10"/>
  <c r="S41" i="10"/>
  <c r="S40" i="10"/>
  <c r="S39" i="10"/>
  <c r="S38" i="10"/>
  <c r="S37" i="10"/>
  <c r="S36" i="10"/>
  <c r="S35" i="10"/>
  <c r="S34" i="10"/>
  <c r="S33" i="10"/>
  <c r="S32" i="10"/>
  <c r="S31" i="10"/>
  <c r="S30" i="10"/>
  <c r="S29" i="10"/>
  <c r="S28" i="10"/>
  <c r="S27" i="10"/>
  <c r="S26" i="10"/>
  <c r="S24" i="10"/>
  <c r="S23" i="10"/>
  <c r="S22" i="10"/>
  <c r="S21" i="10"/>
  <c r="S20" i="10"/>
  <c r="S19" i="10"/>
  <c r="S18" i="10"/>
  <c r="S17" i="10"/>
  <c r="S16" i="10"/>
  <c r="S15" i="10"/>
  <c r="S14" i="10"/>
  <c r="S13" i="10"/>
  <c r="S12" i="10"/>
  <c r="S11" i="10"/>
  <c r="S10" i="10"/>
  <c r="S9" i="10"/>
  <c r="S8" i="10"/>
  <c r="S7" i="10"/>
  <c r="S6" i="10"/>
  <c r="S5" i="10"/>
  <c r="S4" i="10"/>
  <c r="S3" i="10"/>
  <c r="S2" i="10"/>
  <c r="P3" i="10"/>
  <c r="P4" i="10"/>
  <c r="P5" i="10"/>
  <c r="P6" i="10"/>
  <c r="P7" i="10"/>
  <c r="P8" i="10"/>
  <c r="P9" i="10"/>
  <c r="P10" i="10"/>
  <c r="P11" i="10"/>
  <c r="P12" i="10"/>
  <c r="P13" i="10"/>
  <c r="P14" i="10"/>
  <c r="P15" i="10"/>
  <c r="P16" i="10"/>
  <c r="P17" i="10"/>
  <c r="P18" i="10"/>
  <c r="P19" i="10"/>
  <c r="P20" i="10"/>
  <c r="P21" i="10"/>
  <c r="P22" i="10"/>
  <c r="P23" i="10"/>
  <c r="P24"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2" i="10"/>
  <c r="H17" i="9"/>
  <c r="H793" i="9"/>
  <c r="H784" i="9"/>
  <c r="H771" i="9"/>
  <c r="H752" i="9"/>
  <c r="H730" i="9"/>
  <c r="H718" i="9"/>
  <c r="H689" i="9"/>
  <c r="H673" i="9"/>
  <c r="H655" i="9"/>
  <c r="H631" i="9"/>
  <c r="H624" i="9"/>
  <c r="H592" i="9"/>
  <c r="H574" i="9"/>
  <c r="H554" i="9"/>
  <c r="H546" i="9"/>
  <c r="H529" i="9"/>
  <c r="H497" i="9"/>
  <c r="H491" i="9"/>
  <c r="H450" i="9"/>
  <c r="H420" i="9"/>
  <c r="H404" i="9"/>
  <c r="H324" i="9"/>
  <c r="H297" i="9"/>
  <c r="H273" i="9"/>
  <c r="H242" i="9"/>
  <c r="H210" i="9"/>
  <c r="H184" i="9"/>
  <c r="H166" i="9"/>
  <c r="H143" i="9"/>
  <c r="H112" i="9"/>
  <c r="H92" i="9"/>
  <c r="H39" i="9"/>
  <c r="H788" i="9"/>
  <c r="H728" i="9"/>
  <c r="H710" i="9"/>
  <c r="H704" i="9"/>
  <c r="H651" i="9"/>
  <c r="H650" i="9"/>
  <c r="H647" i="9"/>
  <c r="H494" i="9"/>
  <c r="H468" i="9"/>
  <c r="H397" i="9"/>
  <c r="H338" i="9"/>
  <c r="AQ30" i="10"/>
  <c r="Y30" i="10"/>
  <c r="V26" i="10"/>
  <c r="O91" i="20"/>
  <c r="S91" i="20"/>
  <c r="W91" i="20"/>
  <c r="AA91" i="20"/>
  <c r="AE91" i="20"/>
  <c r="AI91" i="20"/>
  <c r="AM91" i="20"/>
  <c r="C91" i="20"/>
  <c r="AF8" i="20"/>
  <c r="AF90" i="20"/>
  <c r="AF89" i="20"/>
  <c r="AF88" i="20"/>
  <c r="AF87" i="20"/>
  <c r="AF86" i="20"/>
  <c r="AF85" i="20"/>
  <c r="AF84" i="20"/>
  <c r="AF83" i="20"/>
  <c r="AF82" i="20"/>
  <c r="AF81" i="20"/>
  <c r="AF80" i="20"/>
  <c r="AF79" i="20"/>
  <c r="AF78" i="20"/>
  <c r="AF77" i="20"/>
  <c r="AF76" i="20"/>
  <c r="AF75" i="20"/>
  <c r="AF74" i="20"/>
  <c r="AF73" i="20"/>
  <c r="AF72" i="20"/>
  <c r="AF71" i="20"/>
  <c r="AF70" i="20"/>
  <c r="AF69" i="20"/>
  <c r="AF68" i="20"/>
  <c r="AF67" i="20"/>
  <c r="AF66" i="20"/>
  <c r="AF65" i="20"/>
  <c r="AF64" i="20"/>
  <c r="AF63" i="20"/>
  <c r="AF62" i="20"/>
  <c r="AF61" i="20"/>
  <c r="AF60" i="20"/>
  <c r="AF59" i="20"/>
  <c r="AF58" i="20"/>
  <c r="AF57" i="20"/>
  <c r="AF56" i="20"/>
  <c r="AF55" i="20"/>
  <c r="AF54" i="20"/>
  <c r="AF53" i="20"/>
  <c r="AF52" i="20"/>
  <c r="AF51" i="20"/>
  <c r="AF50" i="20"/>
  <c r="AF49" i="20"/>
  <c r="AF48" i="20"/>
  <c r="AF47" i="20"/>
  <c r="AF46" i="20"/>
  <c r="AF45" i="20"/>
  <c r="AF44" i="20"/>
  <c r="AF43" i="20"/>
  <c r="AF42" i="20"/>
  <c r="AF41" i="20"/>
  <c r="AF40" i="20"/>
  <c r="AF39" i="20"/>
  <c r="AF38" i="20"/>
  <c r="AF37" i="20"/>
  <c r="AF36" i="20"/>
  <c r="AF35" i="20"/>
  <c r="AF34" i="20"/>
  <c r="AF33" i="20"/>
  <c r="AF32" i="20"/>
  <c r="AF31" i="20"/>
  <c r="AF30" i="20"/>
  <c r="AF29" i="20"/>
  <c r="AF28" i="20"/>
  <c r="AF27" i="20"/>
  <c r="AF26" i="20"/>
  <c r="AF25" i="20"/>
  <c r="AF24" i="20"/>
  <c r="AF23" i="20"/>
  <c r="AF22" i="20"/>
  <c r="AF21" i="20"/>
  <c r="AF20" i="20"/>
  <c r="AF19" i="20"/>
  <c r="AF18" i="20"/>
  <c r="AF17" i="20"/>
  <c r="AF16" i="20"/>
  <c r="AF15" i="20"/>
  <c r="AF14" i="20"/>
  <c r="AF13" i="20"/>
  <c r="AF12" i="20"/>
  <c r="AF11" i="20"/>
  <c r="AF10" i="20"/>
  <c r="AF9" i="20"/>
  <c r="AF7" i="20"/>
  <c r="AF6" i="20"/>
  <c r="AF5" i="20"/>
  <c r="AF4" i="20"/>
  <c r="AF3" i="20"/>
  <c r="AF2" i="20"/>
  <c r="P91" i="18"/>
  <c r="T91" i="18"/>
  <c r="X91" i="18"/>
  <c r="AB91" i="18"/>
  <c r="AF91" i="18"/>
  <c r="AJ91" i="18"/>
  <c r="AN91" i="18"/>
  <c r="AR91" i="18"/>
  <c r="AV91" i="18"/>
  <c r="AZ91" i="18"/>
  <c r="BD91" i="18"/>
  <c r="BH91" i="18"/>
  <c r="C91" i="18"/>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D3" i="20"/>
  <c r="F3" i="20" s="1"/>
  <c r="P3" i="20"/>
  <c r="T3" i="20"/>
  <c r="X3" i="20"/>
  <c r="AB3" i="20"/>
  <c r="G3" i="20"/>
  <c r="D4" i="20"/>
  <c r="F4" i="20" s="1"/>
  <c r="P4" i="20"/>
  <c r="T4" i="20"/>
  <c r="X4" i="20"/>
  <c r="AB4" i="20"/>
  <c r="G4" i="20"/>
  <c r="D5" i="20"/>
  <c r="F5" i="20" s="1"/>
  <c r="P5" i="20"/>
  <c r="T5" i="20"/>
  <c r="X5" i="20"/>
  <c r="AB5" i="20"/>
  <c r="G5" i="20"/>
  <c r="D6" i="20"/>
  <c r="F6" i="20"/>
  <c r="H6" i="20" s="1"/>
  <c r="P6" i="20"/>
  <c r="T6" i="20"/>
  <c r="X6" i="20"/>
  <c r="AB6" i="20"/>
  <c r="G6" i="20"/>
  <c r="D7" i="20"/>
  <c r="F7" i="20"/>
  <c r="H7" i="20" s="1"/>
  <c r="P7" i="20"/>
  <c r="T7" i="20"/>
  <c r="X7" i="20"/>
  <c r="AB7" i="20"/>
  <c r="G7" i="20"/>
  <c r="D9" i="20"/>
  <c r="F9" i="20"/>
  <c r="P9" i="20"/>
  <c r="T9" i="20"/>
  <c r="X9" i="20"/>
  <c r="AB9" i="20"/>
  <c r="D10" i="20"/>
  <c r="F10" i="20" s="1"/>
  <c r="P10" i="20"/>
  <c r="T10" i="20"/>
  <c r="X10" i="20"/>
  <c r="AB10" i="20"/>
  <c r="G10" i="20"/>
  <c r="D11" i="20"/>
  <c r="F11" i="20"/>
  <c r="P11" i="20"/>
  <c r="T11" i="20"/>
  <c r="X11" i="20"/>
  <c r="AB11" i="20"/>
  <c r="G11" i="20"/>
  <c r="D12" i="20"/>
  <c r="F12" i="20" s="1"/>
  <c r="P12" i="20"/>
  <c r="T12" i="20"/>
  <c r="X12" i="20"/>
  <c r="AB12" i="20"/>
  <c r="G12" i="20"/>
  <c r="D13" i="20"/>
  <c r="F13" i="20"/>
  <c r="P13" i="20"/>
  <c r="T13" i="20"/>
  <c r="X13" i="20"/>
  <c r="AB13" i="20"/>
  <c r="G13" i="20"/>
  <c r="D14" i="20"/>
  <c r="F14" i="20" s="1"/>
  <c r="H14" i="20" s="1"/>
  <c r="P14" i="20"/>
  <c r="T14" i="20"/>
  <c r="X14" i="20"/>
  <c r="AB14" i="20"/>
  <c r="G14" i="20"/>
  <c r="D15" i="20"/>
  <c r="F15" i="20"/>
  <c r="P15" i="20"/>
  <c r="T15" i="20"/>
  <c r="X15" i="20"/>
  <c r="AB15" i="20"/>
  <c r="G15" i="20"/>
  <c r="D16" i="20"/>
  <c r="F16" i="20" s="1"/>
  <c r="P16" i="20"/>
  <c r="T16" i="20"/>
  <c r="X16" i="20"/>
  <c r="AB16" i="20"/>
  <c r="G16" i="20"/>
  <c r="D17" i="20"/>
  <c r="F17" i="20"/>
  <c r="P17" i="20"/>
  <c r="T17" i="20"/>
  <c r="X17" i="20"/>
  <c r="AB17" i="20"/>
  <c r="D18" i="20"/>
  <c r="F18" i="20"/>
  <c r="P18" i="20"/>
  <c r="T18" i="20"/>
  <c r="X18" i="20"/>
  <c r="AB18" i="20"/>
  <c r="G18" i="20"/>
  <c r="D19" i="20"/>
  <c r="F19" i="20"/>
  <c r="P19" i="20"/>
  <c r="T19" i="20"/>
  <c r="X19" i="20"/>
  <c r="AB19" i="20"/>
  <c r="G19" i="20"/>
  <c r="D20" i="20"/>
  <c r="F20" i="20" s="1"/>
  <c r="P20" i="20"/>
  <c r="T20" i="20"/>
  <c r="X20" i="20"/>
  <c r="AB20" i="20"/>
  <c r="G20" i="20"/>
  <c r="D21" i="20"/>
  <c r="F21" i="20" s="1"/>
  <c r="P21" i="20"/>
  <c r="T21" i="20"/>
  <c r="X21" i="20"/>
  <c r="AB21" i="20"/>
  <c r="G21" i="20"/>
  <c r="D22" i="20"/>
  <c r="F22" i="20" s="1"/>
  <c r="H22" i="20" s="1"/>
  <c r="P22" i="20"/>
  <c r="T22" i="20"/>
  <c r="X22" i="20"/>
  <c r="AB22" i="20"/>
  <c r="G22" i="20"/>
  <c r="D23" i="20"/>
  <c r="F23" i="20"/>
  <c r="P23" i="20"/>
  <c r="T23" i="20"/>
  <c r="X23" i="20"/>
  <c r="AB23" i="20"/>
  <c r="G23" i="20"/>
  <c r="D24" i="20"/>
  <c r="F24" i="20"/>
  <c r="P24" i="20"/>
  <c r="T24" i="20"/>
  <c r="X24" i="20"/>
  <c r="AB24" i="20"/>
  <c r="G24" i="20"/>
  <c r="D25" i="20"/>
  <c r="F25" i="20"/>
  <c r="P25" i="20"/>
  <c r="T25" i="20"/>
  <c r="X25" i="20"/>
  <c r="AB25" i="20"/>
  <c r="D26" i="20"/>
  <c r="F26" i="20" s="1"/>
  <c r="P26" i="20"/>
  <c r="T26" i="20"/>
  <c r="X26" i="20"/>
  <c r="AB26" i="20"/>
  <c r="G26" i="20"/>
  <c r="D27" i="20"/>
  <c r="F27" i="20"/>
  <c r="P27" i="20"/>
  <c r="T27" i="20"/>
  <c r="X27" i="20"/>
  <c r="AB27" i="20"/>
  <c r="G27" i="20"/>
  <c r="D28" i="20"/>
  <c r="F28" i="20" s="1"/>
  <c r="H28" i="20" s="1"/>
  <c r="P28" i="20"/>
  <c r="T28" i="20"/>
  <c r="X28" i="20"/>
  <c r="AB28" i="20"/>
  <c r="G28" i="20"/>
  <c r="D29" i="20"/>
  <c r="F29" i="20"/>
  <c r="P29" i="20"/>
  <c r="T29" i="20"/>
  <c r="X29" i="20"/>
  <c r="AB29" i="20"/>
  <c r="G29" i="20"/>
  <c r="D30" i="20"/>
  <c r="F30" i="20" s="1"/>
  <c r="P30" i="20"/>
  <c r="T30" i="20"/>
  <c r="X30" i="20"/>
  <c r="AB30" i="20"/>
  <c r="G30" i="20"/>
  <c r="D31" i="20"/>
  <c r="F31" i="20"/>
  <c r="P31" i="20"/>
  <c r="T31" i="20"/>
  <c r="X31" i="20"/>
  <c r="AB31" i="20"/>
  <c r="G31" i="20"/>
  <c r="D32" i="20"/>
  <c r="F32" i="20" s="1"/>
  <c r="P32" i="20"/>
  <c r="T32" i="20"/>
  <c r="X32" i="20"/>
  <c r="AB32" i="20"/>
  <c r="G32" i="20"/>
  <c r="D33" i="20"/>
  <c r="F33" i="20"/>
  <c r="P33" i="20"/>
  <c r="T33" i="20"/>
  <c r="X33" i="20"/>
  <c r="AB33" i="20"/>
  <c r="D34" i="20"/>
  <c r="F34" i="20"/>
  <c r="P34" i="20"/>
  <c r="T34" i="20"/>
  <c r="X34" i="20"/>
  <c r="AB34" i="20"/>
  <c r="G34" i="20"/>
  <c r="D35" i="20"/>
  <c r="F35" i="20"/>
  <c r="P35" i="20"/>
  <c r="T35" i="20"/>
  <c r="X35" i="20"/>
  <c r="AB35" i="20"/>
  <c r="G35" i="20"/>
  <c r="D36" i="20"/>
  <c r="F36" i="20" s="1"/>
  <c r="P36" i="20"/>
  <c r="T36" i="20"/>
  <c r="X36" i="20"/>
  <c r="AB36" i="20"/>
  <c r="G36" i="20"/>
  <c r="D37" i="20"/>
  <c r="F37" i="20" s="1"/>
  <c r="P37" i="20"/>
  <c r="T37" i="20"/>
  <c r="X37" i="20"/>
  <c r="AB37" i="20"/>
  <c r="G37" i="20"/>
  <c r="D38" i="20"/>
  <c r="F38" i="20" s="1"/>
  <c r="P38" i="20"/>
  <c r="T38" i="20"/>
  <c r="X38" i="20"/>
  <c r="AB38" i="20"/>
  <c r="G38" i="20"/>
  <c r="D39" i="20"/>
  <c r="F39" i="20"/>
  <c r="P39" i="20"/>
  <c r="T39" i="20"/>
  <c r="X39" i="20"/>
  <c r="AB39" i="20"/>
  <c r="G39" i="20"/>
  <c r="D40" i="20"/>
  <c r="F40" i="20"/>
  <c r="P40" i="20"/>
  <c r="T40" i="20"/>
  <c r="X40" i="20"/>
  <c r="AB40" i="20"/>
  <c r="G40" i="20"/>
  <c r="D41" i="20"/>
  <c r="F41" i="20"/>
  <c r="P41" i="20"/>
  <c r="T41" i="20"/>
  <c r="X41" i="20"/>
  <c r="AB41" i="20"/>
  <c r="D42" i="20"/>
  <c r="F42" i="20" s="1"/>
  <c r="H42" i="20" s="1"/>
  <c r="P42" i="20"/>
  <c r="T42" i="20"/>
  <c r="X42" i="20"/>
  <c r="AB42" i="20"/>
  <c r="G42" i="20"/>
  <c r="D43" i="20"/>
  <c r="F43" i="20"/>
  <c r="P43" i="20"/>
  <c r="T43" i="20"/>
  <c r="X43" i="20"/>
  <c r="AB43" i="20"/>
  <c r="G43" i="20"/>
  <c r="D44" i="20"/>
  <c r="F44" i="20" s="1"/>
  <c r="P44" i="20"/>
  <c r="T44" i="20"/>
  <c r="X44" i="20"/>
  <c r="AB44" i="20"/>
  <c r="G44" i="20"/>
  <c r="D45" i="20"/>
  <c r="F45" i="20"/>
  <c r="P45" i="20"/>
  <c r="T45" i="20"/>
  <c r="X45" i="20"/>
  <c r="AB45" i="20"/>
  <c r="G45" i="20"/>
  <c r="D46" i="20"/>
  <c r="F46" i="20" s="1"/>
  <c r="P46" i="20"/>
  <c r="T46" i="20"/>
  <c r="X46" i="20"/>
  <c r="AB46" i="20"/>
  <c r="G46" i="20"/>
  <c r="D47" i="20"/>
  <c r="F47" i="20"/>
  <c r="P47" i="20"/>
  <c r="T47" i="20"/>
  <c r="X47" i="20"/>
  <c r="AB47" i="20"/>
  <c r="G47" i="20"/>
  <c r="D48" i="20"/>
  <c r="F48" i="20" s="1"/>
  <c r="P48" i="20"/>
  <c r="T48" i="20"/>
  <c r="X48" i="20"/>
  <c r="AB48" i="20"/>
  <c r="G48" i="20"/>
  <c r="D49" i="20"/>
  <c r="F49" i="20"/>
  <c r="P49" i="20"/>
  <c r="T49" i="20"/>
  <c r="X49" i="20"/>
  <c r="AB49" i="20"/>
  <c r="D50" i="20"/>
  <c r="F50" i="20"/>
  <c r="P50" i="20"/>
  <c r="T50" i="20"/>
  <c r="X50" i="20"/>
  <c r="AB50" i="20"/>
  <c r="G50" i="20"/>
  <c r="D51" i="20"/>
  <c r="F51" i="20"/>
  <c r="P51" i="20"/>
  <c r="T51" i="20"/>
  <c r="X51" i="20"/>
  <c r="AB51" i="20"/>
  <c r="G51" i="20"/>
  <c r="D52" i="20"/>
  <c r="F52" i="20" s="1"/>
  <c r="P52" i="20"/>
  <c r="T52" i="20"/>
  <c r="X52" i="20"/>
  <c r="AB52" i="20"/>
  <c r="G52" i="20"/>
  <c r="D53" i="20"/>
  <c r="F53" i="20" s="1"/>
  <c r="P53" i="20"/>
  <c r="T53" i="20"/>
  <c r="X53" i="20"/>
  <c r="AB53" i="20"/>
  <c r="G53" i="20"/>
  <c r="D54" i="20"/>
  <c r="F54" i="20" s="1"/>
  <c r="P54" i="20"/>
  <c r="T54" i="20"/>
  <c r="X54" i="20"/>
  <c r="AB54" i="20"/>
  <c r="G54" i="20"/>
  <c r="D55" i="20"/>
  <c r="F55" i="20"/>
  <c r="P55" i="20"/>
  <c r="T55" i="20"/>
  <c r="X55" i="20"/>
  <c r="AB55" i="20"/>
  <c r="G55" i="20"/>
  <c r="D56" i="20"/>
  <c r="F56" i="20"/>
  <c r="P56" i="20"/>
  <c r="T56" i="20"/>
  <c r="X56" i="20"/>
  <c r="AB56" i="20"/>
  <c r="G56" i="20"/>
  <c r="D57" i="20"/>
  <c r="F57" i="20"/>
  <c r="P57" i="20"/>
  <c r="T57" i="20"/>
  <c r="X57" i="20"/>
  <c r="AB57" i="20"/>
  <c r="D58" i="20"/>
  <c r="F58" i="20" s="1"/>
  <c r="P58" i="20"/>
  <c r="T58" i="20"/>
  <c r="X58" i="20"/>
  <c r="AB58" i="20"/>
  <c r="G58" i="20"/>
  <c r="D59" i="20"/>
  <c r="F59" i="20"/>
  <c r="P59" i="20"/>
  <c r="T59" i="20"/>
  <c r="X59" i="20"/>
  <c r="AB59" i="20"/>
  <c r="G59" i="20"/>
  <c r="D60" i="20"/>
  <c r="F60" i="20" s="1"/>
  <c r="P60" i="20"/>
  <c r="T60" i="20"/>
  <c r="X60" i="20"/>
  <c r="AB60" i="20"/>
  <c r="G60" i="20"/>
  <c r="D61" i="20"/>
  <c r="F61" i="20"/>
  <c r="P61" i="20"/>
  <c r="T61" i="20"/>
  <c r="X61" i="20"/>
  <c r="AB61" i="20"/>
  <c r="G61" i="20"/>
  <c r="D62" i="20"/>
  <c r="F62" i="20" s="1"/>
  <c r="P62" i="20"/>
  <c r="T62" i="20"/>
  <c r="X62" i="20"/>
  <c r="AB62" i="20"/>
  <c r="G62" i="20"/>
  <c r="D63" i="20"/>
  <c r="F63" i="20"/>
  <c r="P63" i="20"/>
  <c r="T63" i="20"/>
  <c r="X63" i="20"/>
  <c r="AB63" i="20"/>
  <c r="G63" i="20"/>
  <c r="D64" i="20"/>
  <c r="F64" i="20" s="1"/>
  <c r="H64" i="20" s="1"/>
  <c r="P64" i="20"/>
  <c r="T64" i="20"/>
  <c r="X64" i="20"/>
  <c r="AB64" i="20"/>
  <c r="G64" i="20"/>
  <c r="D65" i="20"/>
  <c r="F65" i="20"/>
  <c r="P65" i="20"/>
  <c r="T65" i="20"/>
  <c r="X65" i="20"/>
  <c r="AB65" i="20"/>
  <c r="D66" i="20"/>
  <c r="F66" i="20"/>
  <c r="P66" i="20"/>
  <c r="T66" i="20"/>
  <c r="X66" i="20"/>
  <c r="AB66" i="20"/>
  <c r="G66" i="20"/>
  <c r="D67" i="20"/>
  <c r="F67" i="20"/>
  <c r="P67" i="20"/>
  <c r="T67" i="20"/>
  <c r="X67" i="20"/>
  <c r="AB67" i="20"/>
  <c r="G67" i="20"/>
  <c r="D68" i="20"/>
  <c r="F68" i="20" s="1"/>
  <c r="P68" i="20"/>
  <c r="T68" i="20"/>
  <c r="X68" i="20"/>
  <c r="AB68" i="20"/>
  <c r="G68" i="20"/>
  <c r="D69" i="20"/>
  <c r="F69" i="20" s="1"/>
  <c r="P69" i="20"/>
  <c r="T69" i="20"/>
  <c r="X69" i="20"/>
  <c r="AB69" i="20"/>
  <c r="G69" i="20"/>
  <c r="D70" i="20"/>
  <c r="F70" i="20" s="1"/>
  <c r="P70" i="20"/>
  <c r="T70" i="20"/>
  <c r="X70" i="20"/>
  <c r="AB70" i="20"/>
  <c r="G70" i="20"/>
  <c r="D71" i="20"/>
  <c r="F71" i="20"/>
  <c r="H71" i="20" s="1"/>
  <c r="P71" i="20"/>
  <c r="T71" i="20"/>
  <c r="X71" i="20"/>
  <c r="AB71" i="20"/>
  <c r="G71" i="20"/>
  <c r="D72" i="20"/>
  <c r="F72" i="20"/>
  <c r="P72" i="20"/>
  <c r="T72" i="20"/>
  <c r="X72" i="20"/>
  <c r="AB72" i="20"/>
  <c r="G72" i="20"/>
  <c r="D73" i="20"/>
  <c r="F73" i="20"/>
  <c r="P73" i="20"/>
  <c r="T73" i="20"/>
  <c r="X73" i="20"/>
  <c r="AB73" i="20"/>
  <c r="D74" i="20"/>
  <c r="F74" i="20" s="1"/>
  <c r="P74" i="20"/>
  <c r="T74" i="20"/>
  <c r="X74" i="20"/>
  <c r="AB74" i="20"/>
  <c r="G74" i="20"/>
  <c r="D75" i="20"/>
  <c r="F75" i="20"/>
  <c r="P75" i="20"/>
  <c r="T75" i="20"/>
  <c r="X75" i="20"/>
  <c r="AB75" i="20"/>
  <c r="G75" i="20"/>
  <c r="D76" i="20"/>
  <c r="F76" i="20" s="1"/>
  <c r="P76" i="20"/>
  <c r="T76" i="20"/>
  <c r="X76" i="20"/>
  <c r="AB76" i="20"/>
  <c r="G76" i="20"/>
  <c r="D77" i="20"/>
  <c r="F77" i="20"/>
  <c r="P77" i="20"/>
  <c r="T77" i="20"/>
  <c r="X77" i="20"/>
  <c r="AB77" i="20"/>
  <c r="G77" i="20"/>
  <c r="D78" i="20"/>
  <c r="F78" i="20" s="1"/>
  <c r="H78" i="20" s="1"/>
  <c r="P78" i="20"/>
  <c r="T78" i="20"/>
  <c r="X78" i="20"/>
  <c r="AB78" i="20"/>
  <c r="G78" i="20"/>
  <c r="D79" i="20"/>
  <c r="F79" i="20"/>
  <c r="P79" i="20"/>
  <c r="T79" i="20"/>
  <c r="X79" i="20"/>
  <c r="AB79" i="20"/>
  <c r="G79" i="20"/>
  <c r="D80" i="20"/>
  <c r="F80" i="20" s="1"/>
  <c r="P80" i="20"/>
  <c r="T80" i="20"/>
  <c r="X80" i="20"/>
  <c r="AB80" i="20"/>
  <c r="G80" i="20"/>
  <c r="D81" i="20"/>
  <c r="F81" i="20"/>
  <c r="P81" i="20"/>
  <c r="T81" i="20"/>
  <c r="X81" i="20"/>
  <c r="AB81" i="20"/>
  <c r="D82" i="20"/>
  <c r="F82" i="20"/>
  <c r="P82" i="20"/>
  <c r="T82" i="20"/>
  <c r="X82" i="20"/>
  <c r="AB82" i="20"/>
  <c r="G82" i="20"/>
  <c r="D83" i="20"/>
  <c r="F83" i="20"/>
  <c r="P83" i="20"/>
  <c r="T83" i="20"/>
  <c r="X83" i="20"/>
  <c r="AB83" i="20"/>
  <c r="G83" i="20"/>
  <c r="D84" i="20"/>
  <c r="F84" i="20" s="1"/>
  <c r="P84" i="20"/>
  <c r="T84" i="20"/>
  <c r="X84" i="20"/>
  <c r="AB84" i="20"/>
  <c r="G84" i="20"/>
  <c r="D85" i="20"/>
  <c r="F85" i="20" s="1"/>
  <c r="P85" i="20"/>
  <c r="T85" i="20"/>
  <c r="X85" i="20"/>
  <c r="AB85" i="20"/>
  <c r="G85" i="20"/>
  <c r="D86" i="20"/>
  <c r="F86" i="20" s="1"/>
  <c r="P86" i="20"/>
  <c r="T86" i="20"/>
  <c r="X86" i="20"/>
  <c r="AB86" i="20"/>
  <c r="G86" i="20"/>
  <c r="D87" i="20"/>
  <c r="F87" i="20"/>
  <c r="P87" i="20"/>
  <c r="T87" i="20"/>
  <c r="X87" i="20"/>
  <c r="AB87" i="20"/>
  <c r="G87" i="20"/>
  <c r="D88" i="20"/>
  <c r="F88" i="20"/>
  <c r="P88" i="20"/>
  <c r="T88" i="20"/>
  <c r="X88" i="20"/>
  <c r="AB88" i="20"/>
  <c r="G88" i="20"/>
  <c r="D89" i="20"/>
  <c r="F89" i="20"/>
  <c r="P89" i="20"/>
  <c r="T89" i="20"/>
  <c r="X89" i="20"/>
  <c r="AB89" i="20"/>
  <c r="D90" i="20"/>
  <c r="F90" i="20" s="1"/>
  <c r="P90" i="20"/>
  <c r="T90" i="20"/>
  <c r="X90" i="20"/>
  <c r="AB90" i="20"/>
  <c r="G90" i="20"/>
  <c r="D8" i="20"/>
  <c r="F8" i="20"/>
  <c r="P8" i="20"/>
  <c r="T8" i="20"/>
  <c r="X8" i="20"/>
  <c r="AB8" i="20"/>
  <c r="D2" i="20"/>
  <c r="E3" i="19"/>
  <c r="H3" i="19" s="1"/>
  <c r="R3" i="19"/>
  <c r="V3" i="19"/>
  <c r="Z3" i="19"/>
  <c r="AD3" i="19"/>
  <c r="AG3" i="19"/>
  <c r="I3" i="19" s="1"/>
  <c r="E4" i="19"/>
  <c r="H4" i="19" s="1"/>
  <c r="R4" i="19"/>
  <c r="V4" i="19"/>
  <c r="Z4" i="19"/>
  <c r="AD4" i="19"/>
  <c r="AG4" i="19"/>
  <c r="I4" i="19" s="1"/>
  <c r="E5" i="19"/>
  <c r="H5" i="19" s="1"/>
  <c r="R5" i="19"/>
  <c r="V5" i="19"/>
  <c r="Z5" i="19"/>
  <c r="AD5" i="19"/>
  <c r="AG5" i="19"/>
  <c r="I5" i="19" s="1"/>
  <c r="E6" i="19"/>
  <c r="H6" i="19" s="1"/>
  <c r="R6" i="19"/>
  <c r="V6" i="19"/>
  <c r="Z6" i="19"/>
  <c r="AD6" i="19"/>
  <c r="AG6" i="19"/>
  <c r="I6" i="19" s="1"/>
  <c r="E7" i="19"/>
  <c r="H7" i="19" s="1"/>
  <c r="R7" i="19"/>
  <c r="V7" i="19"/>
  <c r="Z7" i="19"/>
  <c r="AD7" i="19"/>
  <c r="AG7" i="19"/>
  <c r="I7" i="19" s="1"/>
  <c r="E9" i="19"/>
  <c r="H9" i="19" s="1"/>
  <c r="R9" i="19"/>
  <c r="V9" i="19"/>
  <c r="Z9" i="19"/>
  <c r="AD9" i="19"/>
  <c r="AG9" i="19"/>
  <c r="I9" i="19" s="1"/>
  <c r="E10" i="19"/>
  <c r="H10" i="19" s="1"/>
  <c r="R10" i="19"/>
  <c r="V10" i="19"/>
  <c r="Z10" i="19"/>
  <c r="AD10" i="19"/>
  <c r="AG10" i="19"/>
  <c r="I10" i="19" s="1"/>
  <c r="E11" i="19"/>
  <c r="H11" i="19" s="1"/>
  <c r="R11" i="19"/>
  <c r="V11" i="19"/>
  <c r="Z11" i="19"/>
  <c r="AD11" i="19"/>
  <c r="AG11" i="19"/>
  <c r="I11" i="19" s="1"/>
  <c r="E12" i="19"/>
  <c r="H12" i="19" s="1"/>
  <c r="R12" i="19"/>
  <c r="V12" i="19"/>
  <c r="Z12" i="19"/>
  <c r="AD12" i="19"/>
  <c r="AG12" i="19"/>
  <c r="I12" i="19" s="1"/>
  <c r="E13" i="19"/>
  <c r="H13" i="19" s="1"/>
  <c r="R13" i="19"/>
  <c r="V13" i="19"/>
  <c r="Z13" i="19"/>
  <c r="AD13" i="19"/>
  <c r="AG13" i="19"/>
  <c r="I13" i="19" s="1"/>
  <c r="E14" i="19"/>
  <c r="H14" i="19"/>
  <c r="R14" i="19"/>
  <c r="V14" i="19"/>
  <c r="Z14" i="19"/>
  <c r="AD14" i="19"/>
  <c r="AG14" i="19"/>
  <c r="I14" i="19" s="1"/>
  <c r="E15" i="19"/>
  <c r="H15" i="19" s="1"/>
  <c r="R15" i="19"/>
  <c r="V15" i="19"/>
  <c r="Z15" i="19"/>
  <c r="AD15" i="19"/>
  <c r="AG15" i="19"/>
  <c r="I15" i="19" s="1"/>
  <c r="E16" i="19"/>
  <c r="H16" i="19"/>
  <c r="R16" i="19"/>
  <c r="V16" i="19"/>
  <c r="Z16" i="19"/>
  <c r="AD16" i="19"/>
  <c r="AG16" i="19"/>
  <c r="I16" i="19" s="1"/>
  <c r="E17" i="19"/>
  <c r="H17" i="19" s="1"/>
  <c r="R17" i="19"/>
  <c r="V17" i="19"/>
  <c r="Z17" i="19"/>
  <c r="AD17" i="19"/>
  <c r="AG17" i="19"/>
  <c r="I17" i="19" s="1"/>
  <c r="E18" i="19"/>
  <c r="H18" i="19" s="1"/>
  <c r="R18" i="19"/>
  <c r="V18" i="19"/>
  <c r="Z18" i="19"/>
  <c r="AD18" i="19"/>
  <c r="AG18" i="19"/>
  <c r="I18" i="19" s="1"/>
  <c r="E19" i="19"/>
  <c r="H19" i="19" s="1"/>
  <c r="R19" i="19"/>
  <c r="V19" i="19"/>
  <c r="Z19" i="19"/>
  <c r="AD19" i="19"/>
  <c r="AG19" i="19"/>
  <c r="I19" i="19" s="1"/>
  <c r="E20" i="19"/>
  <c r="H20" i="19" s="1"/>
  <c r="R20" i="19"/>
  <c r="V20" i="19"/>
  <c r="Z20" i="19"/>
  <c r="AD20" i="19"/>
  <c r="AG20" i="19"/>
  <c r="I20" i="19" s="1"/>
  <c r="E21" i="19"/>
  <c r="H21" i="19"/>
  <c r="R21" i="19"/>
  <c r="V21" i="19"/>
  <c r="Z21" i="19"/>
  <c r="AD21" i="19"/>
  <c r="AG21" i="19"/>
  <c r="I21" i="19" s="1"/>
  <c r="E22" i="19"/>
  <c r="H22" i="19" s="1"/>
  <c r="R22" i="19"/>
  <c r="V22" i="19"/>
  <c r="Z22" i="19"/>
  <c r="AD22" i="19"/>
  <c r="AG22" i="19"/>
  <c r="I22" i="19" s="1"/>
  <c r="E23" i="19"/>
  <c r="H23" i="19" s="1"/>
  <c r="R23" i="19"/>
  <c r="V23" i="19"/>
  <c r="Z23" i="19"/>
  <c r="AD23" i="19"/>
  <c r="AG23" i="19"/>
  <c r="I23" i="19" s="1"/>
  <c r="E24" i="19"/>
  <c r="H24" i="19" s="1"/>
  <c r="R24" i="19"/>
  <c r="V24" i="19"/>
  <c r="Z24" i="19"/>
  <c r="AD24" i="19"/>
  <c r="AG24" i="19"/>
  <c r="I24" i="19" s="1"/>
  <c r="R25" i="19"/>
  <c r="V25" i="19"/>
  <c r="Z25" i="19"/>
  <c r="AD25" i="19"/>
  <c r="E26" i="19"/>
  <c r="H26" i="19" s="1"/>
  <c r="R26" i="19"/>
  <c r="V26" i="19"/>
  <c r="Z26" i="19"/>
  <c r="AD26" i="19"/>
  <c r="AG26" i="19"/>
  <c r="I26" i="19" s="1"/>
  <c r="E27" i="19"/>
  <c r="H27" i="19" s="1"/>
  <c r="R27" i="19"/>
  <c r="V27" i="19"/>
  <c r="Z27" i="19"/>
  <c r="AD27" i="19"/>
  <c r="AG27" i="19"/>
  <c r="I27" i="19" s="1"/>
  <c r="E28" i="19"/>
  <c r="H28" i="19" s="1"/>
  <c r="R28" i="19"/>
  <c r="V28" i="19"/>
  <c r="Z28" i="19"/>
  <c r="AD28" i="19"/>
  <c r="AG28" i="19"/>
  <c r="I28" i="19" s="1"/>
  <c r="J28" i="19" s="1"/>
  <c r="E29" i="19"/>
  <c r="H29" i="19" s="1"/>
  <c r="R29" i="19"/>
  <c r="V29" i="19"/>
  <c r="Z29" i="19"/>
  <c r="AD29" i="19"/>
  <c r="AG29" i="19"/>
  <c r="I29" i="19" s="1"/>
  <c r="E30" i="19"/>
  <c r="H30" i="19"/>
  <c r="R30" i="19"/>
  <c r="V30" i="19"/>
  <c r="Z30" i="19"/>
  <c r="AD30" i="19"/>
  <c r="AG30" i="19"/>
  <c r="I30" i="19" s="1"/>
  <c r="E31" i="19"/>
  <c r="H31" i="19"/>
  <c r="R31" i="19"/>
  <c r="V31" i="19"/>
  <c r="Z31" i="19"/>
  <c r="AD31" i="19"/>
  <c r="AG31" i="19"/>
  <c r="I31" i="19" s="1"/>
  <c r="J31" i="19" s="1"/>
  <c r="E32" i="19"/>
  <c r="H32" i="19" s="1"/>
  <c r="R32" i="19"/>
  <c r="V32" i="19"/>
  <c r="Z32" i="19"/>
  <c r="AD32" i="19"/>
  <c r="AG32" i="19"/>
  <c r="I32" i="19" s="1"/>
  <c r="E33" i="19"/>
  <c r="H33" i="19" s="1"/>
  <c r="R33" i="19"/>
  <c r="V33" i="19"/>
  <c r="Z33" i="19"/>
  <c r="AD33" i="19"/>
  <c r="AG33" i="19"/>
  <c r="I33" i="19" s="1"/>
  <c r="E34" i="19"/>
  <c r="H34" i="19" s="1"/>
  <c r="R34" i="19"/>
  <c r="V34" i="19"/>
  <c r="Z34" i="19"/>
  <c r="AD34" i="19"/>
  <c r="AG34" i="19"/>
  <c r="I34" i="19" s="1"/>
  <c r="E35" i="19"/>
  <c r="H35" i="19" s="1"/>
  <c r="R35" i="19"/>
  <c r="V35" i="19"/>
  <c r="Z35" i="19"/>
  <c r="AD35" i="19"/>
  <c r="AG35" i="19"/>
  <c r="I35" i="19" s="1"/>
  <c r="E36" i="19"/>
  <c r="H36" i="19" s="1"/>
  <c r="R36" i="19"/>
  <c r="V36" i="19"/>
  <c r="Z36" i="19"/>
  <c r="AD36" i="19"/>
  <c r="AG36" i="19"/>
  <c r="I36" i="19" s="1"/>
  <c r="E37" i="19"/>
  <c r="H37" i="19"/>
  <c r="R37" i="19"/>
  <c r="V37" i="19"/>
  <c r="Z37" i="19"/>
  <c r="AD37" i="19"/>
  <c r="AG37" i="19"/>
  <c r="I37" i="19" s="1"/>
  <c r="E38" i="19"/>
  <c r="H38" i="19" s="1"/>
  <c r="R38" i="19"/>
  <c r="V38" i="19"/>
  <c r="Z38" i="19"/>
  <c r="AD38" i="19"/>
  <c r="AG38" i="19"/>
  <c r="I38" i="19" s="1"/>
  <c r="E39" i="19"/>
  <c r="H39" i="19" s="1"/>
  <c r="R39" i="19"/>
  <c r="V39" i="19"/>
  <c r="Z39" i="19"/>
  <c r="AD39" i="19"/>
  <c r="AG39" i="19"/>
  <c r="I39" i="19" s="1"/>
  <c r="E40" i="19"/>
  <c r="H40" i="19"/>
  <c r="R40" i="19"/>
  <c r="V40" i="19"/>
  <c r="Z40" i="19"/>
  <c r="AD40" i="19"/>
  <c r="AG40" i="19"/>
  <c r="I40" i="19" s="1"/>
  <c r="E41" i="19"/>
  <c r="H41" i="19" s="1"/>
  <c r="R41" i="19"/>
  <c r="V41" i="19"/>
  <c r="Z41" i="19"/>
  <c r="AD41" i="19"/>
  <c r="AG41" i="19"/>
  <c r="I41" i="19" s="1"/>
  <c r="E42" i="19"/>
  <c r="H42" i="19" s="1"/>
  <c r="R42" i="19"/>
  <c r="V42" i="19"/>
  <c r="Z42" i="19"/>
  <c r="AD42" i="19"/>
  <c r="AG42" i="19"/>
  <c r="I42" i="19"/>
  <c r="E43" i="19"/>
  <c r="H43" i="19" s="1"/>
  <c r="R43" i="19"/>
  <c r="V43" i="19"/>
  <c r="Z43" i="19"/>
  <c r="AD43" i="19"/>
  <c r="AG43" i="19"/>
  <c r="I43" i="19" s="1"/>
  <c r="E44" i="19"/>
  <c r="H44" i="19" s="1"/>
  <c r="R44" i="19"/>
  <c r="V44" i="19"/>
  <c r="Z44" i="19"/>
  <c r="AD44" i="19"/>
  <c r="AG44" i="19"/>
  <c r="I44" i="19" s="1"/>
  <c r="E45" i="19"/>
  <c r="H45" i="19" s="1"/>
  <c r="R45" i="19"/>
  <c r="V45" i="19"/>
  <c r="Z45" i="19"/>
  <c r="AD45" i="19"/>
  <c r="AG45" i="19"/>
  <c r="I45" i="19" s="1"/>
  <c r="E46" i="19"/>
  <c r="H46" i="19" s="1"/>
  <c r="R46" i="19"/>
  <c r="V46" i="19"/>
  <c r="Z46" i="19"/>
  <c r="AD46" i="19"/>
  <c r="E47" i="19"/>
  <c r="H47" i="19" s="1"/>
  <c r="R47" i="19"/>
  <c r="V47" i="19"/>
  <c r="Z47" i="19"/>
  <c r="AD47" i="19"/>
  <c r="AG47" i="19"/>
  <c r="I47" i="19" s="1"/>
  <c r="E48" i="19"/>
  <c r="H48" i="19" s="1"/>
  <c r="R48" i="19"/>
  <c r="V48" i="19"/>
  <c r="Z48" i="19"/>
  <c r="AD48" i="19"/>
  <c r="AG48" i="19"/>
  <c r="I48" i="19" s="1"/>
  <c r="E49" i="19"/>
  <c r="H49" i="19" s="1"/>
  <c r="R49" i="19"/>
  <c r="V49" i="19"/>
  <c r="Z49" i="19"/>
  <c r="AD49" i="19"/>
  <c r="AG49" i="19"/>
  <c r="I49" i="19" s="1"/>
  <c r="E50" i="19"/>
  <c r="H50" i="19" s="1"/>
  <c r="R50" i="19"/>
  <c r="V50" i="19"/>
  <c r="Z50" i="19"/>
  <c r="AD50" i="19"/>
  <c r="AG50" i="19"/>
  <c r="I50" i="19" s="1"/>
  <c r="E51" i="19"/>
  <c r="H51" i="19" s="1"/>
  <c r="R51" i="19"/>
  <c r="V51" i="19"/>
  <c r="Z51" i="19"/>
  <c r="AD51" i="19"/>
  <c r="AG51" i="19"/>
  <c r="I51" i="19" s="1"/>
  <c r="E52" i="19"/>
  <c r="H52" i="19" s="1"/>
  <c r="R52" i="19"/>
  <c r="V52" i="19"/>
  <c r="Z52" i="19"/>
  <c r="AD52" i="19"/>
  <c r="AG52" i="19"/>
  <c r="I52" i="19" s="1"/>
  <c r="E53" i="19"/>
  <c r="H53" i="19" s="1"/>
  <c r="R53" i="19"/>
  <c r="V53" i="19"/>
  <c r="Z53" i="19"/>
  <c r="AD53" i="19"/>
  <c r="AG53" i="19"/>
  <c r="I53" i="19" s="1"/>
  <c r="E54" i="19"/>
  <c r="H54" i="19" s="1"/>
  <c r="R54" i="19"/>
  <c r="V54" i="19"/>
  <c r="Z54" i="19"/>
  <c r="AD54" i="19"/>
  <c r="AG54" i="19"/>
  <c r="I54" i="19" s="1"/>
  <c r="R55" i="19"/>
  <c r="V55" i="19"/>
  <c r="Z55" i="19"/>
  <c r="AD55" i="19"/>
  <c r="E56" i="19"/>
  <c r="H56" i="19"/>
  <c r="R56" i="19"/>
  <c r="V56" i="19"/>
  <c r="Z56" i="19"/>
  <c r="AD56" i="19"/>
  <c r="AG56" i="19"/>
  <c r="I56" i="19" s="1"/>
  <c r="E57" i="19"/>
  <c r="H57" i="19" s="1"/>
  <c r="R57" i="19"/>
  <c r="V57" i="19"/>
  <c r="Z57" i="19"/>
  <c r="AD57" i="19"/>
  <c r="AG57" i="19"/>
  <c r="I57" i="19" s="1"/>
  <c r="E58" i="19"/>
  <c r="H58" i="19" s="1"/>
  <c r="R58" i="19"/>
  <c r="V58" i="19"/>
  <c r="Z58" i="19"/>
  <c r="AD58" i="19"/>
  <c r="AG58" i="19"/>
  <c r="I58" i="19" s="1"/>
  <c r="E59" i="19"/>
  <c r="H59" i="19" s="1"/>
  <c r="R59" i="19"/>
  <c r="V59" i="19"/>
  <c r="Z59" i="19"/>
  <c r="AD59" i="19"/>
  <c r="AG59" i="19"/>
  <c r="I59" i="19" s="1"/>
  <c r="E60" i="19"/>
  <c r="H60" i="19"/>
  <c r="R60" i="19"/>
  <c r="V60" i="19"/>
  <c r="Z60" i="19"/>
  <c r="AD60" i="19"/>
  <c r="AG60" i="19"/>
  <c r="I60" i="19" s="1"/>
  <c r="E61" i="19"/>
  <c r="H61" i="19" s="1"/>
  <c r="R61" i="19"/>
  <c r="V61" i="19"/>
  <c r="Z61" i="19"/>
  <c r="AD61" i="19"/>
  <c r="AG61" i="19"/>
  <c r="I61" i="19" s="1"/>
  <c r="E62" i="19"/>
  <c r="H62" i="19" s="1"/>
  <c r="R62" i="19"/>
  <c r="V62" i="19"/>
  <c r="Z62" i="19"/>
  <c r="AD62" i="19"/>
  <c r="AG62" i="19"/>
  <c r="I62" i="19" s="1"/>
  <c r="R63" i="19"/>
  <c r="V63" i="19"/>
  <c r="Z63" i="19"/>
  <c r="AD63" i="19"/>
  <c r="E64" i="19"/>
  <c r="H64" i="19" s="1"/>
  <c r="R64" i="19"/>
  <c r="V64" i="19"/>
  <c r="Z64" i="19"/>
  <c r="AD64" i="19"/>
  <c r="AG64" i="19"/>
  <c r="I64" i="19" s="1"/>
  <c r="E65" i="19"/>
  <c r="H65" i="19"/>
  <c r="R65" i="19"/>
  <c r="V65" i="19"/>
  <c r="Z65" i="19"/>
  <c r="AD65" i="19"/>
  <c r="AG65" i="19"/>
  <c r="I65" i="19" s="1"/>
  <c r="E66" i="19"/>
  <c r="H66" i="19" s="1"/>
  <c r="R66" i="19"/>
  <c r="V66" i="19"/>
  <c r="Z66" i="19"/>
  <c r="AD66" i="19"/>
  <c r="AG66" i="19"/>
  <c r="I66" i="19" s="1"/>
  <c r="E67" i="19"/>
  <c r="H67" i="19" s="1"/>
  <c r="R67" i="19"/>
  <c r="V67" i="19"/>
  <c r="Z67" i="19"/>
  <c r="AD67" i="19"/>
  <c r="AG67" i="19"/>
  <c r="I67" i="19" s="1"/>
  <c r="E68" i="19"/>
  <c r="H68" i="19" s="1"/>
  <c r="R68" i="19"/>
  <c r="V68" i="19"/>
  <c r="Z68" i="19"/>
  <c r="AD68" i="19"/>
  <c r="AG68" i="19"/>
  <c r="I68" i="19" s="1"/>
  <c r="E69" i="19"/>
  <c r="H69" i="19" s="1"/>
  <c r="R69" i="19"/>
  <c r="V69" i="19"/>
  <c r="Z69" i="19"/>
  <c r="AD69" i="19"/>
  <c r="AG69" i="19"/>
  <c r="I69" i="19" s="1"/>
  <c r="E70" i="19"/>
  <c r="H70" i="19" s="1"/>
  <c r="R70" i="19"/>
  <c r="V70" i="19"/>
  <c r="Z70" i="19"/>
  <c r="AD70" i="19"/>
  <c r="AG70" i="19"/>
  <c r="I70" i="19" s="1"/>
  <c r="E71" i="19"/>
  <c r="H71" i="19" s="1"/>
  <c r="R71" i="19"/>
  <c r="V71" i="19"/>
  <c r="Z71" i="19"/>
  <c r="AD71" i="19"/>
  <c r="AG71" i="19"/>
  <c r="I71" i="19" s="1"/>
  <c r="E72" i="19"/>
  <c r="H72" i="19" s="1"/>
  <c r="R72" i="19"/>
  <c r="V72" i="19"/>
  <c r="Z72" i="19"/>
  <c r="AD72" i="19"/>
  <c r="AG72" i="19"/>
  <c r="I72" i="19" s="1"/>
  <c r="E73" i="19"/>
  <c r="H73" i="19" s="1"/>
  <c r="R73" i="19"/>
  <c r="V73" i="19"/>
  <c r="Z73" i="19"/>
  <c r="AD73" i="19"/>
  <c r="AG73" i="19"/>
  <c r="I73" i="19" s="1"/>
  <c r="E74" i="19"/>
  <c r="H74" i="19" s="1"/>
  <c r="R74" i="19"/>
  <c r="V74" i="19"/>
  <c r="Z74" i="19"/>
  <c r="AD74" i="19"/>
  <c r="AG74" i="19"/>
  <c r="I74" i="19" s="1"/>
  <c r="E75" i="19"/>
  <c r="H75" i="19" s="1"/>
  <c r="R75" i="19"/>
  <c r="V75" i="19"/>
  <c r="Z75" i="19"/>
  <c r="AD75" i="19"/>
  <c r="AG75" i="19"/>
  <c r="I75" i="19" s="1"/>
  <c r="E76" i="19"/>
  <c r="H76" i="19" s="1"/>
  <c r="R76" i="19"/>
  <c r="V76" i="19"/>
  <c r="Z76" i="19"/>
  <c r="AD76" i="19"/>
  <c r="AG76" i="19"/>
  <c r="I76" i="19" s="1"/>
  <c r="E77" i="19"/>
  <c r="H77" i="19"/>
  <c r="R77" i="19"/>
  <c r="V77" i="19"/>
  <c r="Z77" i="19"/>
  <c r="AD77" i="19"/>
  <c r="AG77" i="19"/>
  <c r="I77" i="19" s="1"/>
  <c r="E78" i="19"/>
  <c r="H78" i="19" s="1"/>
  <c r="R78" i="19"/>
  <c r="V78" i="19"/>
  <c r="Z78" i="19"/>
  <c r="AD78" i="19"/>
  <c r="AG78" i="19"/>
  <c r="I78" i="19" s="1"/>
  <c r="E79" i="19"/>
  <c r="H79" i="19" s="1"/>
  <c r="R79" i="19"/>
  <c r="V79" i="19"/>
  <c r="Z79" i="19"/>
  <c r="AD79" i="19"/>
  <c r="AG79" i="19"/>
  <c r="I79" i="19" s="1"/>
  <c r="E80" i="19"/>
  <c r="H80" i="19" s="1"/>
  <c r="R80" i="19"/>
  <c r="V80" i="19"/>
  <c r="Z80" i="19"/>
  <c r="AD80" i="19"/>
  <c r="AG80" i="19"/>
  <c r="I80" i="19" s="1"/>
  <c r="E81" i="19"/>
  <c r="H81" i="19"/>
  <c r="R81" i="19"/>
  <c r="V81" i="19"/>
  <c r="Z81" i="19"/>
  <c r="AD81" i="19"/>
  <c r="AG81" i="19"/>
  <c r="I81" i="19" s="1"/>
  <c r="E82" i="19"/>
  <c r="H82" i="19"/>
  <c r="R82" i="19"/>
  <c r="V82" i="19"/>
  <c r="Z82" i="19"/>
  <c r="AD82" i="19"/>
  <c r="AG82" i="19"/>
  <c r="I82" i="19" s="1"/>
  <c r="E83" i="19"/>
  <c r="H83" i="19" s="1"/>
  <c r="R83" i="19"/>
  <c r="V83" i="19"/>
  <c r="Z83" i="19"/>
  <c r="AD83" i="19"/>
  <c r="AG83" i="19"/>
  <c r="I83" i="19" s="1"/>
  <c r="E84" i="19"/>
  <c r="H84" i="19" s="1"/>
  <c r="R84" i="19"/>
  <c r="V84" i="19"/>
  <c r="Z84" i="19"/>
  <c r="AD84" i="19"/>
  <c r="AG84" i="19"/>
  <c r="I84" i="19" s="1"/>
  <c r="E85" i="19"/>
  <c r="H85" i="19" s="1"/>
  <c r="R85" i="19"/>
  <c r="V85" i="19"/>
  <c r="Z85" i="19"/>
  <c r="AD85" i="19"/>
  <c r="AG85" i="19"/>
  <c r="I85" i="19" s="1"/>
  <c r="E86" i="19"/>
  <c r="H86" i="19" s="1"/>
  <c r="R86" i="19"/>
  <c r="V86" i="19"/>
  <c r="Z86" i="19"/>
  <c r="AD86" i="19"/>
  <c r="AG86" i="19"/>
  <c r="I86" i="19" s="1"/>
  <c r="E87" i="19"/>
  <c r="H87" i="19" s="1"/>
  <c r="R87" i="19"/>
  <c r="V87" i="19"/>
  <c r="Z87" i="19"/>
  <c r="AD87" i="19"/>
  <c r="AG87" i="19"/>
  <c r="I87" i="19" s="1"/>
  <c r="E88" i="19"/>
  <c r="H88" i="19" s="1"/>
  <c r="R88" i="19"/>
  <c r="V88" i="19"/>
  <c r="Z88" i="19"/>
  <c r="AD88" i="19"/>
  <c r="AG88" i="19"/>
  <c r="I88" i="19" s="1"/>
  <c r="E89" i="19"/>
  <c r="H89" i="19" s="1"/>
  <c r="R89" i="19"/>
  <c r="V89" i="19"/>
  <c r="Z89" i="19"/>
  <c r="AD89" i="19"/>
  <c r="AG89" i="19"/>
  <c r="I89" i="19" s="1"/>
  <c r="E90" i="19"/>
  <c r="H90" i="19" s="1"/>
  <c r="R90" i="19"/>
  <c r="V90" i="19"/>
  <c r="Z90" i="19"/>
  <c r="AD90" i="19"/>
  <c r="AG90" i="19"/>
  <c r="I90" i="19" s="1"/>
  <c r="E8" i="19"/>
  <c r="H8" i="19" s="1"/>
  <c r="R8" i="19"/>
  <c r="V8" i="19"/>
  <c r="Z8" i="19"/>
  <c r="AD8" i="19"/>
  <c r="AG8" i="19"/>
  <c r="I8" i="19" s="1"/>
  <c r="D3" i="18"/>
  <c r="G3" i="18" s="1"/>
  <c r="BE3" i="18"/>
  <c r="BI3" i="18"/>
  <c r="H3" i="18"/>
  <c r="D4" i="18"/>
  <c r="G4" i="18"/>
  <c r="BE4" i="18"/>
  <c r="BI4" i="18"/>
  <c r="H4" i="18"/>
  <c r="D5" i="18"/>
  <c r="G5" i="18" s="1"/>
  <c r="BE5" i="18"/>
  <c r="BI5" i="18"/>
  <c r="H5" i="18"/>
  <c r="D6" i="18"/>
  <c r="G6" i="18"/>
  <c r="BE6" i="18"/>
  <c r="BI6" i="18"/>
  <c r="H6" i="18"/>
  <c r="D7" i="18"/>
  <c r="G7" i="18" s="1"/>
  <c r="BE7" i="18"/>
  <c r="BI7" i="18"/>
  <c r="H7" i="18"/>
  <c r="D8" i="18"/>
  <c r="G8" i="18" s="1"/>
  <c r="BE8" i="18"/>
  <c r="BI8" i="18"/>
  <c r="H8" i="18"/>
  <c r="D9" i="18"/>
  <c r="G9" i="18" s="1"/>
  <c r="BE9" i="18"/>
  <c r="BI9" i="18"/>
  <c r="H9" i="18"/>
  <c r="D10" i="18"/>
  <c r="G10" i="18"/>
  <c r="BE10" i="18"/>
  <c r="BI10" i="18"/>
  <c r="H10" i="18"/>
  <c r="D11" i="18"/>
  <c r="G11" i="18"/>
  <c r="BE11" i="18"/>
  <c r="BI11" i="18"/>
  <c r="H11" i="18"/>
  <c r="D12" i="18"/>
  <c r="G12" i="18"/>
  <c r="BE12" i="18"/>
  <c r="BI12" i="18"/>
  <c r="H12" i="18"/>
  <c r="D13" i="18"/>
  <c r="G13" i="18" s="1"/>
  <c r="BE13" i="18"/>
  <c r="BI13" i="18"/>
  <c r="H13" i="18"/>
  <c r="D14" i="18"/>
  <c r="G14" i="18"/>
  <c r="BE14" i="18"/>
  <c r="BI14" i="18"/>
  <c r="H14" i="18"/>
  <c r="D15" i="18"/>
  <c r="G15" i="18"/>
  <c r="BE15" i="18"/>
  <c r="BI15" i="18"/>
  <c r="H15" i="18"/>
  <c r="D16" i="18"/>
  <c r="G16" i="18" s="1"/>
  <c r="BE16" i="18"/>
  <c r="BI16" i="18"/>
  <c r="H16" i="18"/>
  <c r="D17" i="18"/>
  <c r="G17" i="18" s="1"/>
  <c r="BE17" i="18"/>
  <c r="BI17" i="18"/>
  <c r="H17" i="18"/>
  <c r="D18" i="18"/>
  <c r="G18" i="18"/>
  <c r="BE18" i="18"/>
  <c r="BI18" i="18"/>
  <c r="H18" i="18"/>
  <c r="D19" i="18"/>
  <c r="G19" i="18" s="1"/>
  <c r="BE19" i="18"/>
  <c r="BI19" i="18"/>
  <c r="H19" i="18"/>
  <c r="D20" i="18"/>
  <c r="G20" i="18"/>
  <c r="BE20" i="18"/>
  <c r="BI20" i="18"/>
  <c r="H20" i="18"/>
  <c r="D21" i="18"/>
  <c r="G21" i="18"/>
  <c r="BE21" i="18"/>
  <c r="BI21" i="18"/>
  <c r="H21" i="18"/>
  <c r="D22" i="18"/>
  <c r="G22" i="18"/>
  <c r="BE22" i="18"/>
  <c r="BI22" i="18"/>
  <c r="H22" i="18"/>
  <c r="D23" i="18"/>
  <c r="G23" i="18"/>
  <c r="BE23" i="18"/>
  <c r="BI23" i="18"/>
  <c r="H23" i="18"/>
  <c r="D24" i="18"/>
  <c r="G24" i="18" s="1"/>
  <c r="BE24" i="18"/>
  <c r="BI24" i="18"/>
  <c r="H24" i="18"/>
  <c r="BE25" i="18"/>
  <c r="BI25" i="18"/>
  <c r="D26" i="18"/>
  <c r="G26" i="18"/>
  <c r="BE26" i="18"/>
  <c r="BI26" i="18"/>
  <c r="H26" i="18"/>
  <c r="D27" i="18"/>
  <c r="G27" i="18"/>
  <c r="BE27" i="18"/>
  <c r="BI27" i="18"/>
  <c r="H27" i="18"/>
  <c r="D28" i="18"/>
  <c r="G28" i="18"/>
  <c r="BE28" i="18"/>
  <c r="BI28" i="18"/>
  <c r="H28" i="18"/>
  <c r="D29" i="18"/>
  <c r="G29" i="18" s="1"/>
  <c r="BE29" i="18"/>
  <c r="BI29" i="18"/>
  <c r="H29" i="18"/>
  <c r="D30" i="18"/>
  <c r="G30" i="18" s="1"/>
  <c r="BE30" i="18"/>
  <c r="BI30" i="18"/>
  <c r="H30" i="18"/>
  <c r="D31" i="18"/>
  <c r="G31" i="18"/>
  <c r="BE31" i="18"/>
  <c r="BI31" i="18"/>
  <c r="H31" i="18"/>
  <c r="D32" i="18"/>
  <c r="G32" i="18" s="1"/>
  <c r="BE32" i="18"/>
  <c r="BI32" i="18"/>
  <c r="H32" i="18"/>
  <c r="D33" i="18"/>
  <c r="G33" i="18"/>
  <c r="BE33" i="18"/>
  <c r="BI33" i="18"/>
  <c r="H33" i="18"/>
  <c r="D34" i="18"/>
  <c r="G34" i="18"/>
  <c r="BE34" i="18"/>
  <c r="BI34" i="18"/>
  <c r="H34" i="18"/>
  <c r="D35" i="18"/>
  <c r="G35" i="18" s="1"/>
  <c r="BE35" i="18"/>
  <c r="BI35" i="18"/>
  <c r="H35" i="18"/>
  <c r="D36" i="18"/>
  <c r="G36" i="18" s="1"/>
  <c r="BE36" i="18"/>
  <c r="BI36" i="18"/>
  <c r="H36" i="18"/>
  <c r="D37" i="18"/>
  <c r="G37" i="18"/>
  <c r="BE37" i="18"/>
  <c r="BI37" i="18"/>
  <c r="H37" i="18"/>
  <c r="D38" i="18"/>
  <c r="G38" i="18"/>
  <c r="BE38" i="18"/>
  <c r="BI38" i="18"/>
  <c r="H38" i="18"/>
  <c r="D39" i="18"/>
  <c r="G39" i="18"/>
  <c r="I39" i="18" s="1"/>
  <c r="BE39" i="18"/>
  <c r="BI39" i="18"/>
  <c r="H39" i="18"/>
  <c r="D40" i="18"/>
  <c r="G40" i="18" s="1"/>
  <c r="BE40" i="18"/>
  <c r="BI40" i="18"/>
  <c r="H40" i="18"/>
  <c r="D41" i="18"/>
  <c r="G41" i="18"/>
  <c r="BE41" i="18"/>
  <c r="BI41" i="18"/>
  <c r="H41" i="18"/>
  <c r="D42" i="18"/>
  <c r="G42" i="18"/>
  <c r="BE42" i="18"/>
  <c r="BI42" i="18"/>
  <c r="H42" i="18"/>
  <c r="D43" i="18"/>
  <c r="G43" i="18" s="1"/>
  <c r="BE43" i="18"/>
  <c r="BI43" i="18"/>
  <c r="H43" i="18"/>
  <c r="D44" i="18"/>
  <c r="G44" i="18" s="1"/>
  <c r="BE44" i="18"/>
  <c r="BI44" i="18"/>
  <c r="H44" i="18"/>
  <c r="D45" i="18"/>
  <c r="G45" i="18"/>
  <c r="BE45" i="18"/>
  <c r="BI45" i="18"/>
  <c r="H45" i="18"/>
  <c r="D46" i="18"/>
  <c r="G46" i="18" s="1"/>
  <c r="BE46" i="18"/>
  <c r="BI46" i="18"/>
  <c r="H46" i="18"/>
  <c r="D47" i="18"/>
  <c r="G47" i="18"/>
  <c r="BE47" i="18"/>
  <c r="BI47" i="18"/>
  <c r="H47" i="18"/>
  <c r="D48" i="18"/>
  <c r="G48" i="18"/>
  <c r="BE48" i="18"/>
  <c r="BI48" i="18"/>
  <c r="H48" i="18"/>
  <c r="D49" i="18"/>
  <c r="G49" i="18"/>
  <c r="BE49" i="18"/>
  <c r="BI49" i="18"/>
  <c r="H49" i="18"/>
  <c r="D50" i="18"/>
  <c r="G50" i="18"/>
  <c r="BE50" i="18"/>
  <c r="BI50" i="18"/>
  <c r="H50" i="18"/>
  <c r="D51" i="18"/>
  <c r="G51" i="18" s="1"/>
  <c r="BE51" i="18"/>
  <c r="BI51" i="18"/>
  <c r="H51" i="18"/>
  <c r="D52" i="18"/>
  <c r="G52" i="18" s="1"/>
  <c r="BE52" i="18"/>
  <c r="BI52" i="18"/>
  <c r="H52" i="18"/>
  <c r="D53" i="18"/>
  <c r="G53" i="18"/>
  <c r="BE53" i="18"/>
  <c r="BI53" i="18"/>
  <c r="H53" i="18"/>
  <c r="D54" i="18"/>
  <c r="G54" i="18" s="1"/>
  <c r="BE54" i="18"/>
  <c r="BI54" i="18"/>
  <c r="H54" i="18"/>
  <c r="BE55" i="18"/>
  <c r="BI55" i="18"/>
  <c r="D56" i="18"/>
  <c r="G56" i="18" s="1"/>
  <c r="BE56" i="18"/>
  <c r="BI56" i="18"/>
  <c r="H56" i="18"/>
  <c r="D57" i="18"/>
  <c r="G57" i="18" s="1"/>
  <c r="BE57" i="18"/>
  <c r="BI57" i="18"/>
  <c r="H57" i="18"/>
  <c r="D58" i="18"/>
  <c r="G58" i="18"/>
  <c r="BE58" i="18"/>
  <c r="BI58" i="18"/>
  <c r="H58" i="18"/>
  <c r="D59" i="18"/>
  <c r="G59" i="18" s="1"/>
  <c r="BE59" i="18"/>
  <c r="BI59" i="18"/>
  <c r="H59" i="18"/>
  <c r="D60" i="18"/>
  <c r="G60" i="18"/>
  <c r="BE60" i="18"/>
  <c r="BI60" i="18"/>
  <c r="H60" i="18"/>
  <c r="D61" i="18"/>
  <c r="G61" i="18"/>
  <c r="BE61" i="18"/>
  <c r="BI61" i="18"/>
  <c r="H61" i="18"/>
  <c r="BE62" i="18"/>
  <c r="BI62" i="18"/>
  <c r="D63" i="18"/>
  <c r="G63" i="18"/>
  <c r="BE63" i="18"/>
  <c r="BI63" i="18"/>
  <c r="H63" i="18"/>
  <c r="D64" i="18"/>
  <c r="G64" i="18" s="1"/>
  <c r="BE64" i="18"/>
  <c r="BI64" i="18"/>
  <c r="H64" i="18"/>
  <c r="D65" i="18"/>
  <c r="G65" i="18"/>
  <c r="BE65" i="18"/>
  <c r="BI65" i="18"/>
  <c r="H65" i="18"/>
  <c r="D66" i="18"/>
  <c r="G66" i="18"/>
  <c r="BE66" i="18"/>
  <c r="BI66" i="18"/>
  <c r="H66" i="18"/>
  <c r="D67" i="18"/>
  <c r="G67" i="18" s="1"/>
  <c r="BE67" i="18"/>
  <c r="BI67" i="18"/>
  <c r="H67" i="18"/>
  <c r="D68" i="18"/>
  <c r="G68" i="18" s="1"/>
  <c r="BE68" i="18"/>
  <c r="BI68" i="18"/>
  <c r="H68" i="18"/>
  <c r="D69" i="18"/>
  <c r="G69" i="18"/>
  <c r="BE69" i="18"/>
  <c r="BI69" i="18"/>
  <c r="H69" i="18"/>
  <c r="D70" i="18"/>
  <c r="G70" i="18"/>
  <c r="BE70" i="18"/>
  <c r="BI70" i="18"/>
  <c r="H70" i="18"/>
  <c r="D71" i="18"/>
  <c r="G71" i="18"/>
  <c r="BE71" i="18"/>
  <c r="BI71" i="18"/>
  <c r="H71" i="18"/>
  <c r="D72" i="18"/>
  <c r="G72" i="18" s="1"/>
  <c r="BE72" i="18"/>
  <c r="BI72" i="18"/>
  <c r="H72" i="18"/>
  <c r="D73" i="18"/>
  <c r="G73" i="18"/>
  <c r="BE73" i="18"/>
  <c r="BI73" i="18"/>
  <c r="H73" i="18"/>
  <c r="D74" i="18"/>
  <c r="G74" i="18"/>
  <c r="BE74" i="18"/>
  <c r="BI74" i="18"/>
  <c r="H74" i="18"/>
  <c r="D75" i="18"/>
  <c r="G75" i="18" s="1"/>
  <c r="BE75" i="18"/>
  <c r="BI75" i="18"/>
  <c r="H75" i="18"/>
  <c r="D76" i="18"/>
  <c r="G76" i="18" s="1"/>
  <c r="BE76" i="18"/>
  <c r="BI76" i="18"/>
  <c r="H76" i="18"/>
  <c r="D77" i="18"/>
  <c r="G77" i="18"/>
  <c r="BE77" i="18"/>
  <c r="BI77" i="18"/>
  <c r="H77" i="18"/>
  <c r="D78" i="18"/>
  <c r="G78" i="18" s="1"/>
  <c r="BE78" i="18"/>
  <c r="BI78" i="18"/>
  <c r="H78" i="18"/>
  <c r="D79" i="18"/>
  <c r="G79" i="18"/>
  <c r="BE79" i="18"/>
  <c r="BI79" i="18"/>
  <c r="H79" i="18"/>
  <c r="D80" i="18"/>
  <c r="G80" i="18"/>
  <c r="BE80" i="18"/>
  <c r="BI80" i="18"/>
  <c r="H80" i="18"/>
  <c r="D81" i="18"/>
  <c r="G81" i="18"/>
  <c r="BE81" i="18"/>
  <c r="BI81" i="18"/>
  <c r="H81" i="18"/>
  <c r="D82" i="18"/>
  <c r="G82" i="18"/>
  <c r="BE82" i="18"/>
  <c r="BI82" i="18"/>
  <c r="H82" i="18"/>
  <c r="D83" i="18"/>
  <c r="G83" i="18" s="1"/>
  <c r="BE83" i="18"/>
  <c r="BI83" i="18"/>
  <c r="H83" i="18"/>
  <c r="D84" i="18"/>
  <c r="G84" i="18" s="1"/>
  <c r="BE84" i="18"/>
  <c r="BI84" i="18"/>
  <c r="H84" i="18"/>
  <c r="D85" i="18"/>
  <c r="G85" i="18"/>
  <c r="BE85" i="18"/>
  <c r="BI85" i="18"/>
  <c r="H85" i="18"/>
  <c r="D86" i="18"/>
  <c r="G86" i="18" s="1"/>
  <c r="BE86" i="18"/>
  <c r="BI86" i="18"/>
  <c r="H86" i="18"/>
  <c r="D87" i="18"/>
  <c r="G87" i="18"/>
  <c r="BE87" i="18"/>
  <c r="BI87" i="18"/>
  <c r="H87" i="18"/>
  <c r="D88" i="18"/>
  <c r="G88" i="18"/>
  <c r="BE88" i="18"/>
  <c r="BI88" i="18"/>
  <c r="H88" i="18"/>
  <c r="D89" i="18"/>
  <c r="G89" i="18" s="1"/>
  <c r="BE89" i="18"/>
  <c r="BI89" i="18"/>
  <c r="H89" i="18"/>
  <c r="D90" i="18"/>
  <c r="G90" i="18" s="1"/>
  <c r="BE90" i="18"/>
  <c r="BI90" i="18"/>
  <c r="H90" i="18"/>
  <c r="AY8" i="10"/>
  <c r="H8" i="10" s="1"/>
  <c r="AY9" i="10"/>
  <c r="H9" i="10" s="1"/>
  <c r="AY10" i="10"/>
  <c r="AY11" i="10"/>
  <c r="H11" i="10" s="1"/>
  <c r="AY12" i="10"/>
  <c r="H12" i="10" s="1"/>
  <c r="AY13" i="10"/>
  <c r="H13" i="10" s="1"/>
  <c r="AY14" i="10"/>
  <c r="H14" i="10" s="1"/>
  <c r="AY15" i="10"/>
  <c r="H15" i="10" s="1"/>
  <c r="AY16" i="10"/>
  <c r="H16" i="10" s="1"/>
  <c r="AY17" i="10"/>
  <c r="H17" i="10" s="1"/>
  <c r="AY18" i="10"/>
  <c r="AY19" i="10"/>
  <c r="H19" i="10" s="1"/>
  <c r="AV19" i="20" s="1"/>
  <c r="BL19" i="30" s="1"/>
  <c r="BL19" i="26" s="1"/>
  <c r="BL19" i="32" s="1"/>
  <c r="AY20" i="10"/>
  <c r="H20" i="10" s="1"/>
  <c r="AY21" i="10"/>
  <c r="H21" i="10" s="1"/>
  <c r="AY22" i="10"/>
  <c r="H22" i="10" s="1"/>
  <c r="AY23" i="10"/>
  <c r="H23" i="10" s="1"/>
  <c r="AY24" i="10"/>
  <c r="H24" i="10" s="1"/>
  <c r="AY26" i="10"/>
  <c r="H26" i="10" s="1"/>
  <c r="AY27" i="10"/>
  <c r="AY28" i="10"/>
  <c r="H28" i="10" s="1"/>
  <c r="AY29" i="10"/>
  <c r="H29" i="10" s="1"/>
  <c r="AY30" i="10"/>
  <c r="H30" i="10" s="1"/>
  <c r="AY31" i="10"/>
  <c r="H31" i="10" s="1"/>
  <c r="AY32" i="10"/>
  <c r="H32" i="10" s="1"/>
  <c r="AY33" i="10"/>
  <c r="H33" i="10" s="1"/>
  <c r="AY34" i="10"/>
  <c r="H34" i="10" s="1"/>
  <c r="AY35" i="10"/>
  <c r="AY36" i="10"/>
  <c r="H36" i="10" s="1"/>
  <c r="AY37" i="10"/>
  <c r="H37" i="10" s="1"/>
  <c r="AY38" i="10"/>
  <c r="H38" i="10" s="1"/>
  <c r="AY39" i="10"/>
  <c r="H39" i="10" s="1"/>
  <c r="AY40" i="10"/>
  <c r="AY41" i="10"/>
  <c r="H41" i="10" s="1"/>
  <c r="AY42" i="10"/>
  <c r="H42" i="10" s="1"/>
  <c r="AY43" i="10"/>
  <c r="AY44" i="10"/>
  <c r="H44" i="10" s="1"/>
  <c r="AY45" i="10"/>
  <c r="AY46" i="10"/>
  <c r="H46" i="10" s="1"/>
  <c r="AY47" i="10"/>
  <c r="H47" i="10" s="1"/>
  <c r="AY48" i="10"/>
  <c r="AY49" i="10"/>
  <c r="H49" i="10" s="1"/>
  <c r="AY50" i="10"/>
  <c r="H50" i="10" s="1"/>
  <c r="AY51" i="10"/>
  <c r="AY52" i="10"/>
  <c r="H52" i="10" s="1"/>
  <c r="AY53" i="10"/>
  <c r="AY54" i="10"/>
  <c r="H54" i="10" s="1"/>
  <c r="AY56" i="10"/>
  <c r="H56" i="10" s="1"/>
  <c r="AY57" i="10"/>
  <c r="H57" i="10" s="1"/>
  <c r="AY58" i="10"/>
  <c r="H58" i="10" s="1"/>
  <c r="AY59" i="10"/>
  <c r="H59" i="10" s="1"/>
  <c r="AY60" i="10"/>
  <c r="AY61" i="10"/>
  <c r="H61" i="10" s="1"/>
  <c r="AY62" i="10"/>
  <c r="AY63" i="10"/>
  <c r="H63" i="10" s="1"/>
  <c r="AY64" i="10"/>
  <c r="AY65" i="10"/>
  <c r="H65" i="10" s="1"/>
  <c r="AY66" i="10"/>
  <c r="H66" i="10" s="1"/>
  <c r="AY67" i="10"/>
  <c r="H67" i="10" s="1"/>
  <c r="AY68" i="10"/>
  <c r="H68" i="10" s="1"/>
  <c r="AY69" i="10"/>
  <c r="H69" i="10" s="1"/>
  <c r="AY70" i="10"/>
  <c r="AY71" i="10"/>
  <c r="AY72" i="10"/>
  <c r="H72" i="10" s="1"/>
  <c r="AY73" i="10"/>
  <c r="AY74" i="10"/>
  <c r="H74" i="10" s="1"/>
  <c r="AY75" i="10"/>
  <c r="AY76" i="10"/>
  <c r="AY77" i="10"/>
  <c r="H77" i="10" s="1"/>
  <c r="AY78" i="10"/>
  <c r="AY79" i="10"/>
  <c r="AY80" i="10"/>
  <c r="H80" i="10" s="1"/>
  <c r="AY81" i="10"/>
  <c r="AY82" i="10"/>
  <c r="H82" i="10" s="1"/>
  <c r="AY83" i="10"/>
  <c r="AY84" i="10"/>
  <c r="H84" i="10" s="1"/>
  <c r="AY85" i="10"/>
  <c r="H85" i="10" s="1"/>
  <c r="AY86" i="10"/>
  <c r="AY87" i="10"/>
  <c r="H87" i="10" s="1"/>
  <c r="AY88" i="10"/>
  <c r="AY89" i="10"/>
  <c r="H89" i="10" s="1"/>
  <c r="AY90" i="10"/>
  <c r="H90" i="10" s="1"/>
  <c r="AY4" i="10"/>
  <c r="H4" i="10" s="1"/>
  <c r="AY5" i="10"/>
  <c r="H5" i="10" s="1"/>
  <c r="AY6" i="10"/>
  <c r="H6" i="10" s="1"/>
  <c r="AY7" i="10"/>
  <c r="D9" i="10"/>
  <c r="G9" i="10" s="1"/>
  <c r="D10" i="10"/>
  <c r="G10" i="10"/>
  <c r="D11" i="10"/>
  <c r="G11" i="10" s="1"/>
  <c r="I11" i="10" s="1"/>
  <c r="D12" i="10"/>
  <c r="G12" i="10" s="1"/>
  <c r="D13" i="10"/>
  <c r="G13" i="10"/>
  <c r="D14" i="10"/>
  <c r="G14" i="10"/>
  <c r="D15" i="10"/>
  <c r="G15" i="10" s="1"/>
  <c r="D16" i="10"/>
  <c r="G16" i="10" s="1"/>
  <c r="I16" i="10" s="1"/>
  <c r="J16" i="10" s="1"/>
  <c r="E17" i="22" s="1"/>
  <c r="D17" i="10"/>
  <c r="G17" i="10" s="1"/>
  <c r="D18" i="10"/>
  <c r="G18" i="10"/>
  <c r="D19" i="10"/>
  <c r="G19" i="10" s="1"/>
  <c r="D20" i="10"/>
  <c r="G20" i="10" s="1"/>
  <c r="I20" i="10" s="1"/>
  <c r="J20" i="10" s="1"/>
  <c r="D21" i="10"/>
  <c r="G21" i="10" s="1"/>
  <c r="D22" i="10"/>
  <c r="G22" i="10" s="1"/>
  <c r="I22" i="10" s="1"/>
  <c r="D23" i="10"/>
  <c r="G23" i="10" s="1"/>
  <c r="D24" i="10"/>
  <c r="G24" i="10" s="1"/>
  <c r="D26" i="10"/>
  <c r="G26" i="10"/>
  <c r="D27" i="10"/>
  <c r="G27" i="10" s="1"/>
  <c r="D28" i="10"/>
  <c r="G28" i="10" s="1"/>
  <c r="D29" i="10"/>
  <c r="G29" i="10" s="1"/>
  <c r="I29" i="10" s="1"/>
  <c r="D30" i="10"/>
  <c r="G30" i="10"/>
  <c r="D31" i="10"/>
  <c r="G31" i="10"/>
  <c r="D32" i="10"/>
  <c r="G32" i="10" s="1"/>
  <c r="D33" i="10"/>
  <c r="G33" i="10" s="1"/>
  <c r="I33" i="10" s="1"/>
  <c r="D34" i="10"/>
  <c r="G34" i="10"/>
  <c r="D35" i="10"/>
  <c r="G35" i="10"/>
  <c r="D36" i="10"/>
  <c r="G36" i="10" s="1"/>
  <c r="D37" i="10"/>
  <c r="G37" i="10" s="1"/>
  <c r="D38" i="10"/>
  <c r="G38" i="10" s="1"/>
  <c r="D39" i="10"/>
  <c r="G39" i="10" s="1"/>
  <c r="I39" i="10" s="1"/>
  <c r="D40" i="10"/>
  <c r="G40" i="10" s="1"/>
  <c r="D41" i="10"/>
  <c r="G41" i="10" s="1"/>
  <c r="I41" i="10" s="1"/>
  <c r="D42" i="10"/>
  <c r="G42" i="10" s="1"/>
  <c r="D43" i="10"/>
  <c r="G43" i="10"/>
  <c r="D44" i="10"/>
  <c r="G44" i="10" s="1"/>
  <c r="D45" i="10"/>
  <c r="G45" i="10" s="1"/>
  <c r="D46" i="10"/>
  <c r="G46" i="10"/>
  <c r="D47" i="10"/>
  <c r="G47" i="10" s="1"/>
  <c r="D48" i="10"/>
  <c r="G48" i="10" s="1"/>
  <c r="D49" i="10"/>
  <c r="G49" i="10" s="1"/>
  <c r="D50" i="10"/>
  <c r="G50" i="10"/>
  <c r="D51" i="10"/>
  <c r="G51" i="10" s="1"/>
  <c r="D52" i="10"/>
  <c r="G52" i="10" s="1"/>
  <c r="D53" i="10"/>
  <c r="G53" i="10" s="1"/>
  <c r="D54" i="10"/>
  <c r="G54" i="10" s="1"/>
  <c r="D56" i="10"/>
  <c r="G56" i="10"/>
  <c r="D57" i="10"/>
  <c r="G57" i="10" s="1"/>
  <c r="D58" i="10"/>
  <c r="G58" i="10" s="1"/>
  <c r="D59" i="10"/>
  <c r="G59" i="10"/>
  <c r="D60" i="10"/>
  <c r="G60" i="10"/>
  <c r="D61" i="10"/>
  <c r="G61" i="10" s="1"/>
  <c r="D62" i="10"/>
  <c r="G62" i="10" s="1"/>
  <c r="D63" i="10"/>
  <c r="G63" i="10" s="1"/>
  <c r="D64" i="10"/>
  <c r="G64" i="10"/>
  <c r="D65" i="10"/>
  <c r="G65" i="10" s="1"/>
  <c r="D66" i="10"/>
  <c r="G66" i="10" s="1"/>
  <c r="I66" i="10" s="1"/>
  <c r="D67" i="10"/>
  <c r="G67" i="10" s="1"/>
  <c r="D68" i="10"/>
  <c r="G68" i="10" s="1"/>
  <c r="D69" i="10"/>
  <c r="G69" i="10" s="1"/>
  <c r="D70" i="10"/>
  <c r="G70" i="10" s="1"/>
  <c r="D71" i="10"/>
  <c r="G71" i="10" s="1"/>
  <c r="D72" i="10"/>
  <c r="G72" i="10" s="1"/>
  <c r="I72" i="10" s="1"/>
  <c r="D73" i="10"/>
  <c r="G73" i="10" s="1"/>
  <c r="D74" i="10"/>
  <c r="G74" i="10" s="1"/>
  <c r="I74" i="10" s="1"/>
  <c r="D75" i="10"/>
  <c r="G75" i="10"/>
  <c r="D76" i="10"/>
  <c r="G76" i="10"/>
  <c r="D77" i="10"/>
  <c r="G77" i="10" s="1"/>
  <c r="D78" i="10"/>
  <c r="G78" i="10" s="1"/>
  <c r="D79" i="10"/>
  <c r="G79" i="10"/>
  <c r="D80" i="10"/>
  <c r="G80" i="10"/>
  <c r="D81" i="10"/>
  <c r="G81" i="10" s="1"/>
  <c r="D82" i="10"/>
  <c r="G82" i="10" s="1"/>
  <c r="D83" i="10"/>
  <c r="G83" i="10" s="1"/>
  <c r="D84" i="10"/>
  <c r="G84" i="10" s="1"/>
  <c r="I84" i="10" s="1"/>
  <c r="D85" i="10"/>
  <c r="G85" i="10" s="1"/>
  <c r="D86" i="10"/>
  <c r="G86" i="10" s="1"/>
  <c r="D87" i="10"/>
  <c r="G87" i="10" s="1"/>
  <c r="I87" i="10" s="1"/>
  <c r="D88" i="10"/>
  <c r="G88" i="10"/>
  <c r="D89" i="10"/>
  <c r="G89" i="10" s="1"/>
  <c r="D90" i="10"/>
  <c r="G90" i="10" s="1"/>
  <c r="D3" i="10"/>
  <c r="G3" i="10"/>
  <c r="D4" i="10"/>
  <c r="G4" i="10" s="1"/>
  <c r="D5" i="10"/>
  <c r="G5" i="10" s="1"/>
  <c r="D6" i="10"/>
  <c r="G6" i="10" s="1"/>
  <c r="D7" i="10"/>
  <c r="G7" i="10" s="1"/>
  <c r="D8" i="10"/>
  <c r="G8" i="10"/>
  <c r="J8" i="20"/>
  <c r="I33" i="18"/>
  <c r="AY3" i="10"/>
  <c r="H3" i="10" s="1"/>
  <c r="AB2" i="20"/>
  <c r="X2" i="20"/>
  <c r="T2" i="20"/>
  <c r="P2" i="20"/>
  <c r="E2" i="19"/>
  <c r="AD2" i="19"/>
  <c r="Z2" i="19"/>
  <c r="V2" i="19"/>
  <c r="R2" i="19"/>
  <c r="H2" i="18"/>
  <c r="BI2" i="18"/>
  <c r="BE2" i="18"/>
  <c r="D2" i="18"/>
  <c r="G2" i="18" s="1"/>
  <c r="I2" i="18" s="1"/>
  <c r="D91" i="18"/>
  <c r="Q2" i="15"/>
  <c r="U3" i="15"/>
  <c r="U4" i="15"/>
  <c r="U5" i="15"/>
  <c r="U6" i="15"/>
  <c r="U7" i="15"/>
  <c r="U2" i="15"/>
  <c r="V2" i="15"/>
  <c r="C5" i="15"/>
  <c r="D2" i="10"/>
  <c r="G2" i="10" s="1"/>
  <c r="AY2" i="10"/>
  <c r="C2" i="2"/>
  <c r="F2" i="2" s="1"/>
  <c r="C3" i="2"/>
  <c r="F3" i="2" s="1"/>
  <c r="C4" i="2"/>
  <c r="F4" i="2" s="1"/>
  <c r="G4" i="2" s="1"/>
  <c r="C5" i="2"/>
  <c r="F5" i="2" s="1"/>
  <c r="G5" i="2" s="1"/>
  <c r="C6" i="2"/>
  <c r="C7" i="2"/>
  <c r="C9" i="2"/>
  <c r="D9" i="2" s="1"/>
  <c r="C10" i="2"/>
  <c r="F10" i="2" s="1"/>
  <c r="C11" i="2"/>
  <c r="F11" i="2" s="1"/>
  <c r="C12" i="2"/>
  <c r="D12" i="2" s="1"/>
  <c r="C13" i="2"/>
  <c r="C14" i="2"/>
  <c r="C15" i="2"/>
  <c r="C16" i="2"/>
  <c r="C17" i="2"/>
  <c r="C18" i="2"/>
  <c r="C19" i="2"/>
  <c r="C20" i="2"/>
  <c r="D20" i="2" s="1"/>
  <c r="C21" i="2"/>
  <c r="F21" i="2" s="1"/>
  <c r="G21" i="2" s="1"/>
  <c r="C22" i="2"/>
  <c r="C23" i="2"/>
  <c r="F23" i="2" s="1"/>
  <c r="G23" i="2" s="1"/>
  <c r="C24" i="2"/>
  <c r="C25" i="2"/>
  <c r="C26" i="2"/>
  <c r="C27" i="2"/>
  <c r="C28" i="2"/>
  <c r="F28" i="2" s="1"/>
  <c r="G28" i="2" s="1"/>
  <c r="C29" i="2"/>
  <c r="D29" i="2" s="1"/>
  <c r="G29" i="2" s="1"/>
  <c r="C30" i="2"/>
  <c r="D30" i="2" s="1"/>
  <c r="C31" i="2"/>
  <c r="D31" i="2" s="1"/>
  <c r="C32" i="2"/>
  <c r="D32" i="2" s="1"/>
  <c r="C33" i="2"/>
  <c r="F33" i="2" s="1"/>
  <c r="C35" i="2"/>
  <c r="F35" i="2" s="1"/>
  <c r="C36" i="2"/>
  <c r="C38" i="2"/>
  <c r="D38" i="2" s="1"/>
  <c r="G38" i="2" s="1"/>
  <c r="C39" i="2"/>
  <c r="C40" i="2"/>
  <c r="D40" i="2" s="1"/>
  <c r="C41" i="2"/>
  <c r="C42" i="2"/>
  <c r="C43" i="2"/>
  <c r="C44" i="2"/>
  <c r="D44" i="2" s="1"/>
  <c r="C45" i="2"/>
  <c r="F45" i="2" s="1"/>
  <c r="G45" i="2" s="1"/>
  <c r="C46" i="2"/>
  <c r="F46" i="2" s="1"/>
  <c r="G46" i="2" s="1"/>
  <c r="C47" i="2"/>
  <c r="F47" i="2" s="1"/>
  <c r="G47" i="2" s="1"/>
  <c r="C48" i="2"/>
  <c r="C49" i="2"/>
  <c r="D49" i="2" s="1"/>
  <c r="C50" i="2"/>
  <c r="D50" i="2" s="1"/>
  <c r="C51" i="2"/>
  <c r="D51" i="2" s="1"/>
  <c r="C52" i="2"/>
  <c r="D52" i="2" s="1"/>
  <c r="C53" i="2"/>
  <c r="D53" i="2" s="1"/>
  <c r="C54" i="2"/>
  <c r="C55" i="2"/>
  <c r="D55" i="2" s="1"/>
  <c r="C56" i="2"/>
  <c r="D56" i="2" s="1"/>
  <c r="C57" i="2"/>
  <c r="F57" i="2" s="1"/>
  <c r="C58" i="2"/>
  <c r="F58" i="2" s="1"/>
  <c r="C59" i="2"/>
  <c r="F59" i="2" s="1"/>
  <c r="G59" i="2" s="1"/>
  <c r="C60" i="2"/>
  <c r="C61" i="2"/>
  <c r="C62" i="2"/>
  <c r="C63" i="2"/>
  <c r="C64" i="2"/>
  <c r="C65" i="2"/>
  <c r="F65" i="2" s="1"/>
  <c r="G65" i="2" s="1"/>
  <c r="C66" i="2"/>
  <c r="C67" i="2"/>
  <c r="C68" i="2"/>
  <c r="F68" i="2" s="1"/>
  <c r="G68" i="2" s="1"/>
  <c r="C69" i="2"/>
  <c r="D69" i="2" s="1"/>
  <c r="C70" i="2"/>
  <c r="C71" i="2"/>
  <c r="D71" i="2" s="1"/>
  <c r="C72" i="2"/>
  <c r="F72" i="2" s="1"/>
  <c r="C73" i="2"/>
  <c r="D73" i="2" s="1"/>
  <c r="C74" i="2"/>
  <c r="D74" i="2" s="1"/>
  <c r="C75" i="2"/>
  <c r="D75" i="2" s="1"/>
  <c r="G75" i="2" s="1"/>
  <c r="C76" i="2"/>
  <c r="D76" i="2" s="1"/>
  <c r="C77" i="2"/>
  <c r="D77" i="2" s="1"/>
  <c r="C78" i="2"/>
  <c r="D78" i="2" s="1"/>
  <c r="G78" i="2" s="1"/>
  <c r="C79" i="2"/>
  <c r="D79" i="2" s="1"/>
  <c r="C80" i="2"/>
  <c r="F80" i="2" s="1"/>
  <c r="C81" i="2"/>
  <c r="C82" i="2"/>
  <c r="C83" i="2"/>
  <c r="C84" i="2"/>
  <c r="C85" i="2"/>
  <c r="F85" i="2" s="1"/>
  <c r="G85" i="2" s="1"/>
  <c r="C86" i="2"/>
  <c r="C87" i="2"/>
  <c r="C88" i="2"/>
  <c r="F88" i="2" s="1"/>
  <c r="G88" i="2" s="1"/>
  <c r="C89" i="2"/>
  <c r="C90" i="2"/>
  <c r="D90" i="2" s="1"/>
  <c r="J48" i="2"/>
  <c r="P3" i="2"/>
  <c r="H18" i="2"/>
  <c r="D18" i="2"/>
  <c r="G18" i="2"/>
  <c r="D2" i="2"/>
  <c r="D4" i="2"/>
  <c r="D5" i="2"/>
  <c r="D6" i="2"/>
  <c r="D7" i="2"/>
  <c r="D8" i="2"/>
  <c r="D13" i="2"/>
  <c r="D14" i="2"/>
  <c r="G14" i="2" s="1"/>
  <c r="D15" i="2"/>
  <c r="D16" i="2"/>
  <c r="D17" i="2"/>
  <c r="D19" i="2"/>
  <c r="D21" i="2"/>
  <c r="D22" i="2"/>
  <c r="D23" i="2"/>
  <c r="D24" i="2"/>
  <c r="G24" i="2" s="1"/>
  <c r="D25" i="2"/>
  <c r="H25" i="2" s="1"/>
  <c r="D26" i="2"/>
  <c r="G26" i="2" s="1"/>
  <c r="D27" i="2"/>
  <c r="D28" i="2"/>
  <c r="D34" i="2"/>
  <c r="G34" i="2" s="1"/>
  <c r="D36" i="2"/>
  <c r="D37" i="2"/>
  <c r="D39" i="2"/>
  <c r="D41" i="2"/>
  <c r="D42" i="2"/>
  <c r="D43" i="2"/>
  <c r="D45" i="2"/>
  <c r="D46" i="2"/>
  <c r="D47" i="2"/>
  <c r="D48" i="2"/>
  <c r="D54" i="2"/>
  <c r="D59" i="2"/>
  <c r="D60" i="2"/>
  <c r="G60" i="2" s="1"/>
  <c r="D61" i="2"/>
  <c r="G61" i="2" s="1"/>
  <c r="D62" i="2"/>
  <c r="D63" i="2"/>
  <c r="D64" i="2"/>
  <c r="D65" i="2"/>
  <c r="D66" i="2"/>
  <c r="D67" i="2"/>
  <c r="D68" i="2"/>
  <c r="D70" i="2"/>
  <c r="G70" i="2" s="1"/>
  <c r="D81" i="2"/>
  <c r="D82" i="2"/>
  <c r="G82" i="2" s="1"/>
  <c r="D83" i="2"/>
  <c r="D84" i="2"/>
  <c r="G84" i="2" s="1"/>
  <c r="D85" i="2"/>
  <c r="D86" i="2"/>
  <c r="D87" i="2"/>
  <c r="D88" i="2"/>
  <c r="D89" i="2"/>
  <c r="G89" i="2" s="1"/>
  <c r="B91" i="2"/>
  <c r="E91" i="2"/>
  <c r="F8" i="2"/>
  <c r="G8" i="2" s="1"/>
  <c r="F34" i="2"/>
  <c r="F37" i="2"/>
  <c r="G37" i="2" s="1"/>
  <c r="F6" i="2"/>
  <c r="G6" i="2" s="1"/>
  <c r="F7" i="2"/>
  <c r="G7" i="2" s="1"/>
  <c r="F13" i="2"/>
  <c r="G13" i="2"/>
  <c r="F14" i="2"/>
  <c r="F15" i="2"/>
  <c r="G15" i="2" s="1"/>
  <c r="F16" i="2"/>
  <c r="G16" i="2"/>
  <c r="F17" i="2"/>
  <c r="G17" i="2"/>
  <c r="F19" i="2"/>
  <c r="G19" i="2" s="1"/>
  <c r="F20" i="2"/>
  <c r="J21" i="2"/>
  <c r="K21" i="2"/>
  <c r="L21" i="2"/>
  <c r="M21" i="2"/>
  <c r="N21" i="2"/>
  <c r="O21" i="2"/>
  <c r="P21" i="2"/>
  <c r="F22" i="2"/>
  <c r="G22" i="2" s="1"/>
  <c r="F24" i="2"/>
  <c r="G25" i="2"/>
  <c r="F27" i="2"/>
  <c r="G27" i="2" s="1"/>
  <c r="F29" i="2"/>
  <c r="F30" i="2"/>
  <c r="F36" i="2"/>
  <c r="G36" i="2" s="1"/>
  <c r="F38" i="2"/>
  <c r="F39" i="2"/>
  <c r="G39" i="2"/>
  <c r="F41" i="2"/>
  <c r="G41" i="2" s="1"/>
  <c r="F42" i="2"/>
  <c r="G42" i="2"/>
  <c r="F43" i="2"/>
  <c r="G43" i="2"/>
  <c r="G48" i="2"/>
  <c r="F49" i="2"/>
  <c r="G49" i="2" s="1"/>
  <c r="F53" i="2"/>
  <c r="G53" i="2" s="1"/>
  <c r="F54" i="2"/>
  <c r="G54" i="2"/>
  <c r="F60" i="2"/>
  <c r="F61" i="2"/>
  <c r="F62" i="2"/>
  <c r="G62" i="2" s="1"/>
  <c r="F63" i="2"/>
  <c r="G63" i="2"/>
  <c r="K64" i="2"/>
  <c r="F64" i="2"/>
  <c r="G64" i="2" s="1"/>
  <c r="F66" i="2"/>
  <c r="G66" i="2"/>
  <c r="F67" i="2"/>
  <c r="G67" i="2" s="1"/>
  <c r="F75" i="2"/>
  <c r="F76" i="2"/>
  <c r="G76" i="2" s="1"/>
  <c r="F78" i="2"/>
  <c r="F79" i="2"/>
  <c r="F81" i="2"/>
  <c r="G81" i="2" s="1"/>
  <c r="F82" i="2"/>
  <c r="F83" i="2"/>
  <c r="G83" i="2" s="1"/>
  <c r="F84" i="2"/>
  <c r="F86" i="2"/>
  <c r="G86" i="2" s="1"/>
  <c r="F87" i="2"/>
  <c r="G87" i="2" s="1"/>
  <c r="F89" i="2"/>
  <c r="F90" i="2"/>
  <c r="M15" i="7"/>
  <c r="I8" i="7"/>
  <c r="D8" i="7" s="1"/>
  <c r="I6" i="7"/>
  <c r="D12" i="7" s="1"/>
  <c r="C7" i="7"/>
  <c r="C8" i="7"/>
  <c r="C9" i="7"/>
  <c r="C6" i="7"/>
  <c r="B13" i="7"/>
  <c r="B14" i="7"/>
  <c r="B15" i="7"/>
  <c r="B12" i="7"/>
  <c r="Q7" i="7"/>
  <c r="C14" i="7"/>
  <c r="C12" i="7"/>
  <c r="BC6" i="7"/>
  <c r="BC9" i="7"/>
  <c r="AN9" i="7"/>
  <c r="AO9" i="7" s="1"/>
  <c r="AL9" i="7"/>
  <c r="AJ9" i="7"/>
  <c r="AK8" i="7"/>
  <c r="AH9" i="7"/>
  <c r="AF9" i="7"/>
  <c r="AG9" i="7" s="1"/>
  <c r="AE9" i="7"/>
  <c r="AE7" i="7"/>
  <c r="AD9" i="7"/>
  <c r="AB9" i="7"/>
  <c r="Z7" i="7"/>
  <c r="Y9" i="7"/>
  <c r="R9" i="7"/>
  <c r="S9" i="7" s="1"/>
  <c r="T9" i="7" s="1"/>
  <c r="U9" i="7" s="1"/>
  <c r="M9" i="7"/>
  <c r="BW9" i="7"/>
  <c r="M6" i="7"/>
  <c r="P6" i="7"/>
  <c r="Y6" i="7"/>
  <c r="AN6" i="7"/>
  <c r="AQ6" i="7"/>
  <c r="AT6" i="7"/>
  <c r="AW6" i="7"/>
  <c r="D4" i="8"/>
  <c r="D5" i="8" s="1"/>
  <c r="D6" i="8" s="1"/>
  <c r="D7" i="8" s="1"/>
  <c r="D8" i="8" s="1"/>
  <c r="D9" i="8" s="1"/>
  <c r="D10" i="8" s="1"/>
  <c r="D11" i="8" s="1"/>
  <c r="D12" i="8" s="1"/>
  <c r="D13" i="8" s="1"/>
  <c r="D14" i="8" s="1"/>
  <c r="D15" i="8" s="1"/>
  <c r="D16" i="8" s="1"/>
  <c r="D17" i="8" s="1"/>
  <c r="AN7" i="7"/>
  <c r="AO7" i="7" s="1"/>
  <c r="AL7" i="7"/>
  <c r="AJ7" i="7"/>
  <c r="AH7" i="7"/>
  <c r="AI7" i="7" s="1"/>
  <c r="AG7" i="7"/>
  <c r="AF7" i="7"/>
  <c r="AD7" i="7"/>
  <c r="AB7" i="7"/>
  <c r="AC7" i="7" s="1"/>
  <c r="AA7" i="7"/>
  <c r="Y7" i="7"/>
  <c r="V7" i="7"/>
  <c r="W7" i="7" s="1"/>
  <c r="U7" i="7"/>
  <c r="R7" i="7"/>
  <c r="S7" i="7"/>
  <c r="T7" i="7" s="1"/>
  <c r="P7" i="7"/>
  <c r="M7" i="7"/>
  <c r="N7" i="7" s="1"/>
  <c r="O7" i="7" s="1"/>
  <c r="CJ8" i="7"/>
  <c r="CI8" i="7"/>
  <c r="CF8" i="7"/>
  <c r="CC8" i="7"/>
  <c r="BZ8" i="7"/>
  <c r="BW8" i="7"/>
  <c r="BC8" i="7"/>
  <c r="AW8" i="7"/>
  <c r="AT8" i="7"/>
  <c r="AQ8" i="7"/>
  <c r="AN8" i="7"/>
  <c r="Y8" i="7"/>
  <c r="P8" i="7"/>
  <c r="M8" i="7"/>
  <c r="CJ6" i="7"/>
  <c r="CI6" i="7"/>
  <c r="CF6" i="7"/>
  <c r="CC6" i="7"/>
  <c r="BZ6" i="7"/>
  <c r="BW6" i="7"/>
  <c r="N8" i="4"/>
  <c r="BL95" i="32" s="1"/>
  <c r="M8" i="4"/>
  <c r="E8" i="4"/>
  <c r="F8" i="4"/>
  <c r="G8" i="4"/>
  <c r="H8" i="4"/>
  <c r="I8" i="4"/>
  <c r="J8" i="4"/>
  <c r="K8" i="4"/>
  <c r="L8" i="4"/>
  <c r="D8" i="4"/>
  <c r="N9" i="7"/>
  <c r="P9" i="7" s="1"/>
  <c r="Q9" i="7" s="1"/>
  <c r="C3" i="5"/>
  <c r="D3" i="5"/>
  <c r="G3" i="5"/>
  <c r="E3" i="5"/>
  <c r="D57" i="15"/>
  <c r="F3" i="5"/>
  <c r="D11" i="15"/>
  <c r="D12" i="15"/>
  <c r="D13" i="15"/>
  <c r="D14" i="15"/>
  <c r="D15" i="15"/>
  <c r="D16" i="15"/>
  <c r="D17" i="15"/>
  <c r="D18" i="15"/>
  <c r="D19" i="15"/>
  <c r="D20" i="15"/>
  <c r="D21" i="15"/>
  <c r="D22" i="15"/>
  <c r="D23" i="15"/>
  <c r="D24" i="15"/>
  <c r="D25" i="15"/>
  <c r="D26" i="15"/>
  <c r="D27"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 i="15"/>
  <c r="D10" i="15"/>
  <c r="D6" i="15"/>
  <c r="D8" i="15"/>
  <c r="D7" i="15"/>
  <c r="AV4" i="20" l="1"/>
  <c r="BL4" i="30" s="1"/>
  <c r="BL4" i="26" s="1"/>
  <c r="BL4" i="32" s="1"/>
  <c r="J55" i="19"/>
  <c r="AV22" i="20"/>
  <c r="BL22" i="30" s="1"/>
  <c r="BL22" i="26" s="1"/>
  <c r="BL22" i="32" s="1"/>
  <c r="AV85" i="20"/>
  <c r="BL85" i="30" s="1"/>
  <c r="BL85" i="26" s="1"/>
  <c r="BL85" i="32" s="1"/>
  <c r="L71" i="19"/>
  <c r="M71" i="19" s="1"/>
  <c r="L18" i="19"/>
  <c r="L29" i="19"/>
  <c r="AV63" i="20"/>
  <c r="BL63" i="30" s="1"/>
  <c r="BL63" i="26" s="1"/>
  <c r="BL63" i="32" s="1"/>
  <c r="J32" i="19"/>
  <c r="AV34" i="20"/>
  <c r="BL34" i="30" s="1"/>
  <c r="BL34" i="26" s="1"/>
  <c r="BL34" i="32" s="1"/>
  <c r="AV8" i="20"/>
  <c r="BL8" i="30" s="1"/>
  <c r="BL8" i="26" s="1"/>
  <c r="BL8" i="32" s="1"/>
  <c r="AV23" i="20"/>
  <c r="BL23" i="30" s="1"/>
  <c r="BL23" i="26" s="1"/>
  <c r="BL23" i="32" s="1"/>
  <c r="J29" i="19"/>
  <c r="AV69" i="20"/>
  <c r="BL69" i="30" s="1"/>
  <c r="BL69" i="26" s="1"/>
  <c r="BL69" i="32" s="1"/>
  <c r="AV89" i="20"/>
  <c r="BL89" i="30" s="1"/>
  <c r="BL89" i="26" s="1"/>
  <c r="BL89" i="32" s="1"/>
  <c r="AV66" i="20"/>
  <c r="BL66" i="30" s="1"/>
  <c r="BL66" i="26" s="1"/>
  <c r="BL66" i="32" s="1"/>
  <c r="H56" i="2"/>
  <c r="G56" i="2"/>
  <c r="G31" i="2"/>
  <c r="H31" i="2"/>
  <c r="G20" i="2"/>
  <c r="G32" i="2"/>
  <c r="H32" i="2"/>
  <c r="G79" i="2"/>
  <c r="G3" i="2"/>
  <c r="G2" i="2"/>
  <c r="F91" i="2"/>
  <c r="G30" i="2"/>
  <c r="G44" i="2"/>
  <c r="H44" i="2"/>
  <c r="D91" i="2"/>
  <c r="G35" i="2"/>
  <c r="G90" i="2"/>
  <c r="AV90" i="20"/>
  <c r="BL90" i="30" s="1"/>
  <c r="BL90" i="26" s="1"/>
  <c r="BL90" i="32" s="1"/>
  <c r="F55" i="2"/>
  <c r="G55" i="2" s="1"/>
  <c r="H26" i="2"/>
  <c r="AV21" i="20"/>
  <c r="BL21" i="30" s="1"/>
  <c r="BM22" i="30" s="1"/>
  <c r="J6" i="7"/>
  <c r="H12" i="7" s="1"/>
  <c r="F77" i="2"/>
  <c r="G77" i="2" s="1"/>
  <c r="D3" i="2"/>
  <c r="AV65" i="20"/>
  <c r="BL65" i="30" s="1"/>
  <c r="BL65" i="26" s="1"/>
  <c r="BL65" i="32" s="1"/>
  <c r="AV41" i="20"/>
  <c r="BL41" i="30" s="1"/>
  <c r="BL41" i="26" s="1"/>
  <c r="BL41" i="32" s="1"/>
  <c r="I47" i="18"/>
  <c r="AV84" i="20"/>
  <c r="BL84" i="30" s="1"/>
  <c r="BL84" i="26" s="1"/>
  <c r="BL84" i="32" s="1"/>
  <c r="I24" i="18"/>
  <c r="D14" i="7"/>
  <c r="E14" i="7" s="1"/>
  <c r="D80" i="2"/>
  <c r="G80" i="2" s="1"/>
  <c r="J62" i="19"/>
  <c r="F74" i="2"/>
  <c r="G74" i="2" s="1"/>
  <c r="F51" i="2"/>
  <c r="G51" i="2" s="1"/>
  <c r="D58" i="2"/>
  <c r="G58" i="2" s="1"/>
  <c r="I89" i="10"/>
  <c r="I44" i="10"/>
  <c r="AV36" i="20"/>
  <c r="BL36" i="30" s="1"/>
  <c r="BL36" i="26" s="1"/>
  <c r="BL36" i="32" s="1"/>
  <c r="C91" i="2"/>
  <c r="AV80" i="20"/>
  <c r="BL80" i="30" s="1"/>
  <c r="BL80" i="26" s="1"/>
  <c r="BL80" i="32" s="1"/>
  <c r="F9" i="2"/>
  <c r="G9" i="2" s="1"/>
  <c r="F52" i="2"/>
  <c r="G52" i="2" s="1"/>
  <c r="F40" i="2"/>
  <c r="G40" i="2" s="1"/>
  <c r="I61" i="10"/>
  <c r="AV38" i="20"/>
  <c r="BL38" i="30" s="1"/>
  <c r="BL38" i="26" s="1"/>
  <c r="BL38" i="32" s="1"/>
  <c r="F73" i="2"/>
  <c r="G73" i="2" s="1"/>
  <c r="F50" i="2"/>
  <c r="G50" i="2" s="1"/>
  <c r="AV15" i="20"/>
  <c r="BL15" i="30" s="1"/>
  <c r="BL15" i="26" s="1"/>
  <c r="BL15" i="32" s="1"/>
  <c r="J26" i="19"/>
  <c r="D57" i="2"/>
  <c r="G57" i="2" s="1"/>
  <c r="D35" i="2"/>
  <c r="I12" i="10"/>
  <c r="AV56" i="20"/>
  <c r="BL56" i="30" s="1"/>
  <c r="BL56" i="26" s="1"/>
  <c r="BL56" i="32" s="1"/>
  <c r="AV33" i="20"/>
  <c r="BL33" i="30" s="1"/>
  <c r="BL33" i="26" s="1"/>
  <c r="BL33" i="32" s="1"/>
  <c r="AV77" i="20"/>
  <c r="BL77" i="30" s="1"/>
  <c r="BL77" i="26" s="1"/>
  <c r="BL77" i="32" s="1"/>
  <c r="D91" i="20"/>
  <c r="F2" i="20"/>
  <c r="H2" i="20" s="1"/>
  <c r="D33" i="2"/>
  <c r="G33" i="2" s="1"/>
  <c r="AV52" i="20"/>
  <c r="BL52" i="30" s="1"/>
  <c r="BL52" i="26" s="1"/>
  <c r="BL52" i="32" s="1"/>
  <c r="J61" i="19"/>
  <c r="AI9" i="7"/>
  <c r="F12" i="2"/>
  <c r="G12" i="2" s="1"/>
  <c r="D72" i="2"/>
  <c r="G72" i="2" s="1"/>
  <c r="AV29" i="20"/>
  <c r="BL29" i="30" s="1"/>
  <c r="BL29" i="26" s="1"/>
  <c r="BL29" i="32" s="1"/>
  <c r="F71" i="2"/>
  <c r="G71" i="2" s="1"/>
  <c r="F69" i="2"/>
  <c r="G69" i="2" s="1"/>
  <c r="D11" i="2"/>
  <c r="G11" i="2" s="1"/>
  <c r="I69" i="10"/>
  <c r="I23" i="10"/>
  <c r="AV50" i="20"/>
  <c r="BL50" i="30" s="1"/>
  <c r="BL50" i="26" s="1"/>
  <c r="BL50" i="32" s="1"/>
  <c r="D10" i="2"/>
  <c r="G10" i="2" s="1"/>
  <c r="AV49" i="20"/>
  <c r="BL49" i="30" s="1"/>
  <c r="BL49" i="26" s="1"/>
  <c r="BL49" i="32" s="1"/>
  <c r="AV30" i="20"/>
  <c r="BL30" i="30" s="1"/>
  <c r="BL30" i="26" s="1"/>
  <c r="BL30" i="32" s="1"/>
  <c r="AV6" i="20"/>
  <c r="BL6" i="30" s="1"/>
  <c r="BL6" i="26" s="1"/>
  <c r="BL6" i="32" s="1"/>
  <c r="AV26" i="20"/>
  <c r="BL26" i="30" s="1"/>
  <c r="BL26" i="26" s="1"/>
  <c r="BL26" i="32" s="1"/>
  <c r="I82" i="10"/>
  <c r="I37" i="10"/>
  <c r="AV5" i="20"/>
  <c r="BL5" i="30" s="1"/>
  <c r="BL5" i="26" s="1"/>
  <c r="BL5" i="32" s="1"/>
  <c r="AV24" i="20"/>
  <c r="BL24" i="30" s="1"/>
  <c r="BL24" i="26" s="1"/>
  <c r="BL24" i="32" s="1"/>
  <c r="I8" i="18"/>
  <c r="P93" i="18"/>
  <c r="B49" i="24" s="1"/>
  <c r="I67" i="10"/>
  <c r="I63" i="10"/>
  <c r="J63" i="10" s="1"/>
  <c r="E64" i="22" s="1"/>
  <c r="I50" i="10"/>
  <c r="I46" i="10"/>
  <c r="J46" i="10" s="1"/>
  <c r="E47" i="22" s="1"/>
  <c r="R47" i="22" s="1"/>
  <c r="I30" i="10"/>
  <c r="AV14" i="20"/>
  <c r="BL14" i="30" s="1"/>
  <c r="BL14" i="26" s="1"/>
  <c r="BL14" i="32" s="1"/>
  <c r="AV12" i="20"/>
  <c r="BL12" i="30" s="1"/>
  <c r="BL12" i="26" s="1"/>
  <c r="BL12" i="32" s="1"/>
  <c r="O9" i="7"/>
  <c r="D6" i="7"/>
  <c r="E6" i="7" s="1"/>
  <c r="F12" i="7" s="1"/>
  <c r="E8" i="7"/>
  <c r="F8" i="7" s="1"/>
  <c r="J8" i="7"/>
  <c r="H14" i="7" s="1"/>
  <c r="E12" i="7"/>
  <c r="K12" i="7" s="1"/>
  <c r="AQ7" i="7"/>
  <c r="F6" i="7"/>
  <c r="AQ9" i="7"/>
  <c r="AR9" i="7" s="1"/>
  <c r="V9" i="7"/>
  <c r="AV97" i="20"/>
  <c r="BL94" i="30"/>
  <c r="AV68" i="20"/>
  <c r="AV31" i="20"/>
  <c r="AV13" i="20"/>
  <c r="AV44" i="20"/>
  <c r="BL44" i="30" s="1"/>
  <c r="BL44" i="26" s="1"/>
  <c r="BL44" i="32" s="1"/>
  <c r="AX19" i="20"/>
  <c r="AX85" i="20"/>
  <c r="AX5" i="20"/>
  <c r="AX4" i="20"/>
  <c r="AV67" i="20"/>
  <c r="BL67" i="30" s="1"/>
  <c r="BL67" i="26" s="1"/>
  <c r="BL67" i="32" s="1"/>
  <c r="AX34" i="20"/>
  <c r="AV17" i="20"/>
  <c r="BL17" i="30" s="1"/>
  <c r="BL17" i="26" s="1"/>
  <c r="BL17" i="32" s="1"/>
  <c r="AV9" i="20"/>
  <c r="BL9" i="30" s="1"/>
  <c r="BL9" i="26" s="1"/>
  <c r="BL9" i="32" s="1"/>
  <c r="AV82" i="20"/>
  <c r="BL82" i="30" s="1"/>
  <c r="BL82" i="26" s="1"/>
  <c r="BL82" i="32" s="1"/>
  <c r="AV74" i="20"/>
  <c r="BL74" i="30" s="1"/>
  <c r="BL74" i="26" s="1"/>
  <c r="BL74" i="32" s="1"/>
  <c r="AV32" i="20"/>
  <c r="BL32" i="30" s="1"/>
  <c r="BL32" i="26" s="1"/>
  <c r="BL32" i="32" s="1"/>
  <c r="AV47" i="20"/>
  <c r="BL47" i="30" s="1"/>
  <c r="BL47" i="26" s="1"/>
  <c r="BL47" i="32" s="1"/>
  <c r="Q93" i="19"/>
  <c r="B50" i="24" s="1"/>
  <c r="AV54" i="20"/>
  <c r="BL54" i="30" s="1"/>
  <c r="BL54" i="26" s="1"/>
  <c r="BL54" i="32" s="1"/>
  <c r="AV46" i="20"/>
  <c r="BL46" i="30" s="1"/>
  <c r="BL46" i="26" s="1"/>
  <c r="BL46" i="32" s="1"/>
  <c r="E91" i="19"/>
  <c r="H2" i="19"/>
  <c r="J2" i="19" s="1"/>
  <c r="AV55" i="20"/>
  <c r="BL55" i="30" s="1"/>
  <c r="BL55" i="26" s="1"/>
  <c r="BL55" i="32" s="1"/>
  <c r="AV11" i="20"/>
  <c r="BL11" i="30" s="1"/>
  <c r="BL11" i="26" s="1"/>
  <c r="BL11" i="32" s="1"/>
  <c r="AV3" i="20"/>
  <c r="BL3" i="30" s="1"/>
  <c r="BL3" i="26" s="1"/>
  <c r="BL3" i="32" s="1"/>
  <c r="AV16" i="20"/>
  <c r="BL16" i="30" s="1"/>
  <c r="BL16" i="26" s="1"/>
  <c r="BL16" i="32" s="1"/>
  <c r="AV20" i="20"/>
  <c r="BL20" i="30" s="1"/>
  <c r="BL20" i="26" s="1"/>
  <c r="BL20" i="32" s="1"/>
  <c r="AV39" i="20"/>
  <c r="BL39" i="30" s="1"/>
  <c r="BL39" i="26" s="1"/>
  <c r="BL39" i="32" s="1"/>
  <c r="AV42" i="20"/>
  <c r="BL42" i="30" s="1"/>
  <c r="BL42" i="26" s="1"/>
  <c r="BL42" i="32" s="1"/>
  <c r="AV58" i="20"/>
  <c r="BL58" i="30" s="1"/>
  <c r="BL58" i="26" s="1"/>
  <c r="BL58" i="32" s="1"/>
  <c r="AV59" i="20"/>
  <c r="BL59" i="30" s="1"/>
  <c r="BL59" i="26" s="1"/>
  <c r="BL59" i="32" s="1"/>
  <c r="AV61" i="20"/>
  <c r="BL61" i="30" s="1"/>
  <c r="BL61" i="26" s="1"/>
  <c r="BL61" i="32" s="1"/>
  <c r="AV72" i="20"/>
  <c r="BL72" i="30" s="1"/>
  <c r="BL72" i="26" s="1"/>
  <c r="BL72" i="32" s="1"/>
  <c r="AV87" i="20"/>
  <c r="BL87" i="30" s="1"/>
  <c r="BL87" i="26" s="1"/>
  <c r="BL87" i="32" s="1"/>
  <c r="AV25" i="20"/>
  <c r="BL25" i="30" s="1"/>
  <c r="BL25" i="26" s="1"/>
  <c r="BL25" i="32" s="1"/>
  <c r="AV57" i="20"/>
  <c r="BL57" i="30" s="1"/>
  <c r="BL57" i="26" s="1"/>
  <c r="BL57" i="32" s="1"/>
  <c r="AV37" i="20"/>
  <c r="BL37" i="30" s="1"/>
  <c r="BL37" i="26" s="1"/>
  <c r="BL37" i="32" s="1"/>
  <c r="AV28" i="20"/>
  <c r="BL28" i="30" s="1"/>
  <c r="BL28" i="26" s="1"/>
  <c r="BL28" i="32" s="1"/>
  <c r="H88" i="20"/>
  <c r="H87" i="20"/>
  <c r="H80" i="20"/>
  <c r="H74" i="20"/>
  <c r="H66" i="20"/>
  <c r="H60" i="20"/>
  <c r="H58" i="20"/>
  <c r="H52" i="20"/>
  <c r="H46" i="20"/>
  <c r="H44" i="20"/>
  <c r="H39" i="20"/>
  <c r="H38" i="20"/>
  <c r="H32" i="20"/>
  <c r="H31" i="20"/>
  <c r="H30" i="20"/>
  <c r="H24" i="20"/>
  <c r="H16" i="20"/>
  <c r="H10" i="20"/>
  <c r="I8" i="10"/>
  <c r="J8" i="10" s="1"/>
  <c r="E9" i="22" s="1"/>
  <c r="R9" i="22" s="1"/>
  <c r="I3" i="10"/>
  <c r="I59" i="10"/>
  <c r="J59" i="10" s="1"/>
  <c r="E60" i="22" s="1"/>
  <c r="I58" i="10"/>
  <c r="J58" i="10" s="1"/>
  <c r="E59" i="22" s="1"/>
  <c r="R59" i="22" s="1"/>
  <c r="I57" i="10"/>
  <c r="J57" i="10" s="1"/>
  <c r="E58" i="22" s="1"/>
  <c r="R58" i="22" s="1"/>
  <c r="I42" i="10"/>
  <c r="J42" i="10" s="1"/>
  <c r="E43" i="22" s="1"/>
  <c r="I25" i="10"/>
  <c r="I34" i="10"/>
  <c r="J34" i="10" s="1"/>
  <c r="E35" i="22" s="1"/>
  <c r="R35" i="22" s="1"/>
  <c r="I65" i="18"/>
  <c r="I35" i="18"/>
  <c r="I20" i="18"/>
  <c r="I4" i="18"/>
  <c r="L89" i="19"/>
  <c r="M89" i="19" s="1"/>
  <c r="L82" i="19"/>
  <c r="M82" i="19" s="1"/>
  <c r="L81" i="19"/>
  <c r="M81" i="19" s="1"/>
  <c r="L70" i="19"/>
  <c r="M70" i="19" s="1"/>
  <c r="L66" i="19"/>
  <c r="L59" i="19"/>
  <c r="M59" i="19" s="1"/>
  <c r="L42" i="19"/>
  <c r="M42" i="19" s="1"/>
  <c r="L32" i="19"/>
  <c r="M32" i="19" s="1"/>
  <c r="L21" i="19"/>
  <c r="M21" i="19" s="1"/>
  <c r="L9" i="19"/>
  <c r="M9" i="19" s="1"/>
  <c r="L7" i="19"/>
  <c r="H84" i="20"/>
  <c r="J83" i="20"/>
  <c r="K83" i="20" s="1"/>
  <c r="H82" i="20"/>
  <c r="H79" i="20"/>
  <c r="H72" i="20"/>
  <c r="H70" i="20"/>
  <c r="H68" i="20"/>
  <c r="H63" i="20"/>
  <c r="J57" i="20"/>
  <c r="H56" i="20"/>
  <c r="H54" i="20"/>
  <c r="H50" i="20"/>
  <c r="H47" i="20"/>
  <c r="J41" i="20"/>
  <c r="H40" i="20"/>
  <c r="H36" i="20"/>
  <c r="H35" i="20"/>
  <c r="H34" i="20"/>
  <c r="H20" i="20"/>
  <c r="J19" i="20"/>
  <c r="H18" i="20"/>
  <c r="H15" i="20"/>
  <c r="H5" i="20"/>
  <c r="H3" i="20"/>
  <c r="K8" i="18"/>
  <c r="K40" i="18"/>
  <c r="K42" i="18"/>
  <c r="K33" i="18"/>
  <c r="K65" i="18"/>
  <c r="K89" i="18"/>
  <c r="H90" i="20"/>
  <c r="J49" i="20"/>
  <c r="J27" i="20"/>
  <c r="K27" i="20" s="1"/>
  <c r="H12" i="20"/>
  <c r="J59" i="20"/>
  <c r="K59" i="20" s="1"/>
  <c r="J35" i="20"/>
  <c r="K35" i="20" s="1"/>
  <c r="J29" i="20"/>
  <c r="K29" i="20" s="1"/>
  <c r="J24" i="20"/>
  <c r="J17" i="20"/>
  <c r="J89" i="20"/>
  <c r="J75" i="20"/>
  <c r="K75" i="20" s="1"/>
  <c r="J53" i="20"/>
  <c r="J33" i="20"/>
  <c r="K33" i="20" s="1"/>
  <c r="J25" i="20"/>
  <c r="H23" i="20"/>
  <c r="J11" i="20"/>
  <c r="K11" i="20" s="1"/>
  <c r="H86" i="20"/>
  <c r="J87" i="10"/>
  <c r="E88" i="22" s="1"/>
  <c r="J22" i="20"/>
  <c r="K8" i="20"/>
  <c r="J87" i="20"/>
  <c r="J51" i="20"/>
  <c r="K51" i="20" s="1"/>
  <c r="J43" i="20"/>
  <c r="K43" i="20" s="1"/>
  <c r="J28" i="20"/>
  <c r="K28" i="20" s="1"/>
  <c r="J23" i="20"/>
  <c r="K23" i="20" s="1"/>
  <c r="J65" i="20"/>
  <c r="K65" i="20" s="1"/>
  <c r="J50" i="20"/>
  <c r="K50" i="20" s="1"/>
  <c r="K24" i="20"/>
  <c r="H76" i="20"/>
  <c r="J67" i="20"/>
  <c r="K67" i="20" s="1"/>
  <c r="H62" i="20"/>
  <c r="H55" i="20"/>
  <c r="H48" i="20"/>
  <c r="J90" i="20"/>
  <c r="K90" i="20" s="1"/>
  <c r="J69" i="20"/>
  <c r="J68" i="20"/>
  <c r="K68" i="20" s="1"/>
  <c r="J63" i="20"/>
  <c r="K63" i="20" s="1"/>
  <c r="J62" i="20"/>
  <c r="J4" i="20"/>
  <c r="L74" i="19"/>
  <c r="M74" i="19" s="1"/>
  <c r="L73" i="19"/>
  <c r="M73" i="19" s="1"/>
  <c r="L65" i="19"/>
  <c r="M65" i="19" s="1"/>
  <c r="L12" i="19"/>
  <c r="L4" i="19"/>
  <c r="M4" i="19" s="1"/>
  <c r="L8" i="19"/>
  <c r="M8" i="19" s="1"/>
  <c r="L84" i="19"/>
  <c r="M84" i="19" s="1"/>
  <c r="L83" i="19"/>
  <c r="M83" i="19" s="1"/>
  <c r="L77" i="19"/>
  <c r="M77" i="19" s="1"/>
  <c r="L76" i="19"/>
  <c r="M76" i="19" s="1"/>
  <c r="L75" i="19"/>
  <c r="M75" i="19" s="1"/>
  <c r="L67" i="19"/>
  <c r="J45" i="19"/>
  <c r="L40" i="19"/>
  <c r="L33" i="19"/>
  <c r="M33" i="19" s="1"/>
  <c r="L30" i="19"/>
  <c r="M30" i="19" s="1"/>
  <c r="L28" i="19"/>
  <c r="M28" i="19" s="1"/>
  <c r="L27" i="19"/>
  <c r="M27" i="19" s="1"/>
  <c r="L20" i="19"/>
  <c r="L17" i="19"/>
  <c r="M17" i="19" s="1"/>
  <c r="L16" i="19"/>
  <c r="M16" i="19" s="1"/>
  <c r="L14" i="19"/>
  <c r="M14" i="19" s="1"/>
  <c r="L5" i="19"/>
  <c r="M5" i="19" s="1"/>
  <c r="L87" i="19"/>
  <c r="M87" i="19" s="1"/>
  <c r="L85" i="19"/>
  <c r="M85" i="19" s="1"/>
  <c r="L79" i="19"/>
  <c r="M79" i="19" s="1"/>
  <c r="L78" i="19"/>
  <c r="L69" i="19"/>
  <c r="M69" i="19" s="1"/>
  <c r="L63" i="19"/>
  <c r="M63" i="19" s="1"/>
  <c r="L50" i="19"/>
  <c r="M50" i="19" s="1"/>
  <c r="J46" i="19"/>
  <c r="L41" i="19"/>
  <c r="M41" i="19" s="1"/>
  <c r="L37" i="19"/>
  <c r="L36" i="19"/>
  <c r="M36" i="19" s="1"/>
  <c r="L34" i="19"/>
  <c r="M34" i="19" s="1"/>
  <c r="J30" i="19"/>
  <c r="L6" i="19"/>
  <c r="M6" i="19" s="1"/>
  <c r="L24" i="19"/>
  <c r="M24" i="19" s="1"/>
  <c r="L22" i="19"/>
  <c r="M22" i="19" s="1"/>
  <c r="J20" i="19"/>
  <c r="J19" i="19"/>
  <c r="J18" i="19"/>
  <c r="J17" i="19"/>
  <c r="J16" i="19"/>
  <c r="J15" i="19"/>
  <c r="L57" i="19"/>
  <c r="M57" i="19" s="1"/>
  <c r="L54" i="19"/>
  <c r="M54" i="19" s="1"/>
  <c r="L53" i="19"/>
  <c r="M53" i="19" s="1"/>
  <c r="L52" i="19"/>
  <c r="M52" i="19" s="1"/>
  <c r="L44" i="19"/>
  <c r="M44" i="19" s="1"/>
  <c r="J42" i="19"/>
  <c r="J38" i="19"/>
  <c r="J23" i="19"/>
  <c r="J22" i="19"/>
  <c r="M7" i="19"/>
  <c r="L58" i="19"/>
  <c r="M58" i="19" s="1"/>
  <c r="K15" i="18"/>
  <c r="K5" i="18"/>
  <c r="K77" i="18"/>
  <c r="L77" i="18" s="1"/>
  <c r="K17" i="18"/>
  <c r="K36" i="10"/>
  <c r="K28" i="10"/>
  <c r="K45" i="10"/>
  <c r="AK91" i="10"/>
  <c r="K46" i="10"/>
  <c r="K61" i="10"/>
  <c r="F91" i="20"/>
  <c r="J58" i="20"/>
  <c r="K58" i="20" s="1"/>
  <c r="J37" i="20"/>
  <c r="J30" i="20"/>
  <c r="K30" i="20" s="1"/>
  <c r="J81" i="20"/>
  <c r="K81" i="20" s="1"/>
  <c r="K69" i="20"/>
  <c r="J66" i="20"/>
  <c r="K66" i="20" s="1"/>
  <c r="J45" i="20"/>
  <c r="K45" i="20" s="1"/>
  <c r="J39" i="20"/>
  <c r="K39" i="20" s="1"/>
  <c r="J38" i="20"/>
  <c r="K38" i="20" s="1"/>
  <c r="H26" i="20"/>
  <c r="J9" i="20"/>
  <c r="K4" i="20"/>
  <c r="J74" i="20"/>
  <c r="K74" i="20" s="1"/>
  <c r="J52" i="20"/>
  <c r="K52" i="20" s="1"/>
  <c r="H51" i="20"/>
  <c r="J47" i="20"/>
  <c r="J10" i="20"/>
  <c r="K10" i="20" s="1"/>
  <c r="G91" i="20"/>
  <c r="J82" i="20"/>
  <c r="J61" i="20"/>
  <c r="K61" i="20" s="1"/>
  <c r="H59" i="20"/>
  <c r="J54" i="20"/>
  <c r="J18" i="20"/>
  <c r="K18" i="20" s="1"/>
  <c r="J64" i="20"/>
  <c r="J77" i="20"/>
  <c r="K77" i="20" s="1"/>
  <c r="J76" i="20"/>
  <c r="K76" i="20" s="1"/>
  <c r="J72" i="20"/>
  <c r="K72" i="20" s="1"/>
  <c r="J71" i="20"/>
  <c r="K71" i="20" s="1"/>
  <c r="J13" i="20"/>
  <c r="K13" i="20" s="1"/>
  <c r="J12" i="20"/>
  <c r="K12" i="20" s="1"/>
  <c r="J6" i="20"/>
  <c r="K6" i="20" s="1"/>
  <c r="K5" i="20"/>
  <c r="J85" i="20"/>
  <c r="K85" i="20" s="1"/>
  <c r="J84" i="20"/>
  <c r="K84" i="20" s="1"/>
  <c r="J80" i="20"/>
  <c r="K80" i="20" s="1"/>
  <c r="J79" i="20"/>
  <c r="K79" i="20" s="1"/>
  <c r="J78" i="20"/>
  <c r="K78" i="20" s="1"/>
  <c r="J42" i="20"/>
  <c r="J20" i="20"/>
  <c r="K20" i="20" s="1"/>
  <c r="J16" i="20"/>
  <c r="J15" i="20"/>
  <c r="K15" i="20" s="1"/>
  <c r="J14" i="20"/>
  <c r="K14" i="20" s="1"/>
  <c r="J57" i="19"/>
  <c r="J58" i="19"/>
  <c r="J5" i="19"/>
  <c r="L47" i="19"/>
  <c r="M47" i="19" s="1"/>
  <c r="J41" i="19"/>
  <c r="J40" i="19"/>
  <c r="J39" i="19"/>
  <c r="J37" i="19"/>
  <c r="J36" i="19"/>
  <c r="J34" i="19"/>
  <c r="J33" i="19"/>
  <c r="M20" i="19"/>
  <c r="M18" i="19"/>
  <c r="J6" i="19"/>
  <c r="J4" i="19"/>
  <c r="M12" i="19"/>
  <c r="L61" i="19"/>
  <c r="M61" i="19" s="1"/>
  <c r="L45" i="19"/>
  <c r="M45" i="19" s="1"/>
  <c r="J24" i="19"/>
  <c r="J56" i="19"/>
  <c r="J63" i="19"/>
  <c r="L80" i="19"/>
  <c r="M80" i="19" s="1"/>
  <c r="L72" i="19"/>
  <c r="M72" i="19" s="1"/>
  <c r="L64" i="19"/>
  <c r="M64" i="19" s="1"/>
  <c r="J60" i="19"/>
  <c r="L48" i="19"/>
  <c r="M48" i="19" s="1"/>
  <c r="J44" i="19"/>
  <c r="L38" i="19"/>
  <c r="M38" i="19" s="1"/>
  <c r="Z91" i="19"/>
  <c r="AD91" i="19"/>
  <c r="L51" i="19"/>
  <c r="M51" i="19" s="1"/>
  <c r="L19" i="19"/>
  <c r="M19" i="19" s="1"/>
  <c r="L15" i="19"/>
  <c r="M15" i="19" s="1"/>
  <c r="J12" i="19"/>
  <c r="L46" i="19"/>
  <c r="M46" i="19" s="1"/>
  <c r="L39" i="19"/>
  <c r="M39" i="19" s="1"/>
  <c r="L35" i="19"/>
  <c r="M35" i="19" s="1"/>
  <c r="L23" i="19"/>
  <c r="M23" i="19" s="1"/>
  <c r="K16" i="18"/>
  <c r="L16" i="18" s="1"/>
  <c r="K24" i="18"/>
  <c r="L24" i="18" s="1"/>
  <c r="K79" i="18"/>
  <c r="K87" i="18"/>
  <c r="L87" i="18" s="1"/>
  <c r="K61" i="18"/>
  <c r="L61" i="18" s="1"/>
  <c r="K50" i="18"/>
  <c r="L65" i="18"/>
  <c r="K34" i="18"/>
  <c r="L34" i="18" s="1"/>
  <c r="I58" i="18"/>
  <c r="I51" i="18"/>
  <c r="I27" i="18"/>
  <c r="P94" i="22"/>
  <c r="B48" i="24" s="1"/>
  <c r="I33" i="22"/>
  <c r="I65" i="22"/>
  <c r="I89" i="22"/>
  <c r="I88" i="22"/>
  <c r="K62" i="10"/>
  <c r="K82" i="10"/>
  <c r="L82" i="10" s="1"/>
  <c r="N82" i="10" s="1"/>
  <c r="AH91" i="10"/>
  <c r="K42" i="10"/>
  <c r="L42" i="10" s="1"/>
  <c r="N42" i="10" s="1"/>
  <c r="K34" i="10"/>
  <c r="L34" i="10" s="1"/>
  <c r="N34" i="10" s="1"/>
  <c r="K16" i="10"/>
  <c r="L16" i="10" s="1"/>
  <c r="N16" i="10" s="1"/>
  <c r="K8" i="10"/>
  <c r="L8" i="10" s="1"/>
  <c r="N8" i="10" s="1"/>
  <c r="K39" i="10"/>
  <c r="AE91" i="10"/>
  <c r="H2" i="10"/>
  <c r="AV2" i="20" s="1"/>
  <c r="AY91" i="10"/>
  <c r="J61" i="10"/>
  <c r="E62" i="22" s="1"/>
  <c r="R62" i="22" s="1"/>
  <c r="I28" i="10"/>
  <c r="J28" i="10" s="1"/>
  <c r="E29" i="22" s="1"/>
  <c r="P91" i="10"/>
  <c r="K59" i="10"/>
  <c r="L59" i="10" s="1"/>
  <c r="N59" i="10" s="1"/>
  <c r="K5" i="10"/>
  <c r="L5" i="10" s="1"/>
  <c r="N5" i="10" s="1"/>
  <c r="K65" i="10"/>
  <c r="L65" i="10" s="1"/>
  <c r="N65" i="10" s="1"/>
  <c r="AB91" i="10"/>
  <c r="AW91" i="10"/>
  <c r="K77" i="10"/>
  <c r="K58" i="10"/>
  <c r="L58" i="10" s="1"/>
  <c r="N58" i="10" s="1"/>
  <c r="K41" i="10"/>
  <c r="AT91" i="10"/>
  <c r="K52" i="10"/>
  <c r="K25" i="10"/>
  <c r="S91" i="10"/>
  <c r="K57" i="10"/>
  <c r="L57" i="10" s="1"/>
  <c r="N57" i="10" s="1"/>
  <c r="K15" i="10"/>
  <c r="K50" i="10"/>
  <c r="L50" i="10" s="1"/>
  <c r="N50" i="10" s="1"/>
  <c r="Y91" i="10"/>
  <c r="K55" i="10"/>
  <c r="AQ91" i="10"/>
  <c r="J37" i="10"/>
  <c r="E38" i="22" s="1"/>
  <c r="R38" i="22" s="1"/>
  <c r="E21" i="22"/>
  <c r="R21" i="22" s="1"/>
  <c r="K72" i="10"/>
  <c r="K20" i="10"/>
  <c r="K84" i="10"/>
  <c r="L84" i="10" s="1"/>
  <c r="N84" i="10" s="1"/>
  <c r="I36" i="10"/>
  <c r="J36" i="10" s="1"/>
  <c r="E37" i="22" s="1"/>
  <c r="R37" i="22" s="1"/>
  <c r="K87" i="10"/>
  <c r="L87" i="10" s="1"/>
  <c r="N87" i="10" s="1"/>
  <c r="K53" i="10"/>
  <c r="K37" i="10"/>
  <c r="L37" i="10" s="1"/>
  <c r="N37" i="10" s="1"/>
  <c r="K11" i="10"/>
  <c r="K3" i="10"/>
  <c r="L3" i="10" s="1"/>
  <c r="N3" i="10" s="1"/>
  <c r="V91" i="10"/>
  <c r="AN91" i="10"/>
  <c r="K54" i="10"/>
  <c r="K80" i="18"/>
  <c r="K64" i="18"/>
  <c r="L64" i="18" s="1"/>
  <c r="L40" i="18"/>
  <c r="L17" i="18"/>
  <c r="K57" i="18"/>
  <c r="L57" i="18" s="1"/>
  <c r="L15" i="18"/>
  <c r="L79" i="18"/>
  <c r="L33" i="18"/>
  <c r="K11" i="18"/>
  <c r="L11" i="18" s="1"/>
  <c r="K75" i="18"/>
  <c r="L75" i="18" s="1"/>
  <c r="K49" i="18"/>
  <c r="L49" i="18" s="1"/>
  <c r="K26" i="18"/>
  <c r="L26" i="18" s="1"/>
  <c r="K7" i="18"/>
  <c r="L7" i="18" s="1"/>
  <c r="I22" i="18"/>
  <c r="I61" i="18"/>
  <c r="L8" i="18"/>
  <c r="K30" i="18"/>
  <c r="L30" i="18" s="1"/>
  <c r="K38" i="18"/>
  <c r="K20" i="18"/>
  <c r="L20" i="18" s="1"/>
  <c r="K27" i="18"/>
  <c r="L27" i="18" s="1"/>
  <c r="K35" i="18"/>
  <c r="L35" i="18" s="1"/>
  <c r="K51" i="18"/>
  <c r="L51" i="18" s="1"/>
  <c r="K59" i="18"/>
  <c r="L59" i="18" s="1"/>
  <c r="K66" i="18"/>
  <c r="L66" i="18" s="1"/>
  <c r="L5" i="18"/>
  <c r="K90" i="18"/>
  <c r="L80" i="18"/>
  <c r="I79" i="18"/>
  <c r="K52" i="18"/>
  <c r="L52" i="18" s="1"/>
  <c r="K36" i="18"/>
  <c r="L36" i="18" s="1"/>
  <c r="K28" i="18"/>
  <c r="L28" i="18" s="1"/>
  <c r="K39" i="18"/>
  <c r="L39" i="18" s="1"/>
  <c r="K47" i="18"/>
  <c r="L47" i="18" s="1"/>
  <c r="L10" i="19"/>
  <c r="M10" i="19" s="1"/>
  <c r="V91" i="19"/>
  <c r="AG91" i="19"/>
  <c r="R91" i="19"/>
  <c r="K76" i="22"/>
  <c r="L76" i="22" s="1"/>
  <c r="D92" i="22"/>
  <c r="K47" i="22"/>
  <c r="I7" i="22"/>
  <c r="K8" i="22"/>
  <c r="K16" i="22"/>
  <c r="L16" i="22" s="1"/>
  <c r="K32" i="22"/>
  <c r="L32" i="22" s="1"/>
  <c r="K2" i="22"/>
  <c r="L2" i="22" s="1"/>
  <c r="K35" i="22"/>
  <c r="L35" i="22" s="1"/>
  <c r="K41" i="22"/>
  <c r="L41" i="22" s="1"/>
  <c r="K57" i="22"/>
  <c r="L57" i="22" s="1"/>
  <c r="K77" i="22"/>
  <c r="L77" i="22" s="1"/>
  <c r="K15" i="22"/>
  <c r="L15" i="22" s="1"/>
  <c r="K27" i="22"/>
  <c r="L27" i="22" s="1"/>
  <c r="K34" i="22"/>
  <c r="L34" i="22" s="1"/>
  <c r="K40" i="22"/>
  <c r="L40" i="22" s="1"/>
  <c r="K61" i="22"/>
  <c r="L61" i="22" s="1"/>
  <c r="K84" i="22"/>
  <c r="L84" i="22" s="1"/>
  <c r="K87" i="22"/>
  <c r="L87" i="22" s="1"/>
  <c r="K90" i="22"/>
  <c r="K9" i="22"/>
  <c r="L9" i="22" s="1"/>
  <c r="K7" i="22"/>
  <c r="L7" i="22" s="1"/>
  <c r="K39" i="22"/>
  <c r="L39" i="22" s="1"/>
  <c r="K42" i="22"/>
  <c r="L42" i="22" s="1"/>
  <c r="K52" i="22"/>
  <c r="L52" i="22" s="1"/>
  <c r="K64" i="22"/>
  <c r="L64" i="22" s="1"/>
  <c r="K65" i="22"/>
  <c r="L65" i="22" s="1"/>
  <c r="K80" i="22"/>
  <c r="L80" i="22" s="1"/>
  <c r="K89" i="22"/>
  <c r="L89" i="22" s="1"/>
  <c r="K22" i="22"/>
  <c r="L22" i="22" s="1"/>
  <c r="G2" i="22"/>
  <c r="I2" i="22" s="1"/>
  <c r="K81" i="22"/>
  <c r="L81" i="22" s="1"/>
  <c r="K88" i="22"/>
  <c r="L88" i="22" s="1"/>
  <c r="K4" i="22"/>
  <c r="L4" i="22" s="1"/>
  <c r="K5" i="22"/>
  <c r="L5" i="22" s="1"/>
  <c r="L8" i="22"/>
  <c r="K29" i="22"/>
  <c r="L29" i="22" s="1"/>
  <c r="K50" i="22"/>
  <c r="L50" i="22" s="1"/>
  <c r="K51" i="22"/>
  <c r="L51" i="22" s="1"/>
  <c r="K62" i="22"/>
  <c r="L62" i="22" s="1"/>
  <c r="K67" i="22"/>
  <c r="L67" i="22" s="1"/>
  <c r="K72" i="22"/>
  <c r="L72" i="22" s="1"/>
  <c r="K79" i="22"/>
  <c r="L79" i="22" s="1"/>
  <c r="L90" i="22"/>
  <c r="K33" i="22"/>
  <c r="L33" i="22" s="1"/>
  <c r="K59" i="22"/>
  <c r="L59" i="22" s="1"/>
  <c r="K3" i="22"/>
  <c r="L3" i="22" s="1"/>
  <c r="K11" i="22"/>
  <c r="L11" i="22" s="1"/>
  <c r="K17" i="22"/>
  <c r="L17" i="22" s="1"/>
  <c r="K24" i="22"/>
  <c r="L24" i="22" s="1"/>
  <c r="K30" i="22"/>
  <c r="L30" i="22" s="1"/>
  <c r="K36" i="22"/>
  <c r="L36" i="22" s="1"/>
  <c r="J10" i="19"/>
  <c r="J70" i="20"/>
  <c r="K70" i="20" s="1"/>
  <c r="K19" i="20"/>
  <c r="J31" i="20"/>
  <c r="K31" i="20" s="1"/>
  <c r="J3" i="20"/>
  <c r="K3" i="20" s="1"/>
  <c r="J36" i="20"/>
  <c r="K36" i="20" s="1"/>
  <c r="H43" i="20"/>
  <c r="J7" i="20"/>
  <c r="K7" i="20" s="1"/>
  <c r="H19" i="20"/>
  <c r="J55" i="20"/>
  <c r="K55" i="20" s="1"/>
  <c r="J32" i="20"/>
  <c r="K32" i="20" s="1"/>
  <c r="J34" i="20"/>
  <c r="K34" i="20" s="1"/>
  <c r="X91" i="20"/>
  <c r="J46" i="20"/>
  <c r="K46" i="20" s="1"/>
  <c r="J40" i="20"/>
  <c r="K40" i="20" s="1"/>
  <c r="J73" i="20"/>
  <c r="K73" i="20" s="1"/>
  <c r="J48" i="20"/>
  <c r="K48" i="20" s="1"/>
  <c r="J86" i="20"/>
  <c r="K86" i="20" s="1"/>
  <c r="J26" i="20"/>
  <c r="K26" i="20" s="1"/>
  <c r="H11" i="20"/>
  <c r="J21" i="20"/>
  <c r="K21" i="20" s="1"/>
  <c r="AF91" i="20"/>
  <c r="J88" i="20"/>
  <c r="K88" i="20" s="1"/>
  <c r="J56" i="20"/>
  <c r="K56" i="20" s="1"/>
  <c r="J44" i="20"/>
  <c r="K44" i="20" s="1"/>
  <c r="P91" i="20"/>
  <c r="AJ91" i="20"/>
  <c r="AB91" i="20"/>
  <c r="J60" i="20"/>
  <c r="K60" i="20" s="1"/>
  <c r="K47" i="20"/>
  <c r="K82" i="20"/>
  <c r="K54" i="20"/>
  <c r="H67" i="20"/>
  <c r="K64" i="20"/>
  <c r="K62" i="20"/>
  <c r="H75" i="20"/>
  <c r="H83" i="20"/>
  <c r="K42" i="20"/>
  <c r="K87" i="20"/>
  <c r="H27" i="20"/>
  <c r="K16" i="20"/>
  <c r="K22" i="20"/>
  <c r="AN91" i="20"/>
  <c r="L90" i="19"/>
  <c r="M90" i="19" s="1"/>
  <c r="L88" i="19"/>
  <c r="M88" i="19" s="1"/>
  <c r="L86" i="19"/>
  <c r="M86" i="19" s="1"/>
  <c r="L60" i="19"/>
  <c r="M60" i="19" s="1"/>
  <c r="L26" i="19"/>
  <c r="M26" i="19" s="1"/>
  <c r="L62" i="19"/>
  <c r="M62" i="19" s="1"/>
  <c r="L68" i="19"/>
  <c r="M68" i="19" s="1"/>
  <c r="L56" i="19"/>
  <c r="M56" i="19" s="1"/>
  <c r="L43" i="19"/>
  <c r="M43" i="19" s="1"/>
  <c r="L55" i="19"/>
  <c r="M55" i="19" s="1"/>
  <c r="L49" i="19"/>
  <c r="M49" i="19" s="1"/>
  <c r="J7" i="19"/>
  <c r="L31" i="19"/>
  <c r="M31" i="19" s="1"/>
  <c r="J25" i="19"/>
  <c r="L25" i="19"/>
  <c r="M25" i="19" s="1"/>
  <c r="L13" i="19"/>
  <c r="M13" i="19" s="1"/>
  <c r="J21" i="19"/>
  <c r="J14" i="19"/>
  <c r="J13" i="19"/>
  <c r="L11" i="19"/>
  <c r="M11" i="19" s="1"/>
  <c r="J11" i="19"/>
  <c r="J9" i="19"/>
  <c r="K69" i="10"/>
  <c r="L69" i="10" s="1"/>
  <c r="N69" i="10" s="1"/>
  <c r="K68" i="10"/>
  <c r="L68" i="10" s="1"/>
  <c r="N68" i="10" s="1"/>
  <c r="K27" i="10"/>
  <c r="K63" i="18"/>
  <c r="L63" i="18" s="1"/>
  <c r="L2" i="19"/>
  <c r="L3" i="19"/>
  <c r="M3" i="19" s="1"/>
  <c r="J3" i="19"/>
  <c r="K53" i="22"/>
  <c r="L53" i="22" s="1"/>
  <c r="K82" i="22"/>
  <c r="L82" i="22" s="1"/>
  <c r="K46" i="22"/>
  <c r="L46" i="22" s="1"/>
  <c r="K18" i="10"/>
  <c r="K55" i="22"/>
  <c r="L55" i="22" s="1"/>
  <c r="K47" i="10"/>
  <c r="L47" i="10" s="1"/>
  <c r="N47" i="10" s="1"/>
  <c r="K64" i="10"/>
  <c r="K67" i="10"/>
  <c r="L67" i="10" s="1"/>
  <c r="N67" i="10" s="1"/>
  <c r="K2" i="10"/>
  <c r="K63" i="10"/>
  <c r="L63" i="10" s="1"/>
  <c r="N63" i="10" s="1"/>
  <c r="K28" i="22"/>
  <c r="L28" i="22" s="1"/>
  <c r="K32" i="18"/>
  <c r="L32" i="18" s="1"/>
  <c r="K20" i="22"/>
  <c r="L20" i="22" s="1"/>
  <c r="K9" i="10"/>
  <c r="L9" i="10" s="1"/>
  <c r="N9" i="10" s="1"/>
  <c r="K79" i="10"/>
  <c r="K81" i="10"/>
  <c r="K45" i="22"/>
  <c r="L45" i="22" s="1"/>
  <c r="K63" i="22"/>
  <c r="L63" i="22" s="1"/>
  <c r="K70" i="10"/>
  <c r="K23" i="22"/>
  <c r="L23" i="22" s="1"/>
  <c r="K60" i="22"/>
  <c r="L60" i="22" s="1"/>
  <c r="K60" i="10"/>
  <c r="K12" i="10"/>
  <c r="L12" i="10" s="1"/>
  <c r="N12" i="10" s="1"/>
  <c r="K29" i="10"/>
  <c r="L29" i="10" s="1"/>
  <c r="N29" i="10" s="1"/>
  <c r="K54" i="22"/>
  <c r="L54" i="22" s="1"/>
  <c r="K66" i="22"/>
  <c r="L66" i="22" s="1"/>
  <c r="K83" i="22"/>
  <c r="L83" i="22" s="1"/>
  <c r="K85" i="10"/>
  <c r="L85" i="10" s="1"/>
  <c r="N85" i="10" s="1"/>
  <c r="K19" i="10"/>
  <c r="L19" i="10" s="1"/>
  <c r="N19" i="10" s="1"/>
  <c r="K4" i="10"/>
  <c r="L4" i="10" s="1"/>
  <c r="N4" i="10" s="1"/>
  <c r="K48" i="10"/>
  <c r="K66" i="10"/>
  <c r="L66" i="10" s="1"/>
  <c r="N66" i="10" s="1"/>
  <c r="K7" i="10"/>
  <c r="K38" i="22"/>
  <c r="L38" i="22" s="1"/>
  <c r="K56" i="22"/>
  <c r="L56" i="22" s="1"/>
  <c r="K74" i="22"/>
  <c r="L74" i="22" s="1"/>
  <c r="K10" i="10"/>
  <c r="K78" i="10"/>
  <c r="K80" i="10"/>
  <c r="L80" i="10" s="1"/>
  <c r="N80" i="10" s="1"/>
  <c r="K23" i="10"/>
  <c r="L23" i="10" s="1"/>
  <c r="N23" i="10" s="1"/>
  <c r="K74" i="10"/>
  <c r="L74" i="10" s="1"/>
  <c r="N74" i="10" s="1"/>
  <c r="K90" i="10"/>
  <c r="L90" i="10" s="1"/>
  <c r="N90" i="10" s="1"/>
  <c r="K2" i="18"/>
  <c r="L2" i="18" s="1"/>
  <c r="K13" i="22"/>
  <c r="L13" i="22" s="1"/>
  <c r="K14" i="22"/>
  <c r="L14" i="22" s="1"/>
  <c r="K21" i="22"/>
  <c r="L21" i="22" s="1"/>
  <c r="K26" i="22"/>
  <c r="L26" i="22" s="1"/>
  <c r="K37" i="22"/>
  <c r="L37" i="22" s="1"/>
  <c r="K43" i="22"/>
  <c r="L43" i="22" s="1"/>
  <c r="K44" i="22"/>
  <c r="L44" i="22" s="1"/>
  <c r="K71" i="22"/>
  <c r="L71" i="22" s="1"/>
  <c r="K26" i="10"/>
  <c r="L26" i="10" s="1"/>
  <c r="N26" i="10" s="1"/>
  <c r="K13" i="10"/>
  <c r="L13" i="10" s="1"/>
  <c r="N13" i="10" s="1"/>
  <c r="K21" i="10"/>
  <c r="L21" i="10" s="1"/>
  <c r="N21" i="10" s="1"/>
  <c r="K38" i="10"/>
  <c r="L38" i="10" s="1"/>
  <c r="N38" i="10" s="1"/>
  <c r="K22" i="10"/>
  <c r="L22" i="10" s="1"/>
  <c r="N22" i="10" s="1"/>
  <c r="K73" i="10"/>
  <c r="K89" i="10"/>
  <c r="L89" i="10" s="1"/>
  <c r="N89" i="10" s="1"/>
  <c r="K75" i="10"/>
  <c r="K83" i="10"/>
  <c r="K71" i="10"/>
  <c r="K6" i="22"/>
  <c r="L6" i="22" s="1"/>
  <c r="K70" i="22"/>
  <c r="L70" i="22" s="1"/>
  <c r="K78" i="22"/>
  <c r="L78" i="22" s="1"/>
  <c r="K86" i="22"/>
  <c r="L86" i="22" s="1"/>
  <c r="K73" i="22"/>
  <c r="L73" i="22" s="1"/>
  <c r="K6" i="10"/>
  <c r="L6" i="10" s="1"/>
  <c r="N6" i="10" s="1"/>
  <c r="K14" i="10"/>
  <c r="L14" i="10" s="1"/>
  <c r="N14" i="10" s="1"/>
  <c r="K31" i="10"/>
  <c r="L31" i="10" s="1"/>
  <c r="N31" i="10" s="1"/>
  <c r="K56" i="10"/>
  <c r="L56" i="10" s="1"/>
  <c r="K88" i="10"/>
  <c r="K33" i="10"/>
  <c r="L33" i="10" s="1"/>
  <c r="N33" i="10" s="1"/>
  <c r="K43" i="10"/>
  <c r="K71" i="18"/>
  <c r="L71" i="18" s="1"/>
  <c r="K19" i="22"/>
  <c r="L19" i="22" s="1"/>
  <c r="K58" i="22"/>
  <c r="L58" i="22" s="1"/>
  <c r="K69" i="22"/>
  <c r="L69" i="22" s="1"/>
  <c r="K85" i="22"/>
  <c r="L85" i="22" s="1"/>
  <c r="K32" i="10"/>
  <c r="L32" i="10" s="1"/>
  <c r="N32" i="10" s="1"/>
  <c r="K40" i="10"/>
  <c r="K44" i="10"/>
  <c r="L44" i="10" s="1"/>
  <c r="N44" i="10" s="1"/>
  <c r="K86" i="10"/>
  <c r="K10" i="22"/>
  <c r="L10" i="22" s="1"/>
  <c r="K12" i="22"/>
  <c r="L12" i="22" s="1"/>
  <c r="K18" i="22"/>
  <c r="L18" i="22" s="1"/>
  <c r="K31" i="22"/>
  <c r="L31" i="22" s="1"/>
  <c r="K48" i="22"/>
  <c r="L48" i="22" s="1"/>
  <c r="K49" i="22"/>
  <c r="L49" i="22" s="1"/>
  <c r="K68" i="22"/>
  <c r="L68" i="22" s="1"/>
  <c r="K24" i="10"/>
  <c r="L24" i="10" s="1"/>
  <c r="N24" i="10" s="1"/>
  <c r="K49" i="10"/>
  <c r="L49" i="10" s="1"/>
  <c r="N49" i="10" s="1"/>
  <c r="K17" i="10"/>
  <c r="L17" i="10" s="1"/>
  <c r="N17" i="10" s="1"/>
  <c r="K35" i="10"/>
  <c r="K51" i="10"/>
  <c r="K76" i="10"/>
  <c r="K30" i="10"/>
  <c r="L30" i="10" s="1"/>
  <c r="N30" i="10" s="1"/>
  <c r="K85" i="18"/>
  <c r="L85" i="18" s="1"/>
  <c r="K25" i="22"/>
  <c r="L25" i="22" s="1"/>
  <c r="K75" i="22"/>
  <c r="L75" i="22" s="1"/>
  <c r="I27" i="22"/>
  <c r="I53" i="22"/>
  <c r="I21" i="22"/>
  <c r="I35" i="22"/>
  <c r="I43" i="22"/>
  <c r="I47" i="22"/>
  <c r="L47" i="22"/>
  <c r="I5" i="22"/>
  <c r="I41" i="22"/>
  <c r="I49" i="22"/>
  <c r="I51" i="22"/>
  <c r="I31" i="22"/>
  <c r="I79" i="22"/>
  <c r="I39" i="22"/>
  <c r="E39" i="20" s="1"/>
  <c r="E39" i="30" s="1"/>
  <c r="Q39" i="30" s="1"/>
  <c r="R39" i="30" s="1"/>
  <c r="U39" i="30" s="1"/>
  <c r="I29" i="22"/>
  <c r="I77" i="22"/>
  <c r="I37" i="22"/>
  <c r="I45" i="22"/>
  <c r="G91" i="10"/>
  <c r="F85" i="18"/>
  <c r="F77" i="18"/>
  <c r="F69" i="18"/>
  <c r="F61" i="18"/>
  <c r="F52" i="18"/>
  <c r="F44" i="18"/>
  <c r="F36" i="18"/>
  <c r="F28" i="18"/>
  <c r="F19" i="18"/>
  <c r="F11" i="18"/>
  <c r="F3" i="18"/>
  <c r="J66" i="10"/>
  <c r="E67" i="22" s="1"/>
  <c r="R67" i="22" s="1"/>
  <c r="F84" i="18"/>
  <c r="F76" i="18"/>
  <c r="F68" i="18"/>
  <c r="F60" i="18"/>
  <c r="F51" i="18"/>
  <c r="F43" i="18"/>
  <c r="F35" i="18"/>
  <c r="F27" i="18"/>
  <c r="F18" i="18"/>
  <c r="F10" i="18"/>
  <c r="F91" i="10"/>
  <c r="F2" i="22"/>
  <c r="D91" i="10"/>
  <c r="H53" i="10"/>
  <c r="L53" i="10" s="1"/>
  <c r="N53" i="10" s="1"/>
  <c r="J29" i="10"/>
  <c r="E30" i="22" s="1"/>
  <c r="R30" i="22" s="1"/>
  <c r="J12" i="10"/>
  <c r="E13" i="22" s="1"/>
  <c r="R13" i="22" s="1"/>
  <c r="F55" i="18"/>
  <c r="F83" i="18"/>
  <c r="F75" i="18"/>
  <c r="F67" i="18"/>
  <c r="F59" i="18"/>
  <c r="F50" i="18"/>
  <c r="F42" i="18"/>
  <c r="F34" i="18"/>
  <c r="F26" i="18"/>
  <c r="F17" i="18"/>
  <c r="F9" i="18"/>
  <c r="F25" i="18"/>
  <c r="I77" i="10"/>
  <c r="J77" i="10" s="1"/>
  <c r="E78" i="22" s="1"/>
  <c r="R78" i="22" s="1"/>
  <c r="I52" i="10"/>
  <c r="J52" i="10" s="1"/>
  <c r="E53" i="22" s="1"/>
  <c r="R53" i="22" s="1"/>
  <c r="J44" i="10"/>
  <c r="E45" i="22" s="1"/>
  <c r="R45" i="22" s="1"/>
  <c r="I19" i="10"/>
  <c r="J19" i="10" s="1"/>
  <c r="F90" i="18"/>
  <c r="F82" i="18"/>
  <c r="F74" i="18"/>
  <c r="F66" i="18"/>
  <c r="G66" i="19" s="1"/>
  <c r="F58" i="18"/>
  <c r="F49" i="18"/>
  <c r="F41" i="18"/>
  <c r="F33" i="18"/>
  <c r="F24" i="18"/>
  <c r="F16" i="18"/>
  <c r="F8" i="18"/>
  <c r="I90" i="10"/>
  <c r="J90" i="10" s="1"/>
  <c r="E8" i="22" s="1"/>
  <c r="R8" i="22" s="1"/>
  <c r="I5" i="10"/>
  <c r="J5" i="10" s="1"/>
  <c r="E5" i="22" s="1"/>
  <c r="R5" i="22" s="1"/>
  <c r="F89" i="18"/>
  <c r="F81" i="18"/>
  <c r="F73" i="18"/>
  <c r="F65" i="18"/>
  <c r="G65" i="19" s="1"/>
  <c r="F57" i="18"/>
  <c r="F48" i="18"/>
  <c r="F40" i="18"/>
  <c r="F32" i="18"/>
  <c r="F23" i="18"/>
  <c r="F15" i="18"/>
  <c r="F7" i="18"/>
  <c r="J22" i="10"/>
  <c r="E23" i="22" s="1"/>
  <c r="R23" i="22" s="1"/>
  <c r="I4" i="10"/>
  <c r="J4" i="10" s="1"/>
  <c r="E4" i="22" s="1"/>
  <c r="R4" i="22" s="1"/>
  <c r="F88" i="18"/>
  <c r="G88" i="19" s="1"/>
  <c r="F80" i="18"/>
  <c r="F72" i="18"/>
  <c r="F64" i="18"/>
  <c r="F56" i="18"/>
  <c r="F47" i="18"/>
  <c r="G47" i="19" s="1"/>
  <c r="F39" i="18"/>
  <c r="F31" i="18"/>
  <c r="F22" i="18"/>
  <c r="F14" i="18"/>
  <c r="G14" i="19" s="1"/>
  <c r="F6" i="18"/>
  <c r="I24" i="10"/>
  <c r="J24" i="10" s="1"/>
  <c r="F87" i="18"/>
  <c r="F79" i="18"/>
  <c r="F71" i="18"/>
  <c r="F63" i="18"/>
  <c r="F54" i="18"/>
  <c r="F46" i="18"/>
  <c r="G46" i="19" s="1"/>
  <c r="F38" i="18"/>
  <c r="F30" i="18"/>
  <c r="F21" i="18"/>
  <c r="F13" i="18"/>
  <c r="F5" i="18"/>
  <c r="J82" i="10"/>
  <c r="E83" i="22" s="1"/>
  <c r="R83" i="22" s="1"/>
  <c r="I65" i="10"/>
  <c r="J65" i="10" s="1"/>
  <c r="E66" i="22" s="1"/>
  <c r="R66" i="22" s="1"/>
  <c r="J23" i="10"/>
  <c r="E24" i="22" s="1"/>
  <c r="R24" i="22" s="1"/>
  <c r="I15" i="10"/>
  <c r="J15" i="10" s="1"/>
  <c r="E16" i="22" s="1"/>
  <c r="R16" i="22" s="1"/>
  <c r="F86" i="18"/>
  <c r="F78" i="18"/>
  <c r="G78" i="19" s="1"/>
  <c r="F70" i="18"/>
  <c r="F62" i="18"/>
  <c r="F53" i="18"/>
  <c r="F45" i="18"/>
  <c r="F37" i="18"/>
  <c r="G37" i="19" s="1"/>
  <c r="F29" i="18"/>
  <c r="F20" i="18"/>
  <c r="F12" i="18"/>
  <c r="G12" i="19" s="1"/>
  <c r="F4" i="18"/>
  <c r="I18" i="18"/>
  <c r="I17" i="18"/>
  <c r="I10" i="18"/>
  <c r="I62" i="18"/>
  <c r="I90" i="18"/>
  <c r="L90" i="18"/>
  <c r="I82" i="18"/>
  <c r="I74" i="18"/>
  <c r="I69" i="18"/>
  <c r="I87" i="18"/>
  <c r="I50" i="18"/>
  <c r="L50" i="18"/>
  <c r="I42" i="18"/>
  <c r="L42" i="18"/>
  <c r="I34" i="18"/>
  <c r="I26" i="18"/>
  <c r="I60" i="18"/>
  <c r="I14" i="18"/>
  <c r="I6" i="18"/>
  <c r="I5" i="18"/>
  <c r="I86" i="18"/>
  <c r="I78" i="18"/>
  <c r="I70" i="18"/>
  <c r="I89" i="18"/>
  <c r="L89" i="18"/>
  <c r="I73" i="18"/>
  <c r="I12" i="18"/>
  <c r="I54" i="18"/>
  <c r="I46" i="18"/>
  <c r="I38" i="18"/>
  <c r="L38" i="18"/>
  <c r="I30" i="18"/>
  <c r="K83" i="18"/>
  <c r="L83" i="18" s="1"/>
  <c r="I83" i="18"/>
  <c r="K82" i="18"/>
  <c r="L82" i="18" s="1"/>
  <c r="K81" i="18"/>
  <c r="L81" i="18" s="1"/>
  <c r="K69" i="18"/>
  <c r="L69" i="18" s="1"/>
  <c r="I75" i="18"/>
  <c r="K74" i="18"/>
  <c r="L74" i="18" s="1"/>
  <c r="K67" i="18"/>
  <c r="L67" i="18" s="1"/>
  <c r="K73" i="18"/>
  <c r="L73" i="18" s="1"/>
  <c r="I71" i="18"/>
  <c r="I67" i="18"/>
  <c r="I63" i="18"/>
  <c r="K60" i="18"/>
  <c r="L60" i="18" s="1"/>
  <c r="I57" i="18"/>
  <c r="K56" i="18"/>
  <c r="L56" i="18" s="1"/>
  <c r="K48" i="18"/>
  <c r="L48" i="18" s="1"/>
  <c r="I55" i="18"/>
  <c r="K46" i="18"/>
  <c r="L46" i="18" s="1"/>
  <c r="K43" i="18"/>
  <c r="L43" i="18" s="1"/>
  <c r="K54" i="18"/>
  <c r="L54" i="18" s="1"/>
  <c r="I49" i="18"/>
  <c r="K44" i="18"/>
  <c r="L44" i="18" s="1"/>
  <c r="I43" i="18"/>
  <c r="K41" i="18"/>
  <c r="L41" i="18" s="1"/>
  <c r="I41" i="18"/>
  <c r="K21" i="18"/>
  <c r="L21" i="18" s="1"/>
  <c r="K31" i="18"/>
  <c r="L31" i="18" s="1"/>
  <c r="I31" i="18"/>
  <c r="Q91" i="18"/>
  <c r="K23" i="18"/>
  <c r="L23" i="18" s="1"/>
  <c r="I25" i="18"/>
  <c r="I21" i="18"/>
  <c r="AG91" i="18"/>
  <c r="K19" i="18"/>
  <c r="L19" i="18" s="1"/>
  <c r="AO91" i="18"/>
  <c r="K9" i="18"/>
  <c r="L9" i="18" s="1"/>
  <c r="AS91" i="18"/>
  <c r="K13" i="18"/>
  <c r="L13" i="18" s="1"/>
  <c r="Y91" i="18"/>
  <c r="I13" i="18"/>
  <c r="K12" i="18"/>
  <c r="L12" i="18" s="1"/>
  <c r="I9" i="18"/>
  <c r="K3" i="18"/>
  <c r="L3" i="18" s="1"/>
  <c r="AW91" i="18"/>
  <c r="BA91" i="18"/>
  <c r="H65" i="20"/>
  <c r="K49" i="20"/>
  <c r="H49" i="20"/>
  <c r="H33" i="20"/>
  <c r="K17" i="20"/>
  <c r="H17" i="20"/>
  <c r="H81" i="20"/>
  <c r="K37" i="20"/>
  <c r="K89" i="20"/>
  <c r="H89" i="20"/>
  <c r="K57" i="20"/>
  <c r="H57" i="20"/>
  <c r="K41" i="20"/>
  <c r="H41" i="20"/>
  <c r="K25" i="20"/>
  <c r="H25" i="20"/>
  <c r="K9" i="20"/>
  <c r="H9" i="20"/>
  <c r="H73" i="20"/>
  <c r="H8" i="20"/>
  <c r="K53" i="20"/>
  <c r="H4" i="20"/>
  <c r="H13" i="20"/>
  <c r="H21" i="20"/>
  <c r="H29" i="20"/>
  <c r="H37" i="20"/>
  <c r="H45" i="20"/>
  <c r="H53" i="20"/>
  <c r="H61" i="20"/>
  <c r="H69" i="20"/>
  <c r="H77" i="20"/>
  <c r="H85" i="20"/>
  <c r="T91" i="20"/>
  <c r="J2" i="20"/>
  <c r="J89" i="19"/>
  <c r="J81" i="19"/>
  <c r="J73" i="19"/>
  <c r="J65" i="19"/>
  <c r="J48" i="19"/>
  <c r="J90" i="19"/>
  <c r="J82" i="19"/>
  <c r="J74" i="19"/>
  <c r="M66" i="19"/>
  <c r="J66" i="19"/>
  <c r="J49" i="19"/>
  <c r="J8" i="19"/>
  <c r="J83" i="19"/>
  <c r="J75" i="19"/>
  <c r="M67" i="19"/>
  <c r="J67" i="19"/>
  <c r="J50" i="19"/>
  <c r="J84" i="19"/>
  <c r="J76" i="19"/>
  <c r="J68" i="19"/>
  <c r="J51" i="19"/>
  <c r="J85" i="19"/>
  <c r="J77" i="19"/>
  <c r="J69" i="19"/>
  <c r="J52" i="19"/>
  <c r="J86" i="19"/>
  <c r="J78" i="19"/>
  <c r="M78" i="19"/>
  <c r="J70" i="19"/>
  <c r="J53" i="19"/>
  <c r="J87" i="19"/>
  <c r="J79" i="19"/>
  <c r="J71" i="19"/>
  <c r="J54" i="19"/>
  <c r="J88" i="19"/>
  <c r="J80" i="19"/>
  <c r="J72" i="19"/>
  <c r="J64" i="19"/>
  <c r="J47" i="19"/>
  <c r="M40" i="19"/>
  <c r="J59" i="19"/>
  <c r="J27" i="19"/>
  <c r="J35" i="19"/>
  <c r="J43" i="19"/>
  <c r="M37" i="19"/>
  <c r="M29" i="19"/>
  <c r="I45" i="18"/>
  <c r="I16" i="18"/>
  <c r="I53" i="18"/>
  <c r="G91" i="18"/>
  <c r="I77" i="18"/>
  <c r="H91" i="18"/>
  <c r="B10" i="24" s="1"/>
  <c r="I66" i="18"/>
  <c r="BE91" i="18"/>
  <c r="BL91" i="18"/>
  <c r="I85" i="18"/>
  <c r="I29" i="18"/>
  <c r="E29" i="20" s="1"/>
  <c r="E29" i="30" s="1"/>
  <c r="Q29" i="30" s="1"/>
  <c r="I40" i="18"/>
  <c r="I37" i="18"/>
  <c r="I44" i="18"/>
  <c r="I28" i="18"/>
  <c r="K55" i="18"/>
  <c r="L55" i="18" s="1"/>
  <c r="K4" i="18"/>
  <c r="L4" i="18" s="1"/>
  <c r="AC91" i="18"/>
  <c r="K68" i="18"/>
  <c r="L68" i="18" s="1"/>
  <c r="K76" i="18"/>
  <c r="L76" i="18" s="1"/>
  <c r="K84" i="18"/>
  <c r="L84" i="18" s="1"/>
  <c r="AK91" i="18"/>
  <c r="K10" i="18"/>
  <c r="L10" i="18" s="1"/>
  <c r="K18" i="18"/>
  <c r="L18" i="18" s="1"/>
  <c r="K58" i="18"/>
  <c r="L58" i="18" s="1"/>
  <c r="BI91" i="18"/>
  <c r="I80" i="18"/>
  <c r="I64" i="18"/>
  <c r="K25" i="18"/>
  <c r="L25" i="18" s="1"/>
  <c r="I19" i="18"/>
  <c r="I3" i="18"/>
  <c r="I56" i="18"/>
  <c r="I48" i="18"/>
  <c r="I32" i="18"/>
  <c r="I84" i="18"/>
  <c r="I68" i="18"/>
  <c r="I23" i="18"/>
  <c r="I7" i="18"/>
  <c r="I52" i="18"/>
  <c r="I36" i="18"/>
  <c r="U91" i="18"/>
  <c r="I88" i="18"/>
  <c r="I72" i="18"/>
  <c r="I59" i="18"/>
  <c r="I11" i="18"/>
  <c r="I81" i="18"/>
  <c r="K88" i="18"/>
  <c r="L88" i="18" s="1"/>
  <c r="I76" i="18"/>
  <c r="K72" i="18"/>
  <c r="L72" i="18" s="1"/>
  <c r="I15" i="18"/>
  <c r="K6" i="18"/>
  <c r="L6" i="18" s="1"/>
  <c r="K14" i="18"/>
  <c r="L14" i="18" s="1"/>
  <c r="K22" i="18"/>
  <c r="L22" i="18" s="1"/>
  <c r="K62" i="18"/>
  <c r="L62" i="18" s="1"/>
  <c r="K70" i="18"/>
  <c r="L70" i="18" s="1"/>
  <c r="K78" i="18"/>
  <c r="L78" i="18" s="1"/>
  <c r="K86" i="18"/>
  <c r="L86" i="18" s="1"/>
  <c r="K29" i="18"/>
  <c r="L29" i="18" s="1"/>
  <c r="K37" i="18"/>
  <c r="L37" i="18" s="1"/>
  <c r="K45" i="18"/>
  <c r="L45" i="18" s="1"/>
  <c r="K53" i="18"/>
  <c r="L53" i="18" s="1"/>
  <c r="H86" i="10"/>
  <c r="AV86" i="20" s="1"/>
  <c r="BL86" i="30" s="1"/>
  <c r="BL86" i="26" s="1"/>
  <c r="BL86" i="32" s="1"/>
  <c r="J84" i="10"/>
  <c r="E85" i="22" s="1"/>
  <c r="R85" i="22" s="1"/>
  <c r="H83" i="10"/>
  <c r="AV83" i="20" s="1"/>
  <c r="BL83" i="30" s="1"/>
  <c r="BL83" i="26" s="1"/>
  <c r="BL83" i="32" s="1"/>
  <c r="H81" i="10"/>
  <c r="AV81" i="20" s="1"/>
  <c r="BL81" i="30" s="1"/>
  <c r="BL81" i="26" s="1"/>
  <c r="BL81" i="32" s="1"/>
  <c r="H76" i="10"/>
  <c r="AV76" i="20" s="1"/>
  <c r="BL76" i="30" s="1"/>
  <c r="BL76" i="26" s="1"/>
  <c r="BL76" i="32" s="1"/>
  <c r="H70" i="10"/>
  <c r="AV70" i="20" s="1"/>
  <c r="BL70" i="30" s="1"/>
  <c r="BL70" i="26" s="1"/>
  <c r="BL70" i="32" s="1"/>
  <c r="H64" i="10"/>
  <c r="AV64" i="20" s="1"/>
  <c r="BL64" i="30" s="1"/>
  <c r="BL64" i="26" s="1"/>
  <c r="BL64" i="32" s="1"/>
  <c r="H62" i="10"/>
  <c r="AV62" i="20" s="1"/>
  <c r="BL62" i="30" s="1"/>
  <c r="BL62" i="26" s="1"/>
  <c r="BL62" i="32" s="1"/>
  <c r="H60" i="10"/>
  <c r="AV60" i="20" s="1"/>
  <c r="BL60" i="30" s="1"/>
  <c r="BL60" i="26" s="1"/>
  <c r="BL60" i="32" s="1"/>
  <c r="I55" i="10"/>
  <c r="J55" i="10" s="1"/>
  <c r="E56" i="22" s="1"/>
  <c r="R56" i="22" s="1"/>
  <c r="H51" i="10"/>
  <c r="AV51" i="20" s="1"/>
  <c r="BL51" i="30" s="1"/>
  <c r="BL51" i="26" s="1"/>
  <c r="BL51" i="32" s="1"/>
  <c r="H48" i="10"/>
  <c r="AV48" i="20" s="1"/>
  <c r="BL48" i="30" s="1"/>
  <c r="BL48" i="26" s="1"/>
  <c r="BL48" i="32" s="1"/>
  <c r="H45" i="10"/>
  <c r="AV45" i="20" s="1"/>
  <c r="BL45" i="30" s="1"/>
  <c r="BL45" i="26" s="1"/>
  <c r="BL45" i="32" s="1"/>
  <c r="H35" i="10"/>
  <c r="AV35" i="20" s="1"/>
  <c r="BL35" i="30" s="1"/>
  <c r="BL35" i="26" s="1"/>
  <c r="BL35" i="32" s="1"/>
  <c r="H18" i="10"/>
  <c r="AV18" i="20" s="1"/>
  <c r="BL18" i="30" s="1"/>
  <c r="BL18" i="26" s="1"/>
  <c r="BL18" i="32" s="1"/>
  <c r="I17" i="10"/>
  <c r="J17" i="10" s="1"/>
  <c r="E18" i="22" s="1"/>
  <c r="R18" i="22" s="1"/>
  <c r="I12" i="22"/>
  <c r="H10" i="10"/>
  <c r="AV10" i="20" s="1"/>
  <c r="BL10" i="30" s="1"/>
  <c r="BL10" i="26" s="1"/>
  <c r="BL10" i="32" s="1"/>
  <c r="I9" i="22"/>
  <c r="I9" i="10"/>
  <c r="J9" i="10" s="1"/>
  <c r="E10" i="22" s="1"/>
  <c r="R10" i="22" s="1"/>
  <c r="H7" i="10"/>
  <c r="AV7" i="20" s="1"/>
  <c r="BL7" i="30" s="1"/>
  <c r="BL7" i="26" s="1"/>
  <c r="BL7" i="32" s="1"/>
  <c r="H88" i="10"/>
  <c r="AV88" i="20" s="1"/>
  <c r="BL88" i="30" s="1"/>
  <c r="BL88" i="26" s="1"/>
  <c r="BL88" i="32" s="1"/>
  <c r="I87" i="22"/>
  <c r="I86" i="22"/>
  <c r="I85" i="22"/>
  <c r="I84" i="22"/>
  <c r="I83" i="22"/>
  <c r="I82" i="22"/>
  <c r="I81" i="22"/>
  <c r="I80" i="22"/>
  <c r="H79" i="10"/>
  <c r="AV79" i="20" s="1"/>
  <c r="BL79" i="30" s="1"/>
  <c r="BL79" i="26" s="1"/>
  <c r="BL79" i="32" s="1"/>
  <c r="H78" i="10"/>
  <c r="AV78" i="20" s="1"/>
  <c r="BL78" i="30" s="1"/>
  <c r="BL78" i="26" s="1"/>
  <c r="BL78" i="32" s="1"/>
  <c r="I76" i="22"/>
  <c r="I75" i="22"/>
  <c r="H75" i="10"/>
  <c r="AV75" i="20" s="1"/>
  <c r="BL75" i="30" s="1"/>
  <c r="BL75" i="26" s="1"/>
  <c r="BL75" i="32" s="1"/>
  <c r="I73" i="22"/>
  <c r="H73" i="10"/>
  <c r="AV73" i="20" s="1"/>
  <c r="BL73" i="30" s="1"/>
  <c r="BL73" i="26" s="1"/>
  <c r="BL73" i="32" s="1"/>
  <c r="I72" i="22"/>
  <c r="I71" i="22"/>
  <c r="H71" i="10"/>
  <c r="AV71" i="20" s="1"/>
  <c r="BL71" i="30" s="1"/>
  <c r="BL71" i="26" s="1"/>
  <c r="BL71" i="32" s="1"/>
  <c r="I70" i="22"/>
  <c r="I69" i="22"/>
  <c r="I68" i="22"/>
  <c r="I67" i="22"/>
  <c r="I66" i="22"/>
  <c r="I64" i="22"/>
  <c r="I63" i="22"/>
  <c r="I61" i="22"/>
  <c r="I60" i="22"/>
  <c r="I59" i="22"/>
  <c r="I57" i="22"/>
  <c r="I56" i="22"/>
  <c r="I55" i="22"/>
  <c r="I52" i="22"/>
  <c r="H43" i="10"/>
  <c r="AV43" i="20" s="1"/>
  <c r="BL43" i="30" s="1"/>
  <c r="BL43" i="26" s="1"/>
  <c r="BL43" i="32" s="1"/>
  <c r="H40" i="10"/>
  <c r="AV40" i="20" s="1"/>
  <c r="BL40" i="30" s="1"/>
  <c r="BL40" i="26" s="1"/>
  <c r="BL40" i="32" s="1"/>
  <c r="I28" i="22"/>
  <c r="H27" i="10"/>
  <c r="AV27" i="20" s="1"/>
  <c r="BL27" i="30" s="1"/>
  <c r="BL27" i="26" s="1"/>
  <c r="BL27" i="32" s="1"/>
  <c r="I25" i="22"/>
  <c r="I23" i="22"/>
  <c r="I22" i="22"/>
  <c r="BA92" i="22"/>
  <c r="I19" i="22"/>
  <c r="Y92" i="22"/>
  <c r="I18" i="22"/>
  <c r="AS92" i="22"/>
  <c r="U92" i="22"/>
  <c r="I16" i="22"/>
  <c r="AG92" i="22"/>
  <c r="I15" i="22"/>
  <c r="I14" i="22"/>
  <c r="BI92" i="22"/>
  <c r="AC92" i="22"/>
  <c r="I13" i="22"/>
  <c r="BE92" i="22"/>
  <c r="AO92" i="22"/>
  <c r="I11" i="22"/>
  <c r="AK92" i="22"/>
  <c r="Q92" i="22"/>
  <c r="I10" i="22"/>
  <c r="AW92" i="22"/>
  <c r="I6" i="22"/>
  <c r="I3" i="22"/>
  <c r="R43" i="22"/>
  <c r="R60" i="22"/>
  <c r="R17" i="22"/>
  <c r="R88" i="22"/>
  <c r="I34" i="22"/>
  <c r="I38" i="22"/>
  <c r="I42" i="22"/>
  <c r="I46" i="22"/>
  <c r="H92" i="22"/>
  <c r="B9" i="24" s="1"/>
  <c r="I8" i="22"/>
  <c r="I32" i="22"/>
  <c r="I50" i="22"/>
  <c r="I78" i="22"/>
  <c r="I30" i="22"/>
  <c r="I4" i="22"/>
  <c r="I36" i="22"/>
  <c r="I40" i="22"/>
  <c r="I44" i="22"/>
  <c r="I48" i="22"/>
  <c r="I54" i="22"/>
  <c r="I74" i="22"/>
  <c r="I24" i="22"/>
  <c r="I62" i="22"/>
  <c r="I20" i="22"/>
  <c r="I26" i="22"/>
  <c r="I58" i="22"/>
  <c r="I90" i="22"/>
  <c r="G92" i="22"/>
  <c r="I17" i="22"/>
  <c r="BL92" i="22"/>
  <c r="S9" i="22"/>
  <c r="V9" i="22" s="1"/>
  <c r="J89" i="10"/>
  <c r="E90" i="22" s="1"/>
  <c r="R90" i="22" s="1"/>
  <c r="I80" i="10"/>
  <c r="J80" i="10" s="1"/>
  <c r="E81" i="22" s="1"/>
  <c r="J74" i="10"/>
  <c r="E75" i="22" s="1"/>
  <c r="R75" i="22" s="1"/>
  <c r="J67" i="10"/>
  <c r="E68" i="22" s="1"/>
  <c r="J50" i="10"/>
  <c r="E51" i="22" s="1"/>
  <c r="I49" i="10"/>
  <c r="J49" i="10" s="1"/>
  <c r="E50" i="22" s="1"/>
  <c r="I47" i="10"/>
  <c r="J47" i="10" s="1"/>
  <c r="E48" i="22" s="1"/>
  <c r="L41" i="10"/>
  <c r="N41" i="10" s="1"/>
  <c r="J41" i="10"/>
  <c r="E42" i="22" s="1"/>
  <c r="S35" i="22"/>
  <c r="J33" i="10"/>
  <c r="E34" i="22" s="1"/>
  <c r="I31" i="10"/>
  <c r="J31" i="10" s="1"/>
  <c r="E32" i="22" s="1"/>
  <c r="I26" i="10"/>
  <c r="J26" i="10" s="1"/>
  <c r="E27" i="22" s="1"/>
  <c r="R27" i="22" s="1"/>
  <c r="J3" i="10"/>
  <c r="E3" i="22" s="1"/>
  <c r="R3" i="22" s="1"/>
  <c r="J72" i="10"/>
  <c r="E73" i="22" s="1"/>
  <c r="R73" i="22" s="1"/>
  <c r="L46" i="10"/>
  <c r="N46" i="10" s="1"/>
  <c r="I6" i="10"/>
  <c r="J6" i="10" s="1"/>
  <c r="E6" i="22" s="1"/>
  <c r="R6" i="22" s="1"/>
  <c r="I85" i="10"/>
  <c r="J85" i="10" s="1"/>
  <c r="E86" i="22" s="1"/>
  <c r="R86" i="22" s="1"/>
  <c r="L77" i="10"/>
  <c r="N77" i="10" s="1"/>
  <c r="J69" i="10"/>
  <c r="E70" i="22" s="1"/>
  <c r="R70" i="22" s="1"/>
  <c r="L61" i="10"/>
  <c r="N61" i="10" s="1"/>
  <c r="L52" i="10"/>
  <c r="N52" i="10" s="1"/>
  <c r="L36" i="10"/>
  <c r="N36" i="10" s="1"/>
  <c r="L28" i="10"/>
  <c r="N28" i="10" s="1"/>
  <c r="L11" i="10"/>
  <c r="N11" i="10" s="1"/>
  <c r="J11" i="10"/>
  <c r="E12" i="22" s="1"/>
  <c r="R12" i="22" s="1"/>
  <c r="I32" i="10"/>
  <c r="J32" i="10" s="1"/>
  <c r="E33" i="22" s="1"/>
  <c r="R33" i="22" s="1"/>
  <c r="S58" i="22"/>
  <c r="V58" i="22" s="1"/>
  <c r="S59" i="22"/>
  <c r="V59" i="22" s="1"/>
  <c r="I54" i="10"/>
  <c r="J54" i="10" s="1"/>
  <c r="L54" i="10"/>
  <c r="N54" i="10" s="1"/>
  <c r="I14" i="10"/>
  <c r="J14" i="10" s="1"/>
  <c r="E15" i="22" s="1"/>
  <c r="R15" i="22" s="1"/>
  <c r="J39" i="10"/>
  <c r="E40" i="22" s="1"/>
  <c r="R40" i="22" s="1"/>
  <c r="L39" i="10"/>
  <c r="N39" i="10" s="1"/>
  <c r="I13" i="10"/>
  <c r="J13" i="10" s="1"/>
  <c r="E14" i="22" s="1"/>
  <c r="R14" i="22" s="1"/>
  <c r="L72" i="10"/>
  <c r="N72" i="10" s="1"/>
  <c r="I21" i="10"/>
  <c r="J21" i="10" s="1"/>
  <c r="E22" i="22" s="1"/>
  <c r="R22" i="22" s="1"/>
  <c r="L20" i="10"/>
  <c r="N20" i="10" s="1"/>
  <c r="I68" i="10"/>
  <c r="J68" i="10" s="1"/>
  <c r="E69" i="22" s="1"/>
  <c r="R69" i="22" s="1"/>
  <c r="I56" i="10"/>
  <c r="J56" i="10" s="1"/>
  <c r="E57" i="22" s="1"/>
  <c r="R57" i="22" s="1"/>
  <c r="J30" i="10"/>
  <c r="E31" i="22" s="1"/>
  <c r="R31" i="22" s="1"/>
  <c r="L15" i="10"/>
  <c r="N15" i="10" s="1"/>
  <c r="I38" i="10"/>
  <c r="J38" i="10" s="1"/>
  <c r="E39" i="22" s="1"/>
  <c r="R39" i="22" s="1"/>
  <c r="L25" i="10"/>
  <c r="N25" i="10" s="1"/>
  <c r="J25" i="10"/>
  <c r="AX90" i="20" l="1"/>
  <c r="AX26" i="20"/>
  <c r="AX30" i="20"/>
  <c r="H91" i="19"/>
  <c r="AX22" i="20"/>
  <c r="AX77" i="20"/>
  <c r="E41" i="20"/>
  <c r="E41" i="30" s="1"/>
  <c r="Q41" i="30" s="1"/>
  <c r="R41" i="30" s="1"/>
  <c r="U41" i="30" s="1"/>
  <c r="AX23" i="20"/>
  <c r="E77" i="20"/>
  <c r="E77" i="30" s="1"/>
  <c r="Q77" i="30" s="1"/>
  <c r="R77" i="30" s="1"/>
  <c r="U77" i="30" s="1"/>
  <c r="V77" i="30" s="1"/>
  <c r="Y77" i="30" s="1"/>
  <c r="AX21" i="20"/>
  <c r="AX63" i="20"/>
  <c r="E8" i="20"/>
  <c r="E8" i="30" s="1"/>
  <c r="Q8" i="30" s="1"/>
  <c r="R8" i="30" s="1"/>
  <c r="AX29" i="20"/>
  <c r="AX69" i="20"/>
  <c r="AX65" i="20"/>
  <c r="AX89" i="20"/>
  <c r="AX41" i="20"/>
  <c r="AX38" i="20"/>
  <c r="AX49" i="20"/>
  <c r="AX66" i="20"/>
  <c r="E24" i="20"/>
  <c r="E24" i="30" s="1"/>
  <c r="Q24" i="30" s="1"/>
  <c r="R24" i="30" s="1"/>
  <c r="U24" i="30" s="1"/>
  <c r="AX14" i="20"/>
  <c r="AX50" i="20"/>
  <c r="AX56" i="20"/>
  <c r="AX80" i="20"/>
  <c r="AX36" i="20"/>
  <c r="AX12" i="20"/>
  <c r="E33" i="20"/>
  <c r="E33" i="30" s="1"/>
  <c r="Q33" i="30" s="1"/>
  <c r="R33" i="30" s="1"/>
  <c r="AX15" i="20"/>
  <c r="K14" i="7"/>
  <c r="I14" i="7"/>
  <c r="E5" i="20"/>
  <c r="E5" i="30" s="1"/>
  <c r="Q5" i="30" s="1"/>
  <c r="R5" i="30" s="1"/>
  <c r="AX24" i="20"/>
  <c r="E37" i="20"/>
  <c r="E37" i="30" s="1"/>
  <c r="Q37" i="30" s="1"/>
  <c r="R37" i="30" s="1"/>
  <c r="AX33" i="20"/>
  <c r="R29" i="30"/>
  <c r="U29" i="30" s="1"/>
  <c r="V29" i="30" s="1"/>
  <c r="Y29" i="30" s="1"/>
  <c r="F14" i="7"/>
  <c r="BL21" i="26"/>
  <c r="BL21" i="32" s="1"/>
  <c r="AX84" i="20"/>
  <c r="V41" i="30"/>
  <c r="Y41" i="30" s="1"/>
  <c r="AX31" i="20"/>
  <c r="BL31" i="30"/>
  <c r="BL31" i="26" s="1"/>
  <c r="BL31" i="32" s="1"/>
  <c r="BM26" i="30"/>
  <c r="BM23" i="30"/>
  <c r="BM25" i="30"/>
  <c r="V39" i="30"/>
  <c r="Y39" i="30" s="1"/>
  <c r="Z39" i="30" s="1"/>
  <c r="AC39" i="30" s="1"/>
  <c r="AD39" i="30" s="1"/>
  <c r="AG39" i="30" s="1"/>
  <c r="BL2" i="30"/>
  <c r="BL2" i="26" s="1"/>
  <c r="BL2" i="32" s="1"/>
  <c r="AX13" i="20"/>
  <c r="BL13" i="30"/>
  <c r="BL13" i="26" s="1"/>
  <c r="BL13" i="32" s="1"/>
  <c r="AX68" i="20"/>
  <c r="BL68" i="30"/>
  <c r="BL68" i="26" s="1"/>
  <c r="BL68" i="32" s="1"/>
  <c r="I12" i="7"/>
  <c r="L12" i="7" s="1"/>
  <c r="M12" i="7" s="1"/>
  <c r="M16" i="7" s="1"/>
  <c r="AR7" i="7"/>
  <c r="AT9" i="7"/>
  <c r="AU9" i="7" s="1"/>
  <c r="L14" i="7"/>
  <c r="M14" i="7" s="1"/>
  <c r="N14" i="7" s="1"/>
  <c r="W9" i="7"/>
  <c r="Z9" i="7" s="1"/>
  <c r="AA9" i="7" s="1"/>
  <c r="AX44" i="20"/>
  <c r="AX46" i="20"/>
  <c r="AX27" i="20"/>
  <c r="AX10" i="20"/>
  <c r="AX72" i="20"/>
  <c r="AX3" i="20"/>
  <c r="AX54" i="20"/>
  <c r="AX75" i="20"/>
  <c r="AX87" i="20"/>
  <c r="AX60" i="20"/>
  <c r="AX86" i="20"/>
  <c r="AX61" i="20"/>
  <c r="AX11" i="20"/>
  <c r="AX78" i="20"/>
  <c r="AX59" i="20"/>
  <c r="AX55" i="20"/>
  <c r="AX51" i="20"/>
  <c r="AX40" i="20"/>
  <c r="AX62" i="20"/>
  <c r="AX43" i="20"/>
  <c r="AX79" i="20"/>
  <c r="AX18" i="20"/>
  <c r="AX64" i="20"/>
  <c r="AX28" i="20"/>
  <c r="AX58" i="20"/>
  <c r="AX32" i="20"/>
  <c r="AX82" i="20"/>
  <c r="AX17" i="20"/>
  <c r="AX71" i="20"/>
  <c r="AX88" i="20"/>
  <c r="AX35" i="20"/>
  <c r="AX70" i="20"/>
  <c r="AX37" i="20"/>
  <c r="AX42" i="20"/>
  <c r="AX47" i="20"/>
  <c r="AX83" i="20"/>
  <c r="AX73" i="20"/>
  <c r="AX76" i="20"/>
  <c r="AX2" i="20"/>
  <c r="AX57" i="20"/>
  <c r="AX39" i="20"/>
  <c r="AX7" i="20"/>
  <c r="AX45" i="20"/>
  <c r="AX48" i="20"/>
  <c r="AX81" i="20"/>
  <c r="AX25" i="20"/>
  <c r="AX20" i="20"/>
  <c r="AX9" i="20"/>
  <c r="AX67" i="20"/>
  <c r="E89" i="20"/>
  <c r="E89" i="30" s="1"/>
  <c r="Q89" i="30" s="1"/>
  <c r="R89" i="30" s="1"/>
  <c r="I53" i="10"/>
  <c r="AV53" i="20"/>
  <c r="BL53" i="30" s="1"/>
  <c r="BL53" i="26" s="1"/>
  <c r="BL53" i="32" s="1"/>
  <c r="I43" i="10"/>
  <c r="I78" i="10"/>
  <c r="J78" i="10" s="1"/>
  <c r="E79" i="22" s="1"/>
  <c r="R79" i="22" s="1"/>
  <c r="S79" i="22" s="1"/>
  <c r="V79" i="22" s="1"/>
  <c r="W79" i="22" s="1"/>
  <c r="Z79" i="22" s="1"/>
  <c r="I79" i="10"/>
  <c r="I88" i="10"/>
  <c r="J88" i="10" s="1"/>
  <c r="E89" i="22" s="1"/>
  <c r="I7" i="10"/>
  <c r="J7" i="10" s="1"/>
  <c r="E7" i="22" s="1"/>
  <c r="R7" i="22" s="1"/>
  <c r="I10" i="10"/>
  <c r="J10" i="10" s="1"/>
  <c r="E11" i="22" s="1"/>
  <c r="I18" i="10"/>
  <c r="E18" i="20" s="1"/>
  <c r="E18" i="30" s="1"/>
  <c r="Q18" i="30" s="1"/>
  <c r="I35" i="10"/>
  <c r="I51" i="10"/>
  <c r="J51" i="10" s="1"/>
  <c r="E52" i="22" s="1"/>
  <c r="R52" i="22" s="1"/>
  <c r="S52" i="22" s="1"/>
  <c r="I70" i="10"/>
  <c r="J70" i="10" s="1"/>
  <c r="E71" i="22" s="1"/>
  <c r="R71" i="22" s="1"/>
  <c r="S71" i="22" s="1"/>
  <c r="V71" i="22" s="1"/>
  <c r="I76" i="10"/>
  <c r="J76" i="10" s="1"/>
  <c r="E77" i="22" s="1"/>
  <c r="R77" i="22" s="1"/>
  <c r="I83" i="10"/>
  <c r="E83" i="20" s="1"/>
  <c r="E83" i="30" s="1"/>
  <c r="Q83" i="30" s="1"/>
  <c r="I86" i="10"/>
  <c r="J86" i="10" s="1"/>
  <c r="E87" i="22" s="1"/>
  <c r="R87" i="22" s="1"/>
  <c r="E21" i="20"/>
  <c r="E21" i="30" s="1"/>
  <c r="Q21" i="30" s="1"/>
  <c r="E31" i="20"/>
  <c r="E31" i="30" s="1"/>
  <c r="Q31" i="30" s="1"/>
  <c r="R31" i="30" s="1"/>
  <c r="U31" i="30" s="1"/>
  <c r="V31" i="30" s="1"/>
  <c r="Y31" i="30" s="1"/>
  <c r="Z31" i="30" s="1"/>
  <c r="AC31" i="30" s="1"/>
  <c r="AD31" i="30" s="1"/>
  <c r="AG31" i="30" s="1"/>
  <c r="E43" i="20"/>
  <c r="E43" i="30" s="1"/>
  <c r="Q43" i="30" s="1"/>
  <c r="E49" i="20"/>
  <c r="E49" i="30" s="1"/>
  <c r="Q49" i="30" s="1"/>
  <c r="E47" i="20"/>
  <c r="E47" i="30" s="1"/>
  <c r="Q47" i="30" s="1"/>
  <c r="E15" i="20"/>
  <c r="E15" i="30" s="1"/>
  <c r="Q15" i="30" s="1"/>
  <c r="E76" i="20"/>
  <c r="E76" i="30" s="1"/>
  <c r="Q76" i="30" s="1"/>
  <c r="R76" i="30" s="1"/>
  <c r="U76" i="30" s="1"/>
  <c r="V76" i="30" s="1"/>
  <c r="Y76" i="30" s="1"/>
  <c r="E11" i="20"/>
  <c r="E11" i="30" s="1"/>
  <c r="Q11" i="30" s="1"/>
  <c r="R11" i="30" s="1"/>
  <c r="E59" i="20"/>
  <c r="E59" i="30" s="1"/>
  <c r="Q59" i="30" s="1"/>
  <c r="R59" i="30" s="1"/>
  <c r="U59" i="30" s="1"/>
  <c r="V59" i="30" s="1"/>
  <c r="Y59" i="30" s="1"/>
  <c r="E72" i="20"/>
  <c r="E72" i="30" s="1"/>
  <c r="Q72" i="30" s="1"/>
  <c r="E36" i="20"/>
  <c r="E36" i="30" s="1"/>
  <c r="Q36" i="30" s="1"/>
  <c r="E52" i="20"/>
  <c r="E52" i="30" s="1"/>
  <c r="Q52" i="30" s="1"/>
  <c r="E23" i="20"/>
  <c r="E23" i="30" s="1"/>
  <c r="Q23" i="30" s="1"/>
  <c r="E68" i="20"/>
  <c r="E68" i="30" s="1"/>
  <c r="Q68" i="30" s="1"/>
  <c r="R68" i="30" s="1"/>
  <c r="U68" i="30" s="1"/>
  <c r="V68" i="30" s="1"/>
  <c r="Y68" i="30" s="1"/>
  <c r="Z68" i="30" s="1"/>
  <c r="AC68" i="30" s="1"/>
  <c r="E84" i="20"/>
  <c r="E84" i="30" s="1"/>
  <c r="Q84" i="30" s="1"/>
  <c r="E32" i="20"/>
  <c r="E32" i="30" s="1"/>
  <c r="Q32" i="30" s="1"/>
  <c r="R32" i="30" s="1"/>
  <c r="E56" i="20"/>
  <c r="E56" i="30" s="1"/>
  <c r="Q56" i="30" s="1"/>
  <c r="E3" i="20"/>
  <c r="E3" i="30" s="1"/>
  <c r="Q3" i="30" s="1"/>
  <c r="E19" i="20"/>
  <c r="E19" i="30" s="1"/>
  <c r="Q19" i="30" s="1"/>
  <c r="R19" i="30" s="1"/>
  <c r="E80" i="20"/>
  <c r="E80" i="30" s="1"/>
  <c r="Q80" i="30" s="1"/>
  <c r="E28" i="20"/>
  <c r="E28" i="30" s="1"/>
  <c r="Q28" i="30" s="1"/>
  <c r="E44" i="20"/>
  <c r="E44" i="30" s="1"/>
  <c r="Q44" i="30" s="1"/>
  <c r="E85" i="20"/>
  <c r="E85" i="30" s="1"/>
  <c r="Q85" i="30" s="1"/>
  <c r="E66" i="20"/>
  <c r="E66" i="30" s="1"/>
  <c r="Q66" i="30" s="1"/>
  <c r="R66" i="30" s="1"/>
  <c r="U66" i="30" s="1"/>
  <c r="V66" i="30" s="1"/>
  <c r="Y66" i="30" s="1"/>
  <c r="E16" i="20"/>
  <c r="E16" i="30" s="1"/>
  <c r="Q16" i="30" s="1"/>
  <c r="E9" i="20"/>
  <c r="E9" i="30" s="1"/>
  <c r="Q9" i="30" s="1"/>
  <c r="E13" i="20"/>
  <c r="E13" i="30" s="1"/>
  <c r="Q13" i="30" s="1"/>
  <c r="E25" i="20"/>
  <c r="E25" i="30" s="1"/>
  <c r="Q25" i="30" s="1"/>
  <c r="E55" i="20"/>
  <c r="E55" i="30" s="1"/>
  <c r="Q55" i="30" s="1"/>
  <c r="E57" i="20"/>
  <c r="E57" i="30" s="1"/>
  <c r="Q57" i="30" s="1"/>
  <c r="E63" i="20"/>
  <c r="E63" i="30" s="1"/>
  <c r="Q63" i="30" s="1"/>
  <c r="R63" i="30" s="1"/>
  <c r="U63" i="30" s="1"/>
  <c r="E67" i="20"/>
  <c r="E67" i="30" s="1"/>
  <c r="Q67" i="30" s="1"/>
  <c r="R67" i="30" s="1"/>
  <c r="U67" i="30" s="1"/>
  <c r="V67" i="30" s="1"/>
  <c r="Y67" i="30" s="1"/>
  <c r="Z67" i="30" s="1"/>
  <c r="AC67" i="30" s="1"/>
  <c r="AD67" i="30" s="1"/>
  <c r="AG67" i="30" s="1"/>
  <c r="AH67" i="30" s="1"/>
  <c r="AK67" i="30" s="1"/>
  <c r="E30" i="20"/>
  <c r="E30" i="30" s="1"/>
  <c r="Q30" i="30" s="1"/>
  <c r="E38" i="20"/>
  <c r="E38" i="30" s="1"/>
  <c r="Q38" i="30" s="1"/>
  <c r="R38" i="30" s="1"/>
  <c r="U38" i="30" s="1"/>
  <c r="E46" i="20"/>
  <c r="E46" i="30" s="1"/>
  <c r="Q46" i="30" s="1"/>
  <c r="R46" i="30" s="1"/>
  <c r="E54" i="20"/>
  <c r="E54" i="30" s="1"/>
  <c r="Q54" i="30" s="1"/>
  <c r="E12" i="20"/>
  <c r="E12" i="30" s="1"/>
  <c r="Q12" i="30" s="1"/>
  <c r="R12" i="30" s="1"/>
  <c r="E70" i="20"/>
  <c r="E70" i="30" s="1"/>
  <c r="Q70" i="30" s="1"/>
  <c r="E86" i="20"/>
  <c r="E86" i="30" s="1"/>
  <c r="Q86" i="30" s="1"/>
  <c r="R86" i="30" s="1"/>
  <c r="U86" i="30" s="1"/>
  <c r="V86" i="30" s="1"/>
  <c r="Y86" i="30" s="1"/>
  <c r="Z86" i="30" s="1"/>
  <c r="AC86" i="30" s="1"/>
  <c r="AD86" i="30" s="1"/>
  <c r="AG86" i="30" s="1"/>
  <c r="E6" i="20"/>
  <c r="E6" i="30" s="1"/>
  <c r="Q6" i="30" s="1"/>
  <c r="E14" i="20"/>
  <c r="E14" i="30" s="1"/>
  <c r="Q14" i="30" s="1"/>
  <c r="R14" i="30" s="1"/>
  <c r="U14" i="30" s="1"/>
  <c r="V14" i="30" s="1"/>
  <c r="Y14" i="30" s="1"/>
  <c r="E26" i="20"/>
  <c r="E26" i="30" s="1"/>
  <c r="Q26" i="30" s="1"/>
  <c r="E34" i="20"/>
  <c r="E34" i="30" s="1"/>
  <c r="Q34" i="30" s="1"/>
  <c r="R34" i="30" s="1"/>
  <c r="U34" i="30" s="1"/>
  <c r="E42" i="20"/>
  <c r="E42" i="30" s="1"/>
  <c r="Q42" i="30" s="1"/>
  <c r="R42" i="30" s="1"/>
  <c r="U42" i="30" s="1"/>
  <c r="E50" i="20"/>
  <c r="E50" i="30" s="1"/>
  <c r="Q50" i="30" s="1"/>
  <c r="R50" i="30" s="1"/>
  <c r="U50" i="30" s="1"/>
  <c r="E87" i="20"/>
  <c r="E87" i="30" s="1"/>
  <c r="Q87" i="30" s="1"/>
  <c r="E69" i="20"/>
  <c r="E69" i="30" s="1"/>
  <c r="Q69" i="30" s="1"/>
  <c r="R69" i="30" s="1"/>
  <c r="U69" i="30" s="1"/>
  <c r="V69" i="30" s="1"/>
  <c r="Y69" i="30" s="1"/>
  <c r="E74" i="20"/>
  <c r="E74" i="30" s="1"/>
  <c r="Q74" i="30" s="1"/>
  <c r="R74" i="30" s="1"/>
  <c r="E82" i="20"/>
  <c r="E82" i="30" s="1"/>
  <c r="Q82" i="30" s="1"/>
  <c r="E90" i="20"/>
  <c r="E90" i="30" s="1"/>
  <c r="Q90" i="30" s="1"/>
  <c r="E17" i="20"/>
  <c r="E17" i="30" s="1"/>
  <c r="Q17" i="30" s="1"/>
  <c r="E79" i="20"/>
  <c r="E79" i="30" s="1"/>
  <c r="Q79" i="30" s="1"/>
  <c r="E61" i="20"/>
  <c r="E61" i="30" s="1"/>
  <c r="Q61" i="30" s="1"/>
  <c r="R61" i="30" s="1"/>
  <c r="E22" i="20"/>
  <c r="E22" i="30" s="1"/>
  <c r="Q22" i="30" s="1"/>
  <c r="E58" i="20"/>
  <c r="E58" i="30" s="1"/>
  <c r="Q58" i="30" s="1"/>
  <c r="E4" i="20"/>
  <c r="E4" i="30" s="1"/>
  <c r="Q4" i="30" s="1"/>
  <c r="R4" i="30" s="1"/>
  <c r="U4" i="30" s="1"/>
  <c r="V4" i="30" s="1"/>
  <c r="Y4" i="30" s="1"/>
  <c r="E20" i="20"/>
  <c r="E20" i="30" s="1"/>
  <c r="Q20" i="30" s="1"/>
  <c r="E35" i="20"/>
  <c r="E35" i="30" s="1"/>
  <c r="Q35" i="30" s="1"/>
  <c r="R35" i="30" s="1"/>
  <c r="E65" i="20"/>
  <c r="E65" i="30" s="1"/>
  <c r="Q65" i="30" s="1"/>
  <c r="R65" i="30" s="1"/>
  <c r="U65" i="30" s="1"/>
  <c r="V65" i="30" s="1"/>
  <c r="Y65" i="30" s="1"/>
  <c r="I40" i="10"/>
  <c r="E40" i="20" s="1"/>
  <c r="E40" i="30" s="1"/>
  <c r="Q40" i="30" s="1"/>
  <c r="R40" i="30" s="1"/>
  <c r="U40" i="30" s="1"/>
  <c r="V40" i="30" s="1"/>
  <c r="Y40" i="30" s="1"/>
  <c r="Z40" i="30" s="1"/>
  <c r="AC40" i="30" s="1"/>
  <c r="I71" i="10"/>
  <c r="I73" i="10"/>
  <c r="I75" i="10"/>
  <c r="I45" i="10"/>
  <c r="I48" i="10"/>
  <c r="I60" i="10"/>
  <c r="E60" i="20" s="1"/>
  <c r="E60" i="30" s="1"/>
  <c r="Q60" i="30" s="1"/>
  <c r="I62" i="10"/>
  <c r="E62" i="20" s="1"/>
  <c r="E62" i="30" s="1"/>
  <c r="Q62" i="30" s="1"/>
  <c r="I81" i="10"/>
  <c r="E20" i="22"/>
  <c r="R20" i="22" s="1"/>
  <c r="I2" i="10"/>
  <c r="E2" i="20" s="1"/>
  <c r="E2" i="30" s="1"/>
  <c r="S10" i="22"/>
  <c r="V10" i="22"/>
  <c r="W10" i="22" s="1"/>
  <c r="Z10" i="22" s="1"/>
  <c r="S18" i="22"/>
  <c r="V18" i="22" s="1"/>
  <c r="W18" i="22" s="1"/>
  <c r="Z18" i="22" s="1"/>
  <c r="S85" i="22"/>
  <c r="V85" i="22"/>
  <c r="S66" i="22"/>
  <c r="V66" i="22"/>
  <c r="W66" i="22" s="1"/>
  <c r="Z66" i="22" s="1"/>
  <c r="S83" i="22"/>
  <c r="V83" i="22"/>
  <c r="W83" i="22" s="1"/>
  <c r="Z83" i="22" s="1"/>
  <c r="S23" i="22"/>
  <c r="V23" i="22"/>
  <c r="W23" i="22" s="1"/>
  <c r="Z23" i="22" s="1"/>
  <c r="AA23" i="22" s="1"/>
  <c r="S5" i="22"/>
  <c r="V5" i="22"/>
  <c r="W5" i="22" s="1"/>
  <c r="Z5" i="22" s="1"/>
  <c r="S8" i="22"/>
  <c r="V8" i="22"/>
  <c r="W8" i="22" s="1"/>
  <c r="Z8" i="22" s="1"/>
  <c r="S30" i="22"/>
  <c r="V30" i="22" s="1"/>
  <c r="S67" i="22"/>
  <c r="V67" i="22"/>
  <c r="W67" i="22" s="1"/>
  <c r="Z67" i="22" s="1"/>
  <c r="S21" i="22"/>
  <c r="V21" i="22" s="1"/>
  <c r="W21" i="22" s="1"/>
  <c r="Z21" i="22" s="1"/>
  <c r="S29" i="22"/>
  <c r="V29" i="22"/>
  <c r="W29" i="22" s="1"/>
  <c r="Z29" i="22" s="1"/>
  <c r="S62" i="22"/>
  <c r="V62" i="22"/>
  <c r="V35" i="22"/>
  <c r="G25" i="19"/>
  <c r="G74" i="19"/>
  <c r="G4" i="19"/>
  <c r="G70" i="19"/>
  <c r="G13" i="19"/>
  <c r="G7" i="19"/>
  <c r="G33" i="19"/>
  <c r="L2" i="10"/>
  <c r="G6" i="19"/>
  <c r="G57" i="19"/>
  <c r="G73" i="19"/>
  <c r="G61" i="19"/>
  <c r="G34" i="19"/>
  <c r="G79" i="19"/>
  <c r="G59" i="19"/>
  <c r="G28" i="19"/>
  <c r="G80" i="19"/>
  <c r="G45" i="19"/>
  <c r="G54" i="19"/>
  <c r="G41" i="19"/>
  <c r="G53" i="19"/>
  <c r="G16" i="19"/>
  <c r="G17" i="19"/>
  <c r="G20" i="19"/>
  <c r="G64" i="19"/>
  <c r="G23" i="19"/>
  <c r="G89" i="19"/>
  <c r="G49" i="19"/>
  <c r="G43" i="19"/>
  <c r="G11" i="19"/>
  <c r="G77" i="19"/>
  <c r="G82" i="19"/>
  <c r="G5" i="19"/>
  <c r="G71" i="19"/>
  <c r="G24" i="19"/>
  <c r="G27" i="19"/>
  <c r="J91" i="20"/>
  <c r="H91" i="20"/>
  <c r="G21" i="19"/>
  <c r="G87" i="19"/>
  <c r="G56" i="19"/>
  <c r="G15" i="19"/>
  <c r="G81" i="19"/>
  <c r="G42" i="19"/>
  <c r="G35" i="19"/>
  <c r="G3" i="19"/>
  <c r="G69" i="19"/>
  <c r="G86" i="19"/>
  <c r="G30" i="19"/>
  <c r="G50" i="19"/>
  <c r="G29" i="19"/>
  <c r="G38" i="19"/>
  <c r="G72" i="19"/>
  <c r="G32" i="19"/>
  <c r="G58" i="19"/>
  <c r="G51" i="19"/>
  <c r="G19" i="19"/>
  <c r="G85" i="19"/>
  <c r="G40" i="19"/>
  <c r="G67" i="19"/>
  <c r="G22" i="19"/>
  <c r="G48" i="19"/>
  <c r="G8" i="19"/>
  <c r="G9" i="19"/>
  <c r="G75" i="19"/>
  <c r="G68" i="19"/>
  <c r="G36" i="19"/>
  <c r="G63" i="19"/>
  <c r="G31" i="19"/>
  <c r="G83" i="19"/>
  <c r="G10" i="19"/>
  <c r="G76" i="19"/>
  <c r="G44" i="19"/>
  <c r="G62" i="19"/>
  <c r="G39" i="19"/>
  <c r="G90" i="19"/>
  <c r="G26" i="19"/>
  <c r="G55" i="19"/>
  <c r="G18" i="19"/>
  <c r="G84" i="19"/>
  <c r="G52" i="19"/>
  <c r="J91" i="19"/>
  <c r="I91" i="19"/>
  <c r="B11" i="24" s="1"/>
  <c r="B8" i="24" s="1"/>
  <c r="M2" i="19"/>
  <c r="M91" i="19" s="1"/>
  <c r="L91" i="19"/>
  <c r="L18" i="10"/>
  <c r="N18" i="10" s="1"/>
  <c r="L43" i="10"/>
  <c r="N43" i="10" s="1"/>
  <c r="L79" i="10"/>
  <c r="N79" i="10" s="1"/>
  <c r="L64" i="10"/>
  <c r="N64" i="10" s="1"/>
  <c r="L35" i="10"/>
  <c r="N35" i="10" s="1"/>
  <c r="L76" i="10"/>
  <c r="N76" i="10" s="1"/>
  <c r="L83" i="10"/>
  <c r="N83" i="10" s="1"/>
  <c r="N56" i="10"/>
  <c r="L86" i="10"/>
  <c r="N86" i="10" s="1"/>
  <c r="F2" i="18"/>
  <c r="K2" i="20"/>
  <c r="K91" i="20" s="1"/>
  <c r="K91" i="18"/>
  <c r="I91" i="18"/>
  <c r="J83" i="10"/>
  <c r="E84" i="22" s="1"/>
  <c r="R84" i="22" s="1"/>
  <c r="L81" i="10"/>
  <c r="N81" i="10" s="1"/>
  <c r="E55" i="22"/>
  <c r="R55" i="22" s="1"/>
  <c r="L70" i="10"/>
  <c r="N70" i="10" s="1"/>
  <c r="L51" i="10"/>
  <c r="N51" i="10" s="1"/>
  <c r="L48" i="10"/>
  <c r="N48" i="10" s="1"/>
  <c r="L45" i="10"/>
  <c r="N45" i="10" s="1"/>
  <c r="I64" i="10"/>
  <c r="E64" i="20" s="1"/>
  <c r="E64" i="30" s="1"/>
  <c r="Q64" i="30" s="1"/>
  <c r="L62" i="10"/>
  <c r="N62" i="10" s="1"/>
  <c r="L60" i="10"/>
  <c r="N60" i="10" s="1"/>
  <c r="L7" i="10"/>
  <c r="N7" i="10" s="1"/>
  <c r="J35" i="10"/>
  <c r="E36" i="22" s="1"/>
  <c r="R36" i="22" s="1"/>
  <c r="J18" i="10"/>
  <c r="E19" i="22" s="1"/>
  <c r="R19" i="22" s="1"/>
  <c r="L10" i="10"/>
  <c r="N10" i="10" s="1"/>
  <c r="K91" i="10"/>
  <c r="L88" i="10"/>
  <c r="N88" i="10" s="1"/>
  <c r="J79" i="10"/>
  <c r="E80" i="22" s="1"/>
  <c r="R80" i="22" s="1"/>
  <c r="L78" i="10"/>
  <c r="N78" i="10" s="1"/>
  <c r="L75" i="10"/>
  <c r="N75" i="10" s="1"/>
  <c r="L73" i="10"/>
  <c r="N73" i="10" s="1"/>
  <c r="L71" i="10"/>
  <c r="N71" i="10" s="1"/>
  <c r="J43" i="10"/>
  <c r="E44" i="22" s="1"/>
  <c r="R44" i="22" s="1"/>
  <c r="L40" i="10"/>
  <c r="N40" i="10" s="1"/>
  <c r="H91" i="10"/>
  <c r="L27" i="10"/>
  <c r="N27" i="10" s="1"/>
  <c r="I27" i="10"/>
  <c r="E27" i="20" s="1"/>
  <c r="E27" i="30" s="1"/>
  <c r="Q27" i="30" s="1"/>
  <c r="K92" i="22"/>
  <c r="R32" i="22"/>
  <c r="S11" i="22"/>
  <c r="V11" i="22" s="1"/>
  <c r="S37" i="22"/>
  <c r="V37" i="22" s="1"/>
  <c r="S78" i="22"/>
  <c r="V78" i="22" s="1"/>
  <c r="S24" i="22"/>
  <c r="V24" i="22" s="1"/>
  <c r="S38" i="22"/>
  <c r="V38" i="22" s="1"/>
  <c r="R48" i="22"/>
  <c r="R34" i="22"/>
  <c r="R81" i="22"/>
  <c r="W9" i="22"/>
  <c r="Z9" i="22" s="1"/>
  <c r="S53" i="22"/>
  <c r="V53" i="22" s="1"/>
  <c r="R64" i="22"/>
  <c r="R42" i="22"/>
  <c r="R50" i="22"/>
  <c r="R68" i="22"/>
  <c r="R89" i="22"/>
  <c r="S13" i="22"/>
  <c r="V13" i="22" s="1"/>
  <c r="S60" i="22"/>
  <c r="V60" i="22" s="1"/>
  <c r="S17" i="22"/>
  <c r="V17" i="22" s="1"/>
  <c r="S16" i="22"/>
  <c r="V16" i="22" s="1"/>
  <c r="S43" i="22"/>
  <c r="V43" i="22" s="1"/>
  <c r="R51" i="22"/>
  <c r="S88" i="22"/>
  <c r="V88" i="22" s="1"/>
  <c r="S4" i="22"/>
  <c r="V4" i="22" s="1"/>
  <c r="S45" i="22"/>
  <c r="V45" i="22" s="1"/>
  <c r="L92" i="22"/>
  <c r="I92" i="22"/>
  <c r="N2" i="10"/>
  <c r="S90" i="22"/>
  <c r="V90" i="22" s="1"/>
  <c r="S75" i="22"/>
  <c r="V75" i="22" s="1"/>
  <c r="S27" i="22"/>
  <c r="V27" i="22" s="1"/>
  <c r="W58" i="22"/>
  <c r="Z58" i="22" s="1"/>
  <c r="S86" i="22"/>
  <c r="V86" i="22" s="1"/>
  <c r="S69" i="22"/>
  <c r="V69" i="22" s="1"/>
  <c r="S73" i="22"/>
  <c r="V73" i="22" s="1"/>
  <c r="L55" i="10"/>
  <c r="N55" i="10" s="1"/>
  <c r="S14" i="22"/>
  <c r="V14" i="22" s="1"/>
  <c r="S70" i="22"/>
  <c r="V70" i="22" s="1"/>
  <c r="S6" i="22"/>
  <c r="V6" i="22" s="1"/>
  <c r="S22" i="22"/>
  <c r="V22" i="22" s="1"/>
  <c r="S15" i="22"/>
  <c r="V15" i="22" s="1"/>
  <c r="S12" i="22"/>
  <c r="V12" i="22" s="1"/>
  <c r="S56" i="22"/>
  <c r="V56" i="22" s="1"/>
  <c r="S40" i="22"/>
  <c r="V40" i="22" s="1"/>
  <c r="S3" i="22"/>
  <c r="V3" i="22" s="1"/>
  <c r="S39" i="22"/>
  <c r="V39" i="22" s="1"/>
  <c r="S31" i="22"/>
  <c r="V31" i="22" s="1"/>
  <c r="S33" i="22"/>
  <c r="V33" i="22" s="1"/>
  <c r="S57" i="22"/>
  <c r="V57" i="22" s="1"/>
  <c r="S47" i="22"/>
  <c r="V47" i="22" s="1"/>
  <c r="E26" i="22"/>
  <c r="R26" i="22" s="1"/>
  <c r="E25" i="22"/>
  <c r="R25" i="22" s="1"/>
  <c r="U8" i="30" l="1"/>
  <c r="V8" i="30" s="1"/>
  <c r="Y8" i="30" s="1"/>
  <c r="U5" i="30"/>
  <c r="V5" i="30" s="1"/>
  <c r="Y5" i="30" s="1"/>
  <c r="Z5" i="30" s="1"/>
  <c r="AC5" i="30" s="1"/>
  <c r="U33" i="30"/>
  <c r="V33" i="30" s="1"/>
  <c r="Y33" i="30" s="1"/>
  <c r="Z33" i="30" s="1"/>
  <c r="AC33" i="30" s="1"/>
  <c r="AD33" i="30" s="1"/>
  <c r="Z29" i="30"/>
  <c r="AC29" i="30" s="1"/>
  <c r="AD29" i="30" s="1"/>
  <c r="U37" i="30"/>
  <c r="V37" i="30" s="1"/>
  <c r="Y37" i="30" s="1"/>
  <c r="Z37" i="30" s="1"/>
  <c r="AC37" i="30" s="1"/>
  <c r="AD37" i="30" s="1"/>
  <c r="AG37" i="30" s="1"/>
  <c r="E51" i="20"/>
  <c r="E51" i="30" s="1"/>
  <c r="Q51" i="30" s="1"/>
  <c r="R51" i="30" s="1"/>
  <c r="U51" i="30" s="1"/>
  <c r="V51" i="30" s="1"/>
  <c r="Y51" i="30" s="1"/>
  <c r="Z51" i="30" s="1"/>
  <c r="R36" i="30"/>
  <c r="U36" i="30" s="1"/>
  <c r="E10" i="20"/>
  <c r="E10" i="30" s="1"/>
  <c r="Q10" i="30" s="1"/>
  <c r="R10" i="30" s="1"/>
  <c r="U10" i="30" s="1"/>
  <c r="V52" i="22"/>
  <c r="W52" i="22" s="1"/>
  <c r="Z52" i="22" s="1"/>
  <c r="S20" i="22"/>
  <c r="V20" i="22" s="1"/>
  <c r="W20" i="22" s="1"/>
  <c r="Z20" i="22" s="1"/>
  <c r="AA20" i="22" s="1"/>
  <c r="AD20" i="22" s="1"/>
  <c r="V34" i="30"/>
  <c r="Y34" i="30" s="1"/>
  <c r="Z34" i="30" s="1"/>
  <c r="AC34" i="30" s="1"/>
  <c r="AD34" i="30" s="1"/>
  <c r="AG34" i="30" s="1"/>
  <c r="E7" i="20"/>
  <c r="E7" i="30" s="1"/>
  <c r="Q7" i="30" s="1"/>
  <c r="R7" i="30" s="1"/>
  <c r="E88" i="20"/>
  <c r="E88" i="30" s="1"/>
  <c r="Q88" i="30" s="1"/>
  <c r="R88" i="30" s="1"/>
  <c r="AH39" i="30"/>
  <c r="AK39" i="30" s="1"/>
  <c r="V24" i="30"/>
  <c r="Y24" i="30"/>
  <c r="R64" i="30"/>
  <c r="U64" i="30" s="1"/>
  <c r="V64" i="30" s="1"/>
  <c r="Y64" i="30" s="1"/>
  <c r="Q2" i="30"/>
  <c r="R60" i="30"/>
  <c r="U60" i="30" s="1"/>
  <c r="AD40" i="30"/>
  <c r="AG40" i="30" s="1"/>
  <c r="AH40" i="30" s="1"/>
  <c r="AK40" i="30" s="1"/>
  <c r="U35" i="30"/>
  <c r="Z4" i="30"/>
  <c r="AC4" i="30" s="1"/>
  <c r="U61" i="30"/>
  <c r="R18" i="30"/>
  <c r="U18" i="30" s="1"/>
  <c r="V18" i="30" s="1"/>
  <c r="Y18" i="30" s="1"/>
  <c r="R82" i="30"/>
  <c r="U82" i="30" s="1"/>
  <c r="Z69" i="30"/>
  <c r="AC69" i="30"/>
  <c r="AD69" i="30" s="1"/>
  <c r="AG69" i="30" s="1"/>
  <c r="AH69" i="30" s="1"/>
  <c r="AK69" i="30" s="1"/>
  <c r="V50" i="30"/>
  <c r="Y50" i="30"/>
  <c r="Z14" i="30"/>
  <c r="AC14" i="30"/>
  <c r="AH86" i="30"/>
  <c r="AK86" i="30"/>
  <c r="AL86" i="30" s="1"/>
  <c r="AO86" i="30" s="1"/>
  <c r="R70" i="30"/>
  <c r="U70" i="30" s="1"/>
  <c r="V70" i="30" s="1"/>
  <c r="Y70" i="30" s="1"/>
  <c r="Z70" i="30" s="1"/>
  <c r="AC70" i="30" s="1"/>
  <c r="AD70" i="30" s="1"/>
  <c r="AG70" i="30" s="1"/>
  <c r="R54" i="30"/>
  <c r="U54" i="30" s="1"/>
  <c r="V38" i="30"/>
  <c r="Y38" i="30"/>
  <c r="Z38" i="30" s="1"/>
  <c r="AC38" i="30" s="1"/>
  <c r="R83" i="30"/>
  <c r="U83" i="30"/>
  <c r="V63" i="30"/>
  <c r="Y63" i="30" s="1"/>
  <c r="R55" i="30"/>
  <c r="U55" i="30" s="1"/>
  <c r="R13" i="30"/>
  <c r="U13" i="30" s="1"/>
  <c r="R16" i="30"/>
  <c r="U16" i="30" s="1"/>
  <c r="V16" i="30" s="1"/>
  <c r="Y16" i="30" s="1"/>
  <c r="R85" i="30"/>
  <c r="U85" i="30" s="1"/>
  <c r="R28" i="30"/>
  <c r="U28" i="30"/>
  <c r="V28" i="30" s="1"/>
  <c r="Y28" i="30" s="1"/>
  <c r="U19" i="30"/>
  <c r="R56" i="30"/>
  <c r="U56" i="30" s="1"/>
  <c r="R84" i="30"/>
  <c r="U84" i="30" s="1"/>
  <c r="R23" i="30"/>
  <c r="U23" i="30" s="1"/>
  <c r="Z59" i="30"/>
  <c r="AC59" i="30"/>
  <c r="Z76" i="30"/>
  <c r="AC76" i="30"/>
  <c r="AD76" i="30" s="1"/>
  <c r="AG76" i="30" s="1"/>
  <c r="AH76" i="30" s="1"/>
  <c r="AK76" i="30" s="1"/>
  <c r="R47" i="30"/>
  <c r="U47" i="30"/>
  <c r="R43" i="30"/>
  <c r="U43" i="30" s="1"/>
  <c r="V43" i="30" s="1"/>
  <c r="Y43" i="30" s="1"/>
  <c r="Z43" i="30" s="1"/>
  <c r="AC43" i="30" s="1"/>
  <c r="R21" i="30"/>
  <c r="U21" i="30"/>
  <c r="U89" i="30"/>
  <c r="V89" i="30" s="1"/>
  <c r="Y89" i="30" s="1"/>
  <c r="Z89" i="30" s="1"/>
  <c r="AC89" i="30" s="1"/>
  <c r="BL91" i="30"/>
  <c r="BL97" i="30" s="1"/>
  <c r="BL98" i="30" s="1"/>
  <c r="AD5" i="30"/>
  <c r="AG5" i="30" s="1"/>
  <c r="Z41" i="30"/>
  <c r="AC41" i="30" s="1"/>
  <c r="AD41" i="30" s="1"/>
  <c r="AG41" i="30" s="1"/>
  <c r="AH41" i="30" s="1"/>
  <c r="AK41" i="30" s="1"/>
  <c r="Z77" i="30"/>
  <c r="AC77" i="30" s="1"/>
  <c r="AD77" i="30" s="1"/>
  <c r="AG77" i="30" s="1"/>
  <c r="AH77" i="30" s="1"/>
  <c r="AK77" i="30" s="1"/>
  <c r="R27" i="30"/>
  <c r="U27" i="30" s="1"/>
  <c r="R62" i="30"/>
  <c r="Z65" i="30"/>
  <c r="AC65" i="30" s="1"/>
  <c r="R20" i="30"/>
  <c r="U20" i="30" s="1"/>
  <c r="R58" i="30"/>
  <c r="U58" i="30" s="1"/>
  <c r="V58" i="30" s="1"/>
  <c r="Y58" i="30" s="1"/>
  <c r="Z58" i="30" s="1"/>
  <c r="AC58" i="30" s="1"/>
  <c r="AD58" i="30" s="1"/>
  <c r="AG58" i="30" s="1"/>
  <c r="AH58" i="30" s="1"/>
  <c r="AK58" i="30" s="1"/>
  <c r="AL58" i="30" s="1"/>
  <c r="AO58" i="30" s="1"/>
  <c r="AP58" i="30" s="1"/>
  <c r="AS58" i="30" s="1"/>
  <c r="AT58" i="30" s="1"/>
  <c r="AW58" i="30" s="1"/>
  <c r="R22" i="30"/>
  <c r="R79" i="30"/>
  <c r="U79" i="30" s="1"/>
  <c r="V79" i="30" s="1"/>
  <c r="Y79" i="30" s="1"/>
  <c r="R17" i="30"/>
  <c r="U17" i="30" s="1"/>
  <c r="R90" i="30"/>
  <c r="U74" i="30"/>
  <c r="R87" i="30"/>
  <c r="V42" i="30"/>
  <c r="Y42" i="30" s="1"/>
  <c r="R26" i="30"/>
  <c r="R6" i="30"/>
  <c r="U6" i="30" s="1"/>
  <c r="E78" i="20"/>
  <c r="E78" i="30" s="1"/>
  <c r="Q78" i="30" s="1"/>
  <c r="U12" i="30"/>
  <c r="V12" i="30" s="1"/>
  <c r="Y12" i="30" s="1"/>
  <c r="U46" i="30"/>
  <c r="V46" i="30" s="1"/>
  <c r="Y46" i="30" s="1"/>
  <c r="Z46" i="30" s="1"/>
  <c r="AC46" i="30" s="1"/>
  <c r="AD46" i="30" s="1"/>
  <c r="AG46" i="30" s="1"/>
  <c r="R30" i="30"/>
  <c r="U30" i="30" s="1"/>
  <c r="AL67" i="30"/>
  <c r="AO67" i="30"/>
  <c r="R57" i="30"/>
  <c r="R25" i="30"/>
  <c r="U25" i="30" s="1"/>
  <c r="R9" i="30"/>
  <c r="Z66" i="30"/>
  <c r="AC66" i="30" s="1"/>
  <c r="R44" i="30"/>
  <c r="U44" i="30"/>
  <c r="V44" i="30" s="1"/>
  <c r="Y44" i="30" s="1"/>
  <c r="R80" i="30"/>
  <c r="U80" i="30" s="1"/>
  <c r="R3" i="30"/>
  <c r="U3" i="30"/>
  <c r="V3" i="30" s="1"/>
  <c r="Y3" i="30" s="1"/>
  <c r="U32" i="30"/>
  <c r="V32" i="30" s="1"/>
  <c r="Y32" i="30" s="1"/>
  <c r="Z32" i="30" s="1"/>
  <c r="AC32" i="30" s="1"/>
  <c r="AD68" i="30"/>
  <c r="AG68" i="30"/>
  <c r="R52" i="30"/>
  <c r="U52" i="30"/>
  <c r="R72" i="30"/>
  <c r="U72" i="30" s="1"/>
  <c r="U11" i="30"/>
  <c r="V11" i="30" s="1"/>
  <c r="Y11" i="30" s="1"/>
  <c r="R15" i="30"/>
  <c r="R49" i="30"/>
  <c r="U49" i="30"/>
  <c r="AH31" i="30"/>
  <c r="AK31" i="30"/>
  <c r="BL91" i="32"/>
  <c r="BL98" i="32" s="1"/>
  <c r="BL99" i="32" s="1"/>
  <c r="N12" i="7"/>
  <c r="AW9" i="7"/>
  <c r="J9" i="7" s="1"/>
  <c r="AC9" i="7"/>
  <c r="AT7" i="7"/>
  <c r="AU7" i="7" s="1"/>
  <c r="AX53" i="20"/>
  <c r="AX91" i="20" s="1"/>
  <c r="BL91" i="26"/>
  <c r="J53" i="10"/>
  <c r="E54" i="22" s="1"/>
  <c r="R54" i="22" s="1"/>
  <c r="S54" i="22" s="1"/>
  <c r="V54" i="22" s="1"/>
  <c r="E53" i="20"/>
  <c r="E53" i="30" s="1"/>
  <c r="Q53" i="30" s="1"/>
  <c r="AV91" i="20"/>
  <c r="AV99" i="20" s="1"/>
  <c r="J2" i="10"/>
  <c r="E2" i="22" s="1"/>
  <c r="R2" i="22" s="1"/>
  <c r="J81" i="10"/>
  <c r="E82" i="22" s="1"/>
  <c r="R82" i="22" s="1"/>
  <c r="E81" i="20"/>
  <c r="E81" i="30" s="1"/>
  <c r="Q81" i="30" s="1"/>
  <c r="R81" i="30" s="1"/>
  <c r="U81" i="30" s="1"/>
  <c r="J48" i="10"/>
  <c r="E49" i="22" s="1"/>
  <c r="R49" i="22" s="1"/>
  <c r="E48" i="20"/>
  <c r="E48" i="30" s="1"/>
  <c r="Q48" i="30" s="1"/>
  <c r="J45" i="10"/>
  <c r="E46" i="22" s="1"/>
  <c r="R46" i="22" s="1"/>
  <c r="S46" i="22" s="1"/>
  <c r="V46" i="22" s="1"/>
  <c r="E45" i="20"/>
  <c r="E45" i="30" s="1"/>
  <c r="Q45" i="30" s="1"/>
  <c r="J75" i="10"/>
  <c r="E76" i="22" s="1"/>
  <c r="R76" i="22" s="1"/>
  <c r="E75" i="20"/>
  <c r="E75" i="30" s="1"/>
  <c r="Q75" i="30" s="1"/>
  <c r="R75" i="30" s="1"/>
  <c r="U75" i="30" s="1"/>
  <c r="J73" i="10"/>
  <c r="E74" i="22" s="1"/>
  <c r="R74" i="22" s="1"/>
  <c r="E73" i="20"/>
  <c r="E73" i="30" s="1"/>
  <c r="Q73" i="30" s="1"/>
  <c r="J71" i="10"/>
  <c r="E72" i="22" s="1"/>
  <c r="R72" i="22" s="1"/>
  <c r="S72" i="22" s="1"/>
  <c r="V72" i="22" s="1"/>
  <c r="W72" i="22" s="1"/>
  <c r="Z72" i="22" s="1"/>
  <c r="E71" i="20"/>
  <c r="E71" i="30" s="1"/>
  <c r="Q71" i="30" s="1"/>
  <c r="R71" i="30" s="1"/>
  <c r="U71" i="30" s="1"/>
  <c r="J27" i="10"/>
  <c r="E28" i="22" s="1"/>
  <c r="R28" i="22" s="1"/>
  <c r="J64" i="10"/>
  <c r="E65" i="22" s="1"/>
  <c r="R65" i="22" s="1"/>
  <c r="J62" i="10"/>
  <c r="E63" i="22" s="1"/>
  <c r="R63" i="22" s="1"/>
  <c r="J60" i="10"/>
  <c r="E61" i="22" s="1"/>
  <c r="R61" i="22" s="1"/>
  <c r="S61" i="22" s="1"/>
  <c r="V61" i="22" s="1"/>
  <c r="J40" i="10"/>
  <c r="E41" i="22" s="1"/>
  <c r="R41" i="22" s="1"/>
  <c r="S41" i="22" s="1"/>
  <c r="V41" i="22" s="1"/>
  <c r="W41" i="22" s="1"/>
  <c r="Z41" i="22" s="1"/>
  <c r="S51" i="22"/>
  <c r="V51" i="22" s="1"/>
  <c r="S89" i="22"/>
  <c r="V89" i="22" s="1"/>
  <c r="S42" i="22"/>
  <c r="V42" i="22" s="1"/>
  <c r="S64" i="22"/>
  <c r="V64" i="22" s="1"/>
  <c r="S81" i="22"/>
  <c r="V81" i="22" s="1"/>
  <c r="S34" i="22"/>
  <c r="V34" i="22" s="1"/>
  <c r="S76" i="22"/>
  <c r="V76" i="22" s="1"/>
  <c r="S28" i="22"/>
  <c r="V28" i="22" s="1"/>
  <c r="S44" i="22"/>
  <c r="V44" i="22" s="1"/>
  <c r="W44" i="22" s="1"/>
  <c r="Z44" i="22" s="1"/>
  <c r="S80" i="22"/>
  <c r="V80" i="22" s="1"/>
  <c r="S7" i="22"/>
  <c r="V7" i="22" s="1"/>
  <c r="W7" i="22" s="1"/>
  <c r="Z7" i="22" s="1"/>
  <c r="AA7" i="22" s="1"/>
  <c r="S19" i="22"/>
  <c r="V19" i="22" s="1"/>
  <c r="W19" i="22" s="1"/>
  <c r="Z19" i="22" s="1"/>
  <c r="S36" i="22"/>
  <c r="V36" i="22" s="1"/>
  <c r="S55" i="22"/>
  <c r="V55" i="22" s="1"/>
  <c r="W55" i="22" s="1"/>
  <c r="Z55" i="22" s="1"/>
  <c r="S77" i="22"/>
  <c r="V77" i="22" s="1"/>
  <c r="S87" i="22"/>
  <c r="V87" i="22" s="1"/>
  <c r="W87" i="22" s="1"/>
  <c r="Z87" i="22" s="1"/>
  <c r="G2" i="19"/>
  <c r="G60" i="19"/>
  <c r="W88" i="22"/>
  <c r="Z88" i="22" s="1"/>
  <c r="W37" i="22"/>
  <c r="Z37" i="22" s="1"/>
  <c r="L91" i="18"/>
  <c r="AD23" i="22"/>
  <c r="AE23" i="22" s="1"/>
  <c r="AH23" i="22" s="1"/>
  <c r="W11" i="22"/>
  <c r="Z11" i="22" s="1"/>
  <c r="W78" i="22"/>
  <c r="Z78" i="22" s="1"/>
  <c r="W54" i="22"/>
  <c r="Z54" i="22" s="1"/>
  <c r="W53" i="22"/>
  <c r="Z53" i="22" s="1"/>
  <c r="W46" i="22"/>
  <c r="W45" i="22"/>
  <c r="Z45" i="22" s="1"/>
  <c r="W43" i="22"/>
  <c r="Z43" i="22" s="1"/>
  <c r="I91" i="10"/>
  <c r="W35" i="22"/>
  <c r="Z35" i="22" s="1"/>
  <c r="AA35" i="22" s="1"/>
  <c r="W30" i="22"/>
  <c r="Z30" i="22" s="1"/>
  <c r="AA30" i="22" s="1"/>
  <c r="W24" i="22"/>
  <c r="Z24" i="22" s="1"/>
  <c r="AA24" i="22" s="1"/>
  <c r="W16" i="22"/>
  <c r="Z16" i="22" s="1"/>
  <c r="W13" i="22"/>
  <c r="Z13" i="22" s="1"/>
  <c r="W17" i="22"/>
  <c r="Z17" i="22" s="1"/>
  <c r="W4" i="22"/>
  <c r="W60" i="22"/>
  <c r="Z60" i="22" s="1"/>
  <c r="S50" i="22"/>
  <c r="V50" i="22" s="1"/>
  <c r="S32" i="22"/>
  <c r="V32" i="22" s="1"/>
  <c r="S84" i="22"/>
  <c r="V84" i="22" s="1"/>
  <c r="S68" i="22"/>
  <c r="V68" i="22" s="1"/>
  <c r="S48" i="22"/>
  <c r="V48" i="22" s="1"/>
  <c r="L91" i="10"/>
  <c r="N91" i="10"/>
  <c r="W90" i="22"/>
  <c r="W75" i="22"/>
  <c r="AA21" i="22"/>
  <c r="AD21" i="22" s="1"/>
  <c r="AA5" i="22"/>
  <c r="AD5" i="22" s="1"/>
  <c r="AA18" i="22"/>
  <c r="AD18" i="22" s="1"/>
  <c r="W22" i="22"/>
  <c r="Z22" i="22" s="1"/>
  <c r="W47" i="22"/>
  <c r="Z47" i="22" s="1"/>
  <c r="AA66" i="22"/>
  <c r="AD66" i="22" s="1"/>
  <c r="AA10" i="22"/>
  <c r="AD10" i="22" s="1"/>
  <c r="AA79" i="22"/>
  <c r="AD79" i="22" s="1"/>
  <c r="W6" i="22"/>
  <c r="Z6" i="22" s="1"/>
  <c r="AA67" i="22"/>
  <c r="AD67" i="22" s="1"/>
  <c r="W86" i="22"/>
  <c r="Z86" i="22" s="1"/>
  <c r="AA58" i="22"/>
  <c r="AD58" i="22" s="1"/>
  <c r="AA52" i="22"/>
  <c r="AD52" i="22" s="1"/>
  <c r="W71" i="22"/>
  <c r="Z71" i="22" s="1"/>
  <c r="AA29" i="22"/>
  <c r="AD29" i="22" s="1"/>
  <c r="W33" i="22"/>
  <c r="Z33" i="22" s="1"/>
  <c r="AA83" i="22"/>
  <c r="AD83" i="22" s="1"/>
  <c r="AA9" i="22"/>
  <c r="AD9" i="22" s="1"/>
  <c r="W40" i="22"/>
  <c r="Z40" i="22" s="1"/>
  <c r="W15" i="22"/>
  <c r="Z15" i="22" s="1"/>
  <c r="W85" i="22"/>
  <c r="Z85" i="22" s="1"/>
  <c r="W59" i="22"/>
  <c r="Z59" i="22" s="1"/>
  <c r="AA8" i="22"/>
  <c r="AD8" i="22" s="1"/>
  <c r="W56" i="22"/>
  <c r="Z56" i="22" s="1"/>
  <c r="W70" i="22"/>
  <c r="Z70" i="22" s="1"/>
  <c r="W31" i="22"/>
  <c r="Z31" i="22" s="1"/>
  <c r="W14" i="22"/>
  <c r="Z14" i="22" s="1"/>
  <c r="W62" i="22"/>
  <c r="Z62" i="22" s="1"/>
  <c r="S26" i="22"/>
  <c r="V26" i="22" s="1"/>
  <c r="G91" i="19" l="1"/>
  <c r="AC51" i="30"/>
  <c r="AD51" i="30" s="1"/>
  <c r="AG51" i="30" s="1"/>
  <c r="AH34" i="30"/>
  <c r="AK34" i="30"/>
  <c r="Z8" i="30"/>
  <c r="AC8" i="30"/>
  <c r="AD8" i="30" s="1"/>
  <c r="AG8" i="30" s="1"/>
  <c r="AG29" i="30"/>
  <c r="AH29" i="30" s="1"/>
  <c r="AK29" i="30" s="1"/>
  <c r="AL29" i="30" s="1"/>
  <c r="AO29" i="30" s="1"/>
  <c r="AP29" i="30" s="1"/>
  <c r="AS29" i="30" s="1"/>
  <c r="U7" i="30"/>
  <c r="V7" i="30" s="1"/>
  <c r="Y7" i="30" s="1"/>
  <c r="Z7" i="30" s="1"/>
  <c r="AC7" i="30" s="1"/>
  <c r="AD7" i="30" s="1"/>
  <c r="AG7" i="30" s="1"/>
  <c r="AH7" i="30" s="1"/>
  <c r="AK7" i="30" s="1"/>
  <c r="AL7" i="30" s="1"/>
  <c r="AO7" i="30" s="1"/>
  <c r="AP7" i="30" s="1"/>
  <c r="AS7" i="30" s="1"/>
  <c r="AT7" i="30" s="1"/>
  <c r="AW7" i="30" s="1"/>
  <c r="U88" i="30"/>
  <c r="V88" i="30" s="1"/>
  <c r="Y88" i="30" s="1"/>
  <c r="Z88" i="30" s="1"/>
  <c r="AC88" i="30" s="1"/>
  <c r="AD88" i="30" s="1"/>
  <c r="AG88" i="30" s="1"/>
  <c r="V36" i="30"/>
  <c r="Y36" i="30"/>
  <c r="Z36" i="30" s="1"/>
  <c r="AC36" i="30" s="1"/>
  <c r="AD36" i="30" s="1"/>
  <c r="AG36" i="30" s="1"/>
  <c r="AH36" i="30" s="1"/>
  <c r="AK36" i="30" s="1"/>
  <c r="S65" i="22"/>
  <c r="V65" i="22" s="1"/>
  <c r="W65" i="22" s="1"/>
  <c r="Z65" i="22" s="1"/>
  <c r="AA65" i="22" s="1"/>
  <c r="AD65" i="22" s="1"/>
  <c r="E92" i="22"/>
  <c r="V72" i="30"/>
  <c r="Y72" i="30" s="1"/>
  <c r="Z72" i="30" s="1"/>
  <c r="AC72" i="30" s="1"/>
  <c r="AD72" i="30" s="1"/>
  <c r="AG72" i="30" s="1"/>
  <c r="AD66" i="30"/>
  <c r="AG66" i="30"/>
  <c r="Z79" i="30"/>
  <c r="AC79" i="30"/>
  <c r="AX58" i="30"/>
  <c r="BA58" i="30" s="1"/>
  <c r="BB58" i="30" s="1"/>
  <c r="BE58" i="30" s="1"/>
  <c r="BF58" i="30" s="1"/>
  <c r="BI58" i="30" s="1"/>
  <c r="BJ58" i="30" s="1"/>
  <c r="L58" i="30" s="1"/>
  <c r="AD65" i="30"/>
  <c r="AG65" i="30" s="1"/>
  <c r="V27" i="30"/>
  <c r="Y27" i="30"/>
  <c r="Z27" i="30" s="1"/>
  <c r="AC27" i="30" s="1"/>
  <c r="AD27" i="30" s="1"/>
  <c r="AG27" i="30" s="1"/>
  <c r="AH27" i="30" s="1"/>
  <c r="AK27" i="30" s="1"/>
  <c r="AL27" i="30" s="1"/>
  <c r="AO27" i="30" s="1"/>
  <c r="AL41" i="30"/>
  <c r="AO41" i="30" s="1"/>
  <c r="AP41" i="30" s="1"/>
  <c r="AS41" i="30" s="1"/>
  <c r="AT41" i="30" s="1"/>
  <c r="AW41" i="30" s="1"/>
  <c r="AX41" i="30" s="1"/>
  <c r="BA41" i="30" s="1"/>
  <c r="BB41" i="30" s="1"/>
  <c r="BE41" i="30" s="1"/>
  <c r="V56" i="30"/>
  <c r="Y56" i="30" s="1"/>
  <c r="Z63" i="30"/>
  <c r="AC63" i="30"/>
  <c r="V10" i="30"/>
  <c r="Y10" i="30"/>
  <c r="AL40" i="30"/>
  <c r="AO40" i="30"/>
  <c r="AP40" i="30" s="1"/>
  <c r="AS40" i="30" s="1"/>
  <c r="AT40" i="30" s="1"/>
  <c r="AW40" i="30" s="1"/>
  <c r="AX40" i="30" s="1"/>
  <c r="BA40" i="30" s="1"/>
  <c r="AL39" i="30"/>
  <c r="AO39" i="30"/>
  <c r="AP39" i="30" s="1"/>
  <c r="AS39" i="30" s="1"/>
  <c r="AT39" i="30" s="1"/>
  <c r="AW39" i="30" s="1"/>
  <c r="Z42" i="30"/>
  <c r="AC42" i="30" s="1"/>
  <c r="AD42" i="30" s="1"/>
  <c r="AG42" i="30" s="1"/>
  <c r="AH42" i="30" s="1"/>
  <c r="AK42" i="30" s="1"/>
  <c r="V17" i="30"/>
  <c r="Y17" i="30" s="1"/>
  <c r="V20" i="30"/>
  <c r="Y20" i="30" s="1"/>
  <c r="Z20" i="30" s="1"/>
  <c r="AC20" i="30" s="1"/>
  <c r="AD20" i="30" s="1"/>
  <c r="AG20" i="30" s="1"/>
  <c r="AL77" i="30"/>
  <c r="AO77" i="30" s="1"/>
  <c r="AH5" i="30"/>
  <c r="AK5" i="30" s="1"/>
  <c r="AH70" i="30"/>
  <c r="AK70" i="30"/>
  <c r="AL70" i="30" s="1"/>
  <c r="AO70" i="30" s="1"/>
  <c r="Z18" i="30"/>
  <c r="AC18" i="30" s="1"/>
  <c r="V60" i="30"/>
  <c r="Y60" i="30" s="1"/>
  <c r="Z64" i="30"/>
  <c r="AC64" i="30" s="1"/>
  <c r="AD64" i="30" s="1"/>
  <c r="AG64" i="30" s="1"/>
  <c r="AH64" i="30" s="1"/>
  <c r="AK64" i="30" s="1"/>
  <c r="V71" i="30"/>
  <c r="Y71" i="30" s="1"/>
  <c r="Z71" i="30" s="1"/>
  <c r="AC71" i="30" s="1"/>
  <c r="AD71" i="30" s="1"/>
  <c r="AG71" i="30" s="1"/>
  <c r="R73" i="30"/>
  <c r="U73" i="30" s="1"/>
  <c r="V75" i="30"/>
  <c r="Y75" i="30" s="1"/>
  <c r="R45" i="30"/>
  <c r="U45" i="30" s="1"/>
  <c r="R48" i="30"/>
  <c r="U48" i="30" s="1"/>
  <c r="V81" i="30"/>
  <c r="Y81" i="30"/>
  <c r="R53" i="30"/>
  <c r="U53" i="30"/>
  <c r="AH37" i="30"/>
  <c r="AK37" i="30" s="1"/>
  <c r="AL31" i="30"/>
  <c r="AO31" i="30" s="1"/>
  <c r="AP31" i="30" s="1"/>
  <c r="AS31" i="30" s="1"/>
  <c r="AT31" i="30" s="1"/>
  <c r="AW31" i="30" s="1"/>
  <c r="V49" i="30"/>
  <c r="Y49" i="30" s="1"/>
  <c r="V52" i="30"/>
  <c r="Y52" i="30"/>
  <c r="Z52" i="30" s="1"/>
  <c r="AC52" i="30" s="1"/>
  <c r="AD52" i="30" s="1"/>
  <c r="AG52" i="30" s="1"/>
  <c r="AH68" i="30"/>
  <c r="AK68" i="30"/>
  <c r="Z3" i="30"/>
  <c r="AC3" i="30"/>
  <c r="AD3" i="30" s="1"/>
  <c r="AG3" i="30" s="1"/>
  <c r="AH3" i="30" s="1"/>
  <c r="AK3" i="30" s="1"/>
  <c r="AL3" i="30" s="1"/>
  <c r="AO3" i="30" s="1"/>
  <c r="AP3" i="30" s="1"/>
  <c r="AS3" i="30" s="1"/>
  <c r="AT3" i="30" s="1"/>
  <c r="AW3" i="30" s="1"/>
  <c r="AX3" i="30" s="1"/>
  <c r="BA3" i="30" s="1"/>
  <c r="V80" i="30"/>
  <c r="Y80" i="30"/>
  <c r="Z44" i="30"/>
  <c r="AC44" i="30" s="1"/>
  <c r="V25" i="30"/>
  <c r="Y25" i="30" s="1"/>
  <c r="AP67" i="30"/>
  <c r="AS67" i="30" s="1"/>
  <c r="V30" i="30"/>
  <c r="Y30" i="30" s="1"/>
  <c r="Z30" i="30" s="1"/>
  <c r="AC30" i="30" s="1"/>
  <c r="R78" i="30"/>
  <c r="U78" i="30"/>
  <c r="V6" i="30"/>
  <c r="Y6" i="30" s="1"/>
  <c r="V74" i="30"/>
  <c r="Y74" i="30"/>
  <c r="V21" i="30"/>
  <c r="Y21" i="30" s="1"/>
  <c r="AD43" i="30"/>
  <c r="AG43" i="30" s="1"/>
  <c r="AH43" i="30" s="1"/>
  <c r="V47" i="30"/>
  <c r="Y47" i="30" s="1"/>
  <c r="Z47" i="30" s="1"/>
  <c r="AC47" i="30" s="1"/>
  <c r="AL76" i="30"/>
  <c r="AO76" i="30" s="1"/>
  <c r="AD59" i="30"/>
  <c r="AG59" i="30" s="1"/>
  <c r="AH59" i="30" s="1"/>
  <c r="AK59" i="30" s="1"/>
  <c r="V23" i="30"/>
  <c r="Y23" i="30" s="1"/>
  <c r="V84" i="30"/>
  <c r="Y84" i="30" s="1"/>
  <c r="Z28" i="30"/>
  <c r="AC28" i="30" s="1"/>
  <c r="V85" i="30"/>
  <c r="Y85" i="30" s="1"/>
  <c r="Z16" i="30"/>
  <c r="AC16" i="30" s="1"/>
  <c r="AD16" i="30" s="1"/>
  <c r="AG16" i="30" s="1"/>
  <c r="AH16" i="30" s="1"/>
  <c r="AK16" i="30" s="1"/>
  <c r="V13" i="30"/>
  <c r="Y13" i="30" s="1"/>
  <c r="Z13" i="30" s="1"/>
  <c r="V55" i="30"/>
  <c r="Y55" i="30" s="1"/>
  <c r="Z55" i="30" s="1"/>
  <c r="AC55" i="30" s="1"/>
  <c r="AD55" i="30" s="1"/>
  <c r="AG55" i="30" s="1"/>
  <c r="V83" i="30"/>
  <c r="Y83" i="30" s="1"/>
  <c r="AD38" i="30"/>
  <c r="AG38" i="30" s="1"/>
  <c r="V54" i="30"/>
  <c r="Y54" i="30" s="1"/>
  <c r="Z54" i="30" s="1"/>
  <c r="AP86" i="30"/>
  <c r="AS86" i="30" s="1"/>
  <c r="AT86" i="30" s="1"/>
  <c r="AW86" i="30" s="1"/>
  <c r="AX86" i="30" s="1"/>
  <c r="BA86" i="30" s="1"/>
  <c r="BB86" i="30" s="1"/>
  <c r="BE86" i="30" s="1"/>
  <c r="BF86" i="30" s="1"/>
  <c r="BI86" i="30" s="1"/>
  <c r="BJ86" i="30" s="1"/>
  <c r="L86" i="30" s="1"/>
  <c r="AD14" i="30"/>
  <c r="AG14" i="30" s="1"/>
  <c r="Z50" i="30"/>
  <c r="AC50" i="30" s="1"/>
  <c r="AD50" i="30" s="1"/>
  <c r="AG50" i="30" s="1"/>
  <c r="AH50" i="30" s="1"/>
  <c r="AK50" i="30" s="1"/>
  <c r="AL50" i="30" s="1"/>
  <c r="AO50" i="30" s="1"/>
  <c r="AP50" i="30" s="1"/>
  <c r="AS50" i="30" s="1"/>
  <c r="AL69" i="30"/>
  <c r="AO69" i="30" s="1"/>
  <c r="AP69" i="30" s="1"/>
  <c r="AS69" i="30" s="1"/>
  <c r="V82" i="30"/>
  <c r="Y82" i="30" s="1"/>
  <c r="Z82" i="30" s="1"/>
  <c r="AC82" i="30" s="1"/>
  <c r="AD82" i="30" s="1"/>
  <c r="AG82" i="30" s="1"/>
  <c r="AH51" i="30"/>
  <c r="AK51" i="30" s="1"/>
  <c r="AD4" i="30"/>
  <c r="AG4" i="30" s="1"/>
  <c r="R2" i="30"/>
  <c r="Q91" i="30"/>
  <c r="U2" i="30"/>
  <c r="Z24" i="30"/>
  <c r="AC24" i="30"/>
  <c r="J91" i="10"/>
  <c r="AG33" i="30"/>
  <c r="AH33" i="30" s="1"/>
  <c r="AK33" i="30" s="1"/>
  <c r="AL33" i="30" s="1"/>
  <c r="AO33" i="30" s="1"/>
  <c r="U15" i="30"/>
  <c r="V15" i="30" s="1"/>
  <c r="Y15" i="30" s="1"/>
  <c r="Z11" i="30"/>
  <c r="AD32" i="30"/>
  <c r="AG32" i="30" s="1"/>
  <c r="U9" i="30"/>
  <c r="V9" i="30" s="1"/>
  <c r="Y9" i="30" s="1"/>
  <c r="U57" i="30"/>
  <c r="AH46" i="30"/>
  <c r="AK46" i="30"/>
  <c r="AL46" i="30" s="1"/>
  <c r="AO46" i="30" s="1"/>
  <c r="AP46" i="30" s="1"/>
  <c r="AS46" i="30" s="1"/>
  <c r="Z12" i="30"/>
  <c r="AC12" i="30" s="1"/>
  <c r="AD12" i="30" s="1"/>
  <c r="AG12" i="30" s="1"/>
  <c r="AH12" i="30" s="1"/>
  <c r="AK12" i="30" s="1"/>
  <c r="AL12" i="30" s="1"/>
  <c r="AO12" i="30" s="1"/>
  <c r="AP12" i="30" s="1"/>
  <c r="AS12" i="30" s="1"/>
  <c r="U26" i="30"/>
  <c r="U87" i="30"/>
  <c r="U90" i="30"/>
  <c r="U22" i="30"/>
  <c r="V22" i="30" s="1"/>
  <c r="Y22" i="30" s="1"/>
  <c r="Z22" i="30" s="1"/>
  <c r="AC22" i="30" s="1"/>
  <c r="AD22" i="30" s="1"/>
  <c r="AG22" i="30" s="1"/>
  <c r="AH22" i="30" s="1"/>
  <c r="AK22" i="30" s="1"/>
  <c r="U62" i="30"/>
  <c r="V62" i="30" s="1"/>
  <c r="Y62" i="30" s="1"/>
  <c r="Z62" i="30" s="1"/>
  <c r="AC62" i="30" s="1"/>
  <c r="AD62" i="30" s="1"/>
  <c r="AG62" i="30" s="1"/>
  <c r="AH62" i="30" s="1"/>
  <c r="AK62" i="30" s="1"/>
  <c r="AL62" i="30" s="1"/>
  <c r="AO62" i="30" s="1"/>
  <c r="AD89" i="30"/>
  <c r="V19" i="30"/>
  <c r="V61" i="30"/>
  <c r="V35" i="30"/>
  <c r="E91" i="30"/>
  <c r="AX9" i="7"/>
  <c r="AY9" i="7" s="1"/>
  <c r="I9" i="7" s="1"/>
  <c r="D9" i="7" s="1"/>
  <c r="E9" i="7" s="1"/>
  <c r="F9" i="7" s="1"/>
  <c r="AW7" i="7"/>
  <c r="AX7" i="7" s="1"/>
  <c r="AY7" i="7" s="1"/>
  <c r="I7" i="7" s="1"/>
  <c r="D7" i="7" s="1"/>
  <c r="S74" i="22"/>
  <c r="V74" i="22" s="1"/>
  <c r="W74" i="22" s="1"/>
  <c r="Z74" i="22" s="1"/>
  <c r="AA74" i="22" s="1"/>
  <c r="AD74" i="22" s="1"/>
  <c r="AE74" i="22" s="1"/>
  <c r="AH74" i="22" s="1"/>
  <c r="S49" i="22"/>
  <c r="V49" i="22" s="1"/>
  <c r="S82" i="22"/>
  <c r="V82" i="22" s="1"/>
  <c r="W82" i="22" s="1"/>
  <c r="Z82" i="22" s="1"/>
  <c r="AA82" i="22" s="1"/>
  <c r="AD82" i="22" s="1"/>
  <c r="AE82" i="22" s="1"/>
  <c r="AH82" i="22" s="1"/>
  <c r="S63" i="22"/>
  <c r="V63" i="22" s="1"/>
  <c r="W63" i="22" s="1"/>
  <c r="Z63" i="22" s="1"/>
  <c r="AA63" i="22" s="1"/>
  <c r="AD63" i="22" s="1"/>
  <c r="W36" i="22"/>
  <c r="Z36" i="22" s="1"/>
  <c r="AA36" i="22" s="1"/>
  <c r="AD36" i="22" s="1"/>
  <c r="W28" i="22"/>
  <c r="Z28" i="22" s="1"/>
  <c r="AA28" i="22" s="1"/>
  <c r="AA88" i="22"/>
  <c r="AA17" i="22"/>
  <c r="AD17" i="22" s="1"/>
  <c r="AA37" i="22"/>
  <c r="AD37" i="22" s="1"/>
  <c r="AE37" i="22" s="1"/>
  <c r="AH37" i="22" s="1"/>
  <c r="AI37" i="22" s="1"/>
  <c r="AL37" i="22" s="1"/>
  <c r="Z90" i="22"/>
  <c r="AA90" i="22" s="1"/>
  <c r="W77" i="22"/>
  <c r="Z77" i="22" s="1"/>
  <c r="W51" i="22"/>
  <c r="Z51" i="22" s="1"/>
  <c r="AA51" i="22" s="1"/>
  <c r="W50" i="22"/>
  <c r="W34" i="22"/>
  <c r="Z34" i="22" s="1"/>
  <c r="W32" i="22"/>
  <c r="Z32" i="22" s="1"/>
  <c r="AA19" i="22"/>
  <c r="AD19" i="22" s="1"/>
  <c r="AE19" i="22" s="1"/>
  <c r="AH19" i="22" s="1"/>
  <c r="AI19" i="22" s="1"/>
  <c r="AL19" i="22" s="1"/>
  <c r="AA11" i="22"/>
  <c r="AD11" i="22" s="1"/>
  <c r="AE11" i="22" s="1"/>
  <c r="AH11" i="22" s="1"/>
  <c r="AI11" i="22" s="1"/>
  <c r="AL11" i="22" s="1"/>
  <c r="AD7" i="22"/>
  <c r="Z4" i="22"/>
  <c r="W89" i="22"/>
  <c r="Z89" i="22" s="1"/>
  <c r="W81" i="22"/>
  <c r="Z75" i="22"/>
  <c r="W76" i="22"/>
  <c r="Z76" i="22" s="1"/>
  <c r="AA76" i="22" s="1"/>
  <c r="AA54" i="22"/>
  <c r="AD54" i="22" s="1"/>
  <c r="AA53" i="22"/>
  <c r="AD53" i="22" s="1"/>
  <c r="Z46" i="22"/>
  <c r="AA46" i="22" s="1"/>
  <c r="AA45" i="22"/>
  <c r="AD45" i="22" s="1"/>
  <c r="AA43" i="22"/>
  <c r="AD43" i="22" s="1"/>
  <c r="AA44" i="22"/>
  <c r="AD44" i="22" s="1"/>
  <c r="W42" i="22"/>
  <c r="AA41" i="22"/>
  <c r="AD41" i="22" s="1"/>
  <c r="AD35" i="22"/>
  <c r="AE35" i="22" s="1"/>
  <c r="AD30" i="22"/>
  <c r="W27" i="22"/>
  <c r="Z27" i="22" s="1"/>
  <c r="AD28" i="22"/>
  <c r="AE28" i="22" s="1"/>
  <c r="AD24" i="22"/>
  <c r="AA16" i="22"/>
  <c r="AD16" i="22" s="1"/>
  <c r="AA13" i="22"/>
  <c r="AD13" i="22" s="1"/>
  <c r="AA60" i="22"/>
  <c r="AD60" i="22" s="1"/>
  <c r="W48" i="22"/>
  <c r="W84" i="22"/>
  <c r="S2" i="22"/>
  <c r="V2" i="22" s="1"/>
  <c r="W68" i="22"/>
  <c r="Z68" i="22" s="1"/>
  <c r="W64" i="22"/>
  <c r="Z64" i="22" s="1"/>
  <c r="W38" i="22"/>
  <c r="Z38" i="22" s="1"/>
  <c r="AA85" i="22"/>
  <c r="AD85" i="22" s="1"/>
  <c r="AA71" i="22"/>
  <c r="AD71" i="22" s="1"/>
  <c r="AA14" i="22"/>
  <c r="AD14" i="22" s="1"/>
  <c r="AA55" i="22"/>
  <c r="AD55" i="22" s="1"/>
  <c r="AE18" i="22"/>
  <c r="AH18" i="22" s="1"/>
  <c r="AE20" i="22"/>
  <c r="AH20" i="22" s="1"/>
  <c r="AA86" i="22"/>
  <c r="AD86" i="22" s="1"/>
  <c r="AA87" i="22"/>
  <c r="AD87" i="22" s="1"/>
  <c r="AE67" i="22"/>
  <c r="AH67" i="22" s="1"/>
  <c r="AE29" i="22"/>
  <c r="AH29" i="22" s="1"/>
  <c r="AA56" i="22"/>
  <c r="AD56" i="22" s="1"/>
  <c r="AA33" i="22"/>
  <c r="AD33" i="22" s="1"/>
  <c r="AA22" i="22"/>
  <c r="AD22" i="22" s="1"/>
  <c r="AI23" i="22"/>
  <c r="AL23" i="22" s="1"/>
  <c r="AA31" i="22"/>
  <c r="AD31" i="22" s="1"/>
  <c r="AA78" i="22"/>
  <c r="AD78" i="22" s="1"/>
  <c r="AA47" i="22"/>
  <c r="AD47" i="22" s="1"/>
  <c r="W3" i="22"/>
  <c r="Z3" i="22" s="1"/>
  <c r="AE83" i="22"/>
  <c r="AH83" i="22" s="1"/>
  <c r="AE52" i="22"/>
  <c r="AH52" i="22" s="1"/>
  <c r="AE21" i="22"/>
  <c r="AH21" i="22" s="1"/>
  <c r="W39" i="22"/>
  <c r="Z39" i="22" s="1"/>
  <c r="W69" i="22"/>
  <c r="Z69" i="22" s="1"/>
  <c r="AE66" i="22"/>
  <c r="AH66" i="22" s="1"/>
  <c r="AA40" i="22"/>
  <c r="AD40" i="22" s="1"/>
  <c r="AA6" i="22"/>
  <c r="AD6" i="22" s="1"/>
  <c r="W80" i="22"/>
  <c r="Z80" i="22" s="1"/>
  <c r="W12" i="22"/>
  <c r="Z12" i="22" s="1"/>
  <c r="AA59" i="22"/>
  <c r="AD59" i="22" s="1"/>
  <c r="W61" i="22"/>
  <c r="Z61" i="22" s="1"/>
  <c r="W57" i="22"/>
  <c r="Z57" i="22" s="1"/>
  <c r="AE79" i="22"/>
  <c r="AH79" i="22" s="1"/>
  <c r="AE5" i="22"/>
  <c r="AH5" i="22" s="1"/>
  <c r="W73" i="22"/>
  <c r="Z73" i="22" s="1"/>
  <c r="W26" i="22"/>
  <c r="Z26" i="22" s="1"/>
  <c r="S25" i="22"/>
  <c r="V25" i="22" s="1"/>
  <c r="R92" i="22"/>
  <c r="AL36" i="30" l="1"/>
  <c r="AO36" i="30" s="1"/>
  <c r="AP36" i="30" s="1"/>
  <c r="AS36" i="30" s="1"/>
  <c r="AT36" i="30" s="1"/>
  <c r="AW36" i="30" s="1"/>
  <c r="AH8" i="30"/>
  <c r="AK8" i="30" s="1"/>
  <c r="AL8" i="30" s="1"/>
  <c r="AT29" i="30"/>
  <c r="AW29" i="30" s="1"/>
  <c r="AL34" i="30"/>
  <c r="AO34" i="30" s="1"/>
  <c r="AP34" i="30" s="1"/>
  <c r="AS34" i="30" s="1"/>
  <c r="AL51" i="30"/>
  <c r="AO51" i="30"/>
  <c r="AT69" i="30"/>
  <c r="AW69" i="30"/>
  <c r="AH14" i="30"/>
  <c r="AK14" i="30"/>
  <c r="Z83" i="30"/>
  <c r="AC83" i="30"/>
  <c r="AC13" i="30"/>
  <c r="AD13" i="30" s="1"/>
  <c r="AG13" i="30" s="1"/>
  <c r="Z23" i="30"/>
  <c r="AC23" i="30"/>
  <c r="AP76" i="30"/>
  <c r="AS76" i="30" s="1"/>
  <c r="AT76" i="30" s="1"/>
  <c r="AW76" i="30" s="1"/>
  <c r="AX76" i="30" s="1"/>
  <c r="BA76" i="30" s="1"/>
  <c r="Z21" i="30"/>
  <c r="AC21" i="30" s="1"/>
  <c r="AD21" i="30" s="1"/>
  <c r="Z25" i="30"/>
  <c r="AC25" i="30" s="1"/>
  <c r="AD25" i="30" s="1"/>
  <c r="AG25" i="30" s="1"/>
  <c r="AH25" i="30" s="1"/>
  <c r="AK25" i="30" s="1"/>
  <c r="AX31" i="30"/>
  <c r="BA31" i="30" s="1"/>
  <c r="BB31" i="30" s="1"/>
  <c r="BE31" i="30" s="1"/>
  <c r="Z75" i="30"/>
  <c r="AC75" i="30" s="1"/>
  <c r="AD75" i="30" s="1"/>
  <c r="AG75" i="30" s="1"/>
  <c r="AD18" i="30"/>
  <c r="AG18" i="30" s="1"/>
  <c r="AH18" i="30" s="1"/>
  <c r="AK18" i="30" s="1"/>
  <c r="AL18" i="30" s="1"/>
  <c r="AO18" i="30" s="1"/>
  <c r="AP18" i="30" s="1"/>
  <c r="AS18" i="30" s="1"/>
  <c r="AT18" i="30" s="1"/>
  <c r="AW18" i="30" s="1"/>
  <c r="BF41" i="30"/>
  <c r="BI41" i="30" s="1"/>
  <c r="BJ41" i="30" s="1"/>
  <c r="L41" i="30" s="1"/>
  <c r="AH4" i="30"/>
  <c r="AK4" i="30" s="1"/>
  <c r="AH82" i="30"/>
  <c r="AK82" i="30"/>
  <c r="AL82" i="30" s="1"/>
  <c r="AO82" i="30" s="1"/>
  <c r="AT50" i="30"/>
  <c r="AW50" i="30"/>
  <c r="AC54" i="30"/>
  <c r="AD54" i="30" s="1"/>
  <c r="AG54" i="30" s="1"/>
  <c r="AH55" i="30"/>
  <c r="AK55" i="30" s="1"/>
  <c r="AD28" i="30"/>
  <c r="AG28" i="30"/>
  <c r="AH28" i="30" s="1"/>
  <c r="AK28" i="30" s="1"/>
  <c r="AL28" i="30" s="1"/>
  <c r="AO28" i="30" s="1"/>
  <c r="AL59" i="30"/>
  <c r="AO59" i="30" s="1"/>
  <c r="AP59" i="30" s="1"/>
  <c r="AS59" i="30" s="1"/>
  <c r="AT59" i="30" s="1"/>
  <c r="AW59" i="30" s="1"/>
  <c r="AK43" i="30"/>
  <c r="AH88" i="30"/>
  <c r="AK88" i="30"/>
  <c r="AL88" i="30" s="1"/>
  <c r="AO88" i="30" s="1"/>
  <c r="Z49" i="30"/>
  <c r="AC49" i="30" s="1"/>
  <c r="V45" i="30"/>
  <c r="Y45" i="30" s="1"/>
  <c r="Z45" i="30" s="1"/>
  <c r="AC45" i="30" s="1"/>
  <c r="AD45" i="30" s="1"/>
  <c r="AG45" i="30" s="1"/>
  <c r="AH45" i="30" s="1"/>
  <c r="AK45" i="30" s="1"/>
  <c r="AL64" i="30"/>
  <c r="AO64" i="30" s="1"/>
  <c r="Z56" i="30"/>
  <c r="AC56" i="30"/>
  <c r="AP62" i="30"/>
  <c r="AS62" i="30" s="1"/>
  <c r="AT62" i="30" s="1"/>
  <c r="AW62" i="30" s="1"/>
  <c r="AX62" i="30" s="1"/>
  <c r="BA62" i="30" s="1"/>
  <c r="V90" i="30"/>
  <c r="Y90" i="30" s="1"/>
  <c r="Z90" i="30" s="1"/>
  <c r="AC90" i="30" s="1"/>
  <c r="AD90" i="30" s="1"/>
  <c r="AG90" i="30" s="1"/>
  <c r="V26" i="30"/>
  <c r="Y26" i="30" s="1"/>
  <c r="Z26" i="30" s="1"/>
  <c r="AC26" i="30" s="1"/>
  <c r="AT12" i="30"/>
  <c r="AW12" i="30" s="1"/>
  <c r="AT46" i="30"/>
  <c r="AW46" i="30"/>
  <c r="V57" i="30"/>
  <c r="Y57" i="30" s="1"/>
  <c r="AH32" i="30"/>
  <c r="AK32" i="30"/>
  <c r="AD24" i="30"/>
  <c r="AG24" i="30" s="1"/>
  <c r="AH24" i="30" s="1"/>
  <c r="AK24" i="30" s="1"/>
  <c r="V2" i="30"/>
  <c r="U91" i="30"/>
  <c r="Y2" i="30"/>
  <c r="R91" i="30"/>
  <c r="M86" i="30"/>
  <c r="N86" i="30"/>
  <c r="I86" i="30"/>
  <c r="E86" i="26" s="1"/>
  <c r="Q86" i="26" s="1"/>
  <c r="AH38" i="30"/>
  <c r="AK38" i="30" s="1"/>
  <c r="AL38" i="30" s="1"/>
  <c r="AO38" i="30" s="1"/>
  <c r="AP38" i="30" s="1"/>
  <c r="AS38" i="30" s="1"/>
  <c r="AT38" i="30" s="1"/>
  <c r="AW38" i="30" s="1"/>
  <c r="AL16" i="30"/>
  <c r="AO16" i="30" s="1"/>
  <c r="Z85" i="30"/>
  <c r="Z84" i="30"/>
  <c r="AD47" i="30"/>
  <c r="AG47" i="30" s="1"/>
  <c r="Z74" i="30"/>
  <c r="AC74" i="30" s="1"/>
  <c r="Z6" i="30"/>
  <c r="V78" i="30"/>
  <c r="Y78" i="30" s="1"/>
  <c r="AD30" i="30"/>
  <c r="AG30" i="30" s="1"/>
  <c r="AH30" i="30" s="1"/>
  <c r="AK30" i="30" s="1"/>
  <c r="AL30" i="30" s="1"/>
  <c r="AO30" i="30" s="1"/>
  <c r="AT67" i="30"/>
  <c r="AW67" i="30" s="1"/>
  <c r="AD44" i="30"/>
  <c r="AG44" i="30" s="1"/>
  <c r="Z80" i="30"/>
  <c r="BB3" i="30"/>
  <c r="BE3" i="30" s="1"/>
  <c r="AL68" i="30"/>
  <c r="AO68" i="30" s="1"/>
  <c r="AH52" i="30"/>
  <c r="AK52" i="30" s="1"/>
  <c r="AX7" i="30"/>
  <c r="BA7" i="30" s="1"/>
  <c r="AL37" i="30"/>
  <c r="V53" i="30"/>
  <c r="Y53" i="30" s="1"/>
  <c r="Z53" i="30" s="1"/>
  <c r="AC53" i="30" s="1"/>
  <c r="Z81" i="30"/>
  <c r="AC81" i="30" s="1"/>
  <c r="V48" i="30"/>
  <c r="Y48" i="30" s="1"/>
  <c r="V73" i="30"/>
  <c r="Y73" i="30" s="1"/>
  <c r="AH71" i="30"/>
  <c r="AK71" i="30" s="1"/>
  <c r="Z60" i="30"/>
  <c r="AC60" i="30" s="1"/>
  <c r="AP70" i="30"/>
  <c r="AS70" i="30" s="1"/>
  <c r="AL5" i="30"/>
  <c r="AO5" i="30" s="1"/>
  <c r="AP77" i="30"/>
  <c r="AS77" i="30" s="1"/>
  <c r="AT77" i="30" s="1"/>
  <c r="AW77" i="30" s="1"/>
  <c r="AX77" i="30" s="1"/>
  <c r="BA77" i="30" s="1"/>
  <c r="AH20" i="30"/>
  <c r="AK20" i="30" s="1"/>
  <c r="Z17" i="30"/>
  <c r="AC17" i="30" s="1"/>
  <c r="AL42" i="30"/>
  <c r="AO42" i="30" s="1"/>
  <c r="AX39" i="30"/>
  <c r="BA39" i="30" s="1"/>
  <c r="BB39" i="30" s="1"/>
  <c r="BE39" i="30" s="1"/>
  <c r="BB40" i="30"/>
  <c r="BE40" i="30" s="1"/>
  <c r="Z10" i="30"/>
  <c r="AC10" i="30" s="1"/>
  <c r="AD63" i="30"/>
  <c r="AG63" i="30" s="1"/>
  <c r="AH63" i="30" s="1"/>
  <c r="AK63" i="30" s="1"/>
  <c r="AL63" i="30" s="1"/>
  <c r="AO63" i="30" s="1"/>
  <c r="AP27" i="30"/>
  <c r="AS27" i="30" s="1"/>
  <c r="AT27" i="30" s="1"/>
  <c r="AW27" i="30" s="1"/>
  <c r="AX27" i="30" s="1"/>
  <c r="BA27" i="30" s="1"/>
  <c r="AH65" i="30"/>
  <c r="AK65" i="30" s="1"/>
  <c r="M58" i="30"/>
  <c r="I58" i="30"/>
  <c r="E58" i="26" s="1"/>
  <c r="Q58" i="26" s="1"/>
  <c r="N58" i="30"/>
  <c r="AD79" i="30"/>
  <c r="AG79" i="30" s="1"/>
  <c r="AH79" i="30" s="1"/>
  <c r="AK79" i="30" s="1"/>
  <c r="AL79" i="30" s="1"/>
  <c r="AO79" i="30" s="1"/>
  <c r="AH66" i="30"/>
  <c r="AK66" i="30"/>
  <c r="AH72" i="30"/>
  <c r="AK72" i="30"/>
  <c r="Y35" i="30"/>
  <c r="Y61" i="30"/>
  <c r="Z61" i="30" s="1"/>
  <c r="AC61" i="30" s="1"/>
  <c r="AD61" i="30" s="1"/>
  <c r="AG61" i="30" s="1"/>
  <c r="Y19" i="30"/>
  <c r="AG89" i="30"/>
  <c r="AH89" i="30" s="1"/>
  <c r="AK89" i="30" s="1"/>
  <c r="AL22" i="30"/>
  <c r="V87" i="30"/>
  <c r="Z9" i="30"/>
  <c r="AC9" i="30" s="1"/>
  <c r="AD9" i="30" s="1"/>
  <c r="AG9" i="30" s="1"/>
  <c r="AH9" i="30" s="1"/>
  <c r="AK9" i="30" s="1"/>
  <c r="AL9" i="30" s="1"/>
  <c r="AO9" i="30" s="1"/>
  <c r="AP9" i="30" s="1"/>
  <c r="AS9" i="30" s="1"/>
  <c r="AC11" i="30"/>
  <c r="AD11" i="30" s="1"/>
  <c r="AG11" i="30" s="1"/>
  <c r="Z15" i="30"/>
  <c r="AP33" i="30"/>
  <c r="AS33" i="30" s="1"/>
  <c r="D15" i="7"/>
  <c r="E15" i="7" s="1"/>
  <c r="F15" i="7" s="1"/>
  <c r="I15" i="7" s="1"/>
  <c r="D13" i="7"/>
  <c r="E13" i="7" s="1"/>
  <c r="E7" i="7"/>
  <c r="J7" i="7"/>
  <c r="W49" i="22"/>
  <c r="Z49" i="22" s="1"/>
  <c r="AA49" i="22" s="1"/>
  <c r="AD49" i="22" s="1"/>
  <c r="AE49" i="22" s="1"/>
  <c r="AH49" i="22" s="1"/>
  <c r="AD88" i="22"/>
  <c r="AE88" i="22" s="1"/>
  <c r="AD90" i="22"/>
  <c r="AA77" i="22"/>
  <c r="AD77" i="22" s="1"/>
  <c r="AD51" i="22"/>
  <c r="Z50" i="22"/>
  <c r="AE36" i="22"/>
  <c r="AH36" i="22" s="1"/>
  <c r="AA34" i="22"/>
  <c r="AD34" i="22" s="1"/>
  <c r="AA32" i="22"/>
  <c r="AD32" i="22" s="1"/>
  <c r="AE7" i="22"/>
  <c r="AH7" i="22" s="1"/>
  <c r="AA4" i="22"/>
  <c r="AD4" i="22" s="1"/>
  <c r="Z84" i="22"/>
  <c r="AA84" i="22" s="1"/>
  <c r="Z81" i="22"/>
  <c r="AA81" i="22" s="1"/>
  <c r="AA75" i="22"/>
  <c r="AD75" i="22" s="1"/>
  <c r="AE75" i="22" s="1"/>
  <c r="AD76" i="22"/>
  <c r="AI74" i="22"/>
  <c r="AL74" i="22" s="1"/>
  <c r="AE60" i="22"/>
  <c r="AH60" i="22" s="1"/>
  <c r="AE54" i="22"/>
  <c r="AH54" i="22" s="1"/>
  <c r="AE53" i="22"/>
  <c r="AH53" i="22" s="1"/>
  <c r="Z48" i="22"/>
  <c r="AA48" i="22" s="1"/>
  <c r="AD46" i="22"/>
  <c r="AE45" i="22"/>
  <c r="AH45" i="22" s="1"/>
  <c r="AI45" i="22" s="1"/>
  <c r="AE43" i="22"/>
  <c r="AH43" i="22" s="1"/>
  <c r="AI43" i="22" s="1"/>
  <c r="AE44" i="22"/>
  <c r="AH44" i="22" s="1"/>
  <c r="Z42" i="22"/>
  <c r="AE41" i="22"/>
  <c r="AH41" i="22" s="1"/>
  <c r="AH35" i="22"/>
  <c r="AI35" i="22" s="1"/>
  <c r="AE30" i="22"/>
  <c r="AH30" i="22" s="1"/>
  <c r="AA27" i="22"/>
  <c r="AD27" i="22" s="1"/>
  <c r="AH28" i="22"/>
  <c r="AE24" i="22"/>
  <c r="AH24" i="22" s="1"/>
  <c r="AI24" i="22" s="1"/>
  <c r="AE16" i="22"/>
  <c r="AH16" i="22" s="1"/>
  <c r="AE13" i="22"/>
  <c r="AH13" i="22" s="1"/>
  <c r="AA38" i="22"/>
  <c r="AA68" i="22"/>
  <c r="AA64" i="22"/>
  <c r="AD64" i="22" s="1"/>
  <c r="W2" i="22"/>
  <c r="Z2" i="22" s="1"/>
  <c r="AI66" i="22"/>
  <c r="AL66" i="22" s="1"/>
  <c r="AI83" i="22"/>
  <c r="AL83" i="22" s="1"/>
  <c r="AI79" i="22"/>
  <c r="AL79" i="22" s="1"/>
  <c r="AI20" i="22"/>
  <c r="AL20" i="22" s="1"/>
  <c r="AI82" i="22"/>
  <c r="AL82" i="22" s="1"/>
  <c r="AE59" i="22"/>
  <c r="AH59" i="22" s="1"/>
  <c r="AI52" i="22"/>
  <c r="AL52" i="22" s="1"/>
  <c r="AA39" i="22"/>
  <c r="AD39" i="22" s="1"/>
  <c r="AA3" i="22"/>
  <c r="AD3" i="22" s="1"/>
  <c r="AE55" i="22"/>
  <c r="AH55" i="22" s="1"/>
  <c r="AI5" i="22"/>
  <c r="AL5" i="22" s="1"/>
  <c r="AE17" i="22"/>
  <c r="AH17" i="22" s="1"/>
  <c r="AE22" i="22"/>
  <c r="AH22" i="22" s="1"/>
  <c r="AI67" i="22"/>
  <c r="AL67" i="22" s="1"/>
  <c r="AE86" i="22"/>
  <c r="AH86" i="22" s="1"/>
  <c r="AE40" i="22"/>
  <c r="AH40" i="22" s="1"/>
  <c r="AE33" i="22"/>
  <c r="AH33" i="22" s="1"/>
  <c r="AA15" i="22"/>
  <c r="AD15" i="22" s="1"/>
  <c r="AE6" i="22"/>
  <c r="AH6" i="22" s="1"/>
  <c r="AE9" i="22"/>
  <c r="AH9" i="22" s="1"/>
  <c r="AI21" i="22"/>
  <c r="AL21" i="22" s="1"/>
  <c r="AE63" i="22"/>
  <c r="AH63" i="22" s="1"/>
  <c r="AA57" i="22"/>
  <c r="AD57" i="22" s="1"/>
  <c r="AA61" i="22"/>
  <c r="AD61" i="22" s="1"/>
  <c r="AA72" i="22"/>
  <c r="AD72" i="22" s="1"/>
  <c r="AE10" i="22"/>
  <c r="AH10" i="22" s="1"/>
  <c r="AE8" i="22"/>
  <c r="AH8" i="22" s="1"/>
  <c r="AE58" i="22"/>
  <c r="AH58" i="22" s="1"/>
  <c r="AA73" i="22"/>
  <c r="AD73" i="22" s="1"/>
  <c r="AM37" i="22"/>
  <c r="AP37" i="22" s="1"/>
  <c r="AA70" i="22"/>
  <c r="AD70" i="22" s="1"/>
  <c r="AM11" i="22"/>
  <c r="AP11" i="22" s="1"/>
  <c r="AE56" i="22"/>
  <c r="AH56" i="22" s="1"/>
  <c r="AI29" i="22"/>
  <c r="AL29" i="22" s="1"/>
  <c r="AI18" i="22"/>
  <c r="AL18" i="22" s="1"/>
  <c r="AA62" i="22"/>
  <c r="AD62" i="22" s="1"/>
  <c r="AM19" i="22"/>
  <c r="AP19" i="22" s="1"/>
  <c r="AE71" i="22"/>
  <c r="AH71" i="22" s="1"/>
  <c r="AA89" i="22"/>
  <c r="AD89" i="22" s="1"/>
  <c r="AA26" i="22"/>
  <c r="AD26" i="22" s="1"/>
  <c r="W25" i="22"/>
  <c r="Z25" i="22" s="1"/>
  <c r="V92" i="22"/>
  <c r="S92" i="22"/>
  <c r="AT34" i="30" l="1"/>
  <c r="AW34" i="30" s="1"/>
  <c r="AO8" i="30"/>
  <c r="AX29" i="30"/>
  <c r="AX36" i="30"/>
  <c r="BA36" i="30" s="1"/>
  <c r="BB36" i="30" s="1"/>
  <c r="BE36" i="30" s="1"/>
  <c r="BF36" i="30" s="1"/>
  <c r="BI36" i="30" s="1"/>
  <c r="BJ36" i="30" s="1"/>
  <c r="L36" i="30" s="1"/>
  <c r="AT9" i="30"/>
  <c r="AW9" i="30" s="1"/>
  <c r="AX9" i="30" s="1"/>
  <c r="BF39" i="30"/>
  <c r="BI39" i="30"/>
  <c r="BJ39" i="30" s="1"/>
  <c r="L39" i="30" s="1"/>
  <c r="AL20" i="30"/>
  <c r="AO20" i="30"/>
  <c r="AP20" i="30" s="1"/>
  <c r="AS20" i="30" s="1"/>
  <c r="AT20" i="30" s="1"/>
  <c r="AW20" i="30" s="1"/>
  <c r="AP5" i="30"/>
  <c r="AS5" i="30" s="1"/>
  <c r="AT5" i="30" s="1"/>
  <c r="AW5" i="30" s="1"/>
  <c r="AX5" i="30" s="1"/>
  <c r="BA5" i="30" s="1"/>
  <c r="AD60" i="30"/>
  <c r="AG60" i="30" s="1"/>
  <c r="AH60" i="30" s="1"/>
  <c r="AK60" i="30" s="1"/>
  <c r="AL60" i="30" s="1"/>
  <c r="AO60" i="30" s="1"/>
  <c r="Z73" i="30"/>
  <c r="AC73" i="30"/>
  <c r="AD81" i="30"/>
  <c r="AG81" i="30" s="1"/>
  <c r="AL52" i="30"/>
  <c r="AO52" i="30" s="1"/>
  <c r="AP52" i="30" s="1"/>
  <c r="AS52" i="30" s="1"/>
  <c r="AT52" i="30" s="1"/>
  <c r="AW52" i="30" s="1"/>
  <c r="AX67" i="30"/>
  <c r="BA67" i="30" s="1"/>
  <c r="BB67" i="30" s="1"/>
  <c r="BE67" i="30" s="1"/>
  <c r="BF67" i="30" s="1"/>
  <c r="BI67" i="30" s="1"/>
  <c r="BJ67" i="30" s="1"/>
  <c r="L67" i="30" s="1"/>
  <c r="Z78" i="30"/>
  <c r="AC78" i="30" s="1"/>
  <c r="AD78" i="30" s="1"/>
  <c r="AG78" i="30" s="1"/>
  <c r="AD74" i="30"/>
  <c r="AG74" i="30" s="1"/>
  <c r="AP16" i="30"/>
  <c r="AS16" i="30" s="1"/>
  <c r="AT16" i="30" s="1"/>
  <c r="AW16" i="30" s="1"/>
  <c r="AX16" i="30" s="1"/>
  <c r="BA16" i="30" s="1"/>
  <c r="AX12" i="30"/>
  <c r="BA12" i="30" s="1"/>
  <c r="AL25" i="30"/>
  <c r="AO25" i="30" s="1"/>
  <c r="AT33" i="30"/>
  <c r="AW33" i="30" s="1"/>
  <c r="AP79" i="30"/>
  <c r="AS79" i="30" s="1"/>
  <c r="AL65" i="30"/>
  <c r="AO65" i="30" s="1"/>
  <c r="AD17" i="30"/>
  <c r="AG17" i="30"/>
  <c r="BB77" i="30"/>
  <c r="BE77" i="30"/>
  <c r="BF77" i="30" s="1"/>
  <c r="BI77" i="30" s="1"/>
  <c r="BJ77" i="30" s="1"/>
  <c r="L77" i="30" s="1"/>
  <c r="AT70" i="30"/>
  <c r="AW70" i="30" s="1"/>
  <c r="AL71" i="30"/>
  <c r="AO71" i="30" s="1"/>
  <c r="Z48" i="30"/>
  <c r="AC48" i="30" s="1"/>
  <c r="AD48" i="30" s="1"/>
  <c r="AG48" i="30" s="1"/>
  <c r="AD53" i="30"/>
  <c r="AG53" i="30"/>
  <c r="AH53" i="30" s="1"/>
  <c r="AK53" i="30" s="1"/>
  <c r="AL53" i="30" s="1"/>
  <c r="AO53" i="30" s="1"/>
  <c r="BB7" i="30"/>
  <c r="BE7" i="30" s="1"/>
  <c r="BF3" i="30"/>
  <c r="BI3" i="30" s="1"/>
  <c r="BJ3" i="30" s="1"/>
  <c r="L3" i="30" s="1"/>
  <c r="AH44" i="30"/>
  <c r="AK44" i="30"/>
  <c r="AL44" i="30" s="1"/>
  <c r="AO44" i="30" s="1"/>
  <c r="AP44" i="30" s="1"/>
  <c r="AS44" i="30" s="1"/>
  <c r="AT44" i="30" s="1"/>
  <c r="AW44" i="30" s="1"/>
  <c r="AX44" i="30" s="1"/>
  <c r="BA44" i="30" s="1"/>
  <c r="AP30" i="30"/>
  <c r="AS30" i="30" s="1"/>
  <c r="AT30" i="30" s="1"/>
  <c r="AW30" i="30" s="1"/>
  <c r="AH47" i="30"/>
  <c r="AK47" i="30"/>
  <c r="BF31" i="30"/>
  <c r="BI31" i="30"/>
  <c r="BJ31" i="30" s="1"/>
  <c r="L31" i="30" s="1"/>
  <c r="AG21" i="30"/>
  <c r="Z19" i="30"/>
  <c r="AC19" i="30" s="1"/>
  <c r="AD19" i="30" s="1"/>
  <c r="AG19" i="30" s="1"/>
  <c r="AH61" i="30"/>
  <c r="AK61" i="30" s="1"/>
  <c r="AL72" i="30"/>
  <c r="AO72" i="30" s="1"/>
  <c r="AL66" i="30"/>
  <c r="AO66" i="30" s="1"/>
  <c r="AP66" i="30" s="1"/>
  <c r="AS66" i="30" s="1"/>
  <c r="AT66" i="30" s="1"/>
  <c r="AW66" i="30" s="1"/>
  <c r="BB27" i="30"/>
  <c r="BE27" i="30" s="1"/>
  <c r="AP63" i="30"/>
  <c r="AS63" i="30" s="1"/>
  <c r="AT63" i="30" s="1"/>
  <c r="AW63" i="30" s="1"/>
  <c r="AX63" i="30" s="1"/>
  <c r="BA63" i="30" s="1"/>
  <c r="BB63" i="30" s="1"/>
  <c r="BE63" i="30" s="1"/>
  <c r="AD10" i="30"/>
  <c r="AG10" i="30" s="1"/>
  <c r="BF40" i="30"/>
  <c r="BI40" i="30" s="1"/>
  <c r="BJ40" i="30" s="1"/>
  <c r="L40" i="30" s="1"/>
  <c r="AP42" i="30"/>
  <c r="AS42" i="30" s="1"/>
  <c r="AT42" i="30" s="1"/>
  <c r="AW42" i="30" s="1"/>
  <c r="AX42" i="30" s="1"/>
  <c r="BA42" i="30" s="1"/>
  <c r="BB42" i="30" s="1"/>
  <c r="BE42" i="30" s="1"/>
  <c r="AP68" i="30"/>
  <c r="AS68" i="30" s="1"/>
  <c r="AT68" i="30" s="1"/>
  <c r="AW68" i="30" s="1"/>
  <c r="AX38" i="30"/>
  <c r="BA38" i="30"/>
  <c r="Z2" i="30"/>
  <c r="AC2" i="30" s="1"/>
  <c r="V91" i="30"/>
  <c r="AL24" i="30"/>
  <c r="AO24" i="30"/>
  <c r="AL32" i="30"/>
  <c r="AO32" i="30"/>
  <c r="Z57" i="30"/>
  <c r="AC57" i="30" s="1"/>
  <c r="AX46" i="30"/>
  <c r="BA46" i="30" s="1"/>
  <c r="AD26" i="30"/>
  <c r="AG26" i="30" s="1"/>
  <c r="AH90" i="30"/>
  <c r="AK90" i="30" s="1"/>
  <c r="BB62" i="30"/>
  <c r="BE62" i="30" s="1"/>
  <c r="BF62" i="30" s="1"/>
  <c r="BI62" i="30" s="1"/>
  <c r="BJ62" i="30" s="1"/>
  <c r="AD56" i="30"/>
  <c r="AG56" i="30" s="1"/>
  <c r="AH56" i="30" s="1"/>
  <c r="AK56" i="30" s="1"/>
  <c r="AL56" i="30" s="1"/>
  <c r="AO56" i="30" s="1"/>
  <c r="AP64" i="30"/>
  <c r="AS64" i="30" s="1"/>
  <c r="AT64" i="30" s="1"/>
  <c r="AW64" i="30" s="1"/>
  <c r="AX64" i="30" s="1"/>
  <c r="BA64" i="30" s="1"/>
  <c r="BB64" i="30" s="1"/>
  <c r="BE64" i="30" s="1"/>
  <c r="AL45" i="30"/>
  <c r="AO45" i="30" s="1"/>
  <c r="AD49" i="30"/>
  <c r="AG49" i="30" s="1"/>
  <c r="AH49" i="30" s="1"/>
  <c r="AK49" i="30" s="1"/>
  <c r="AL49" i="30" s="1"/>
  <c r="AO49" i="30" s="1"/>
  <c r="AP49" i="30" s="1"/>
  <c r="AS49" i="30" s="1"/>
  <c r="AP88" i="30"/>
  <c r="AS88" i="30" s="1"/>
  <c r="AX59" i="30"/>
  <c r="BA59" i="30" s="1"/>
  <c r="BB59" i="30" s="1"/>
  <c r="BE59" i="30" s="1"/>
  <c r="AP28" i="30"/>
  <c r="AS28" i="30" s="1"/>
  <c r="AL55" i="30"/>
  <c r="AO55" i="30" s="1"/>
  <c r="AX50" i="30"/>
  <c r="BA50" i="30" s="1"/>
  <c r="BB50" i="30" s="1"/>
  <c r="BE50" i="30" s="1"/>
  <c r="BF50" i="30" s="1"/>
  <c r="BI50" i="30" s="1"/>
  <c r="BJ50" i="30" s="1"/>
  <c r="L50" i="30" s="1"/>
  <c r="AP82" i="30"/>
  <c r="AS82" i="30" s="1"/>
  <c r="AL4" i="30"/>
  <c r="AO4" i="30" s="1"/>
  <c r="N41" i="30"/>
  <c r="M41" i="30"/>
  <c r="I41" i="30"/>
  <c r="E41" i="26" s="1"/>
  <c r="Q41" i="26" s="1"/>
  <c r="R41" i="26" s="1"/>
  <c r="U41" i="26" s="1"/>
  <c r="AX18" i="30"/>
  <c r="BA18" i="30"/>
  <c r="AH75" i="30"/>
  <c r="AK75" i="30" s="1"/>
  <c r="BB76" i="30"/>
  <c r="BE76" i="30" s="1"/>
  <c r="AD23" i="30"/>
  <c r="AG23" i="30" s="1"/>
  <c r="AD83" i="30"/>
  <c r="AG83" i="30" s="1"/>
  <c r="AL14" i="30"/>
  <c r="AO14" i="30" s="1"/>
  <c r="AX69" i="30"/>
  <c r="BA69" i="30" s="1"/>
  <c r="BB69" i="30" s="1"/>
  <c r="BE69" i="30" s="1"/>
  <c r="BF69" i="30" s="1"/>
  <c r="BI69" i="30" s="1"/>
  <c r="BJ69" i="30" s="1"/>
  <c r="L69" i="30" s="1"/>
  <c r="AP51" i="30"/>
  <c r="AS51" i="30"/>
  <c r="AT51" i="30" s="1"/>
  <c r="AW51" i="30" s="1"/>
  <c r="AC15" i="30"/>
  <c r="AH11" i="30"/>
  <c r="AK11" i="30"/>
  <c r="Y87" i="30"/>
  <c r="Z87" i="30" s="1"/>
  <c r="AC87" i="30" s="1"/>
  <c r="AD87" i="30" s="1"/>
  <c r="AG87" i="30" s="1"/>
  <c r="AO22" i="30"/>
  <c r="AP22" i="30" s="1"/>
  <c r="AS22" i="30" s="1"/>
  <c r="AT22" i="30" s="1"/>
  <c r="AW22" i="30" s="1"/>
  <c r="AX22" i="30" s="1"/>
  <c r="BA22" i="30" s="1"/>
  <c r="AL89" i="30"/>
  <c r="Z35" i="30"/>
  <c r="R58" i="26"/>
  <c r="AO37" i="30"/>
  <c r="AC80" i="30"/>
  <c r="AD80" i="30" s="1"/>
  <c r="AG80" i="30" s="1"/>
  <c r="AH80" i="30" s="1"/>
  <c r="AK80" i="30" s="1"/>
  <c r="AC6" i="30"/>
  <c r="AD6" i="30" s="1"/>
  <c r="AG6" i="30" s="1"/>
  <c r="AH6" i="30" s="1"/>
  <c r="AK6" i="30" s="1"/>
  <c r="AL6" i="30" s="1"/>
  <c r="AO6" i="30" s="1"/>
  <c r="AP6" i="30" s="1"/>
  <c r="AS6" i="30" s="1"/>
  <c r="AC84" i="30"/>
  <c r="AC85" i="30"/>
  <c r="R86" i="26"/>
  <c r="U86" i="26"/>
  <c r="V86" i="26" s="1"/>
  <c r="Y86" i="26" s="1"/>
  <c r="Z86" i="26" s="1"/>
  <c r="AC86" i="26" s="1"/>
  <c r="AL43" i="30"/>
  <c r="AH54" i="30"/>
  <c r="AH13" i="30"/>
  <c r="AK13" i="30" s="1"/>
  <c r="F7" i="7"/>
  <c r="E21" i="7"/>
  <c r="N15" i="7"/>
  <c r="F13" i="7"/>
  <c r="I13" i="7" s="1"/>
  <c r="AH88" i="22"/>
  <c r="AE90" i="22"/>
  <c r="AH90" i="22" s="1"/>
  <c r="AE77" i="22"/>
  <c r="AH77" i="22" s="1"/>
  <c r="AE51" i="22"/>
  <c r="AH51" i="22" s="1"/>
  <c r="AA50" i="22"/>
  <c r="AD50" i="22" s="1"/>
  <c r="AE34" i="22"/>
  <c r="AH34" i="22" s="1"/>
  <c r="AE32" i="22"/>
  <c r="AH32" i="22" s="1"/>
  <c r="AE4" i="22"/>
  <c r="AH4" i="22" s="1"/>
  <c r="AA2" i="22"/>
  <c r="AD2" i="22" s="1"/>
  <c r="AD84" i="22"/>
  <c r="AD81" i="22"/>
  <c r="AH75" i="22"/>
  <c r="AE76" i="22"/>
  <c r="AH76" i="22" s="1"/>
  <c r="AM74" i="22"/>
  <c r="AP74" i="22" s="1"/>
  <c r="AD68" i="22"/>
  <c r="AE64" i="22"/>
  <c r="AH64" i="22" s="1"/>
  <c r="AI60" i="22"/>
  <c r="AL60" i="22" s="1"/>
  <c r="AM60" i="22" s="1"/>
  <c r="AI54" i="22"/>
  <c r="AL54" i="22" s="1"/>
  <c r="AI53" i="22"/>
  <c r="AL53" i="22" s="1"/>
  <c r="AI49" i="22"/>
  <c r="AL49" i="22" s="1"/>
  <c r="AD48" i="22"/>
  <c r="AE48" i="22" s="1"/>
  <c r="AE46" i="22"/>
  <c r="AH46" i="22" s="1"/>
  <c r="AL45" i="22"/>
  <c r="AM45" i="22" s="1"/>
  <c r="AL43" i="22"/>
  <c r="AM43" i="22" s="1"/>
  <c r="AI44" i="22"/>
  <c r="AL44" i="22" s="1"/>
  <c r="AA42" i="22"/>
  <c r="AD42" i="22" s="1"/>
  <c r="AD38" i="22"/>
  <c r="AL35" i="22"/>
  <c r="AI30" i="22"/>
  <c r="AL30" i="22" s="1"/>
  <c r="AE27" i="22"/>
  <c r="AH27" i="22" s="1"/>
  <c r="AL24" i="22"/>
  <c r="AI16" i="22"/>
  <c r="AL16" i="22" s="1"/>
  <c r="AI13" i="22"/>
  <c r="AL13" i="22" s="1"/>
  <c r="W92" i="22"/>
  <c r="AE62" i="22"/>
  <c r="AH62" i="22" s="1"/>
  <c r="AM21" i="22"/>
  <c r="AP21" i="22" s="1"/>
  <c r="AI22" i="22"/>
  <c r="AL22" i="22" s="1"/>
  <c r="AM79" i="22"/>
  <c r="AP79" i="22" s="1"/>
  <c r="AI9" i="22"/>
  <c r="AL9" i="22" s="1"/>
  <c r="AE72" i="22"/>
  <c r="AH72" i="22" s="1"/>
  <c r="AQ37" i="22"/>
  <c r="AT37" i="22" s="1"/>
  <c r="AE39" i="22"/>
  <c r="AH39" i="22" s="1"/>
  <c r="AQ19" i="22"/>
  <c r="AT19" i="22" s="1"/>
  <c r="AM29" i="22"/>
  <c r="AP29" i="22" s="1"/>
  <c r="AE73" i="22"/>
  <c r="AH73" i="22" s="1"/>
  <c r="AE31" i="22"/>
  <c r="AH31" i="22" s="1"/>
  <c r="AE78" i="22"/>
  <c r="AH78" i="22" s="1"/>
  <c r="AI58" i="22"/>
  <c r="AL58" i="22" s="1"/>
  <c r="AA80" i="22"/>
  <c r="AD80" i="22" s="1"/>
  <c r="AI86" i="22"/>
  <c r="AL86" i="22" s="1"/>
  <c r="AI17" i="22"/>
  <c r="AL17" i="22" s="1"/>
  <c r="AE65" i="22"/>
  <c r="AH65" i="22" s="1"/>
  <c r="AI28" i="22"/>
  <c r="AL28" i="22" s="1"/>
  <c r="AE89" i="22"/>
  <c r="AH89" i="22" s="1"/>
  <c r="AE15" i="22"/>
  <c r="AH15" i="22" s="1"/>
  <c r="AE14" i="22"/>
  <c r="AH14" i="22" s="1"/>
  <c r="AI71" i="22"/>
  <c r="AL71" i="22" s="1"/>
  <c r="AI8" i="22"/>
  <c r="AL8" i="22" s="1"/>
  <c r="AI33" i="22"/>
  <c r="AL33" i="22" s="1"/>
  <c r="AE3" i="22"/>
  <c r="AH3" i="22" s="1"/>
  <c r="AI59" i="22"/>
  <c r="AL59" i="22" s="1"/>
  <c r="AM82" i="22"/>
  <c r="AP82" i="22" s="1"/>
  <c r="AI56" i="22"/>
  <c r="AL56" i="22" s="1"/>
  <c r="AI41" i="22"/>
  <c r="AL41" i="22" s="1"/>
  <c r="AE47" i="22"/>
  <c r="AH47" i="22" s="1"/>
  <c r="AQ11" i="22"/>
  <c r="AT11" i="22" s="1"/>
  <c r="AI6" i="22"/>
  <c r="AL6" i="22" s="1"/>
  <c r="AA69" i="22"/>
  <c r="AD69" i="22" s="1"/>
  <c r="AM5" i="22"/>
  <c r="AP5" i="22" s="1"/>
  <c r="AM83" i="22"/>
  <c r="AP83" i="22" s="1"/>
  <c r="AM23" i="22"/>
  <c r="AP23" i="22" s="1"/>
  <c r="AA12" i="22"/>
  <c r="AD12" i="22" s="1"/>
  <c r="AM18" i="22"/>
  <c r="AP18" i="22" s="1"/>
  <c r="AE87" i="22"/>
  <c r="AH87" i="22" s="1"/>
  <c r="AI7" i="22"/>
  <c r="AL7" i="22" s="1"/>
  <c r="AE85" i="22"/>
  <c r="AH85" i="22" s="1"/>
  <c r="AI55" i="22"/>
  <c r="AL55" i="22" s="1"/>
  <c r="AM66" i="22"/>
  <c r="AP66" i="22" s="1"/>
  <c r="AI36" i="22"/>
  <c r="AL36" i="22" s="1"/>
  <c r="AE26" i="22"/>
  <c r="AH26" i="22" s="1"/>
  <c r="N36" i="30" l="1"/>
  <c r="I36" i="30"/>
  <c r="E36" i="26" s="1"/>
  <c r="Q36" i="26" s="1"/>
  <c r="R36" i="26" s="1"/>
  <c r="U36" i="26" s="1"/>
  <c r="M36" i="30"/>
  <c r="AX34" i="30"/>
  <c r="BA34" i="30"/>
  <c r="BB34" i="30" s="1"/>
  <c r="BE34" i="30" s="1"/>
  <c r="Y91" i="30"/>
  <c r="BA29" i="30"/>
  <c r="BB29" i="30" s="1"/>
  <c r="BE29" i="30" s="1"/>
  <c r="BF29" i="30" s="1"/>
  <c r="BI29" i="30" s="1"/>
  <c r="BJ29" i="30" s="1"/>
  <c r="AP8" i="30"/>
  <c r="M69" i="30"/>
  <c r="N69" i="30"/>
  <c r="I69" i="30"/>
  <c r="E69" i="26" s="1"/>
  <c r="Q69" i="26" s="1"/>
  <c r="R69" i="26" s="1"/>
  <c r="AT82" i="30"/>
  <c r="AW82" i="30" s="1"/>
  <c r="AP55" i="30"/>
  <c r="AS55" i="30" s="1"/>
  <c r="BF59" i="30"/>
  <c r="BI59" i="30" s="1"/>
  <c r="BJ59" i="30" s="1"/>
  <c r="L59" i="30" s="1"/>
  <c r="AP45" i="30"/>
  <c r="AS45" i="30" s="1"/>
  <c r="AH26" i="30"/>
  <c r="AK26" i="30" s="1"/>
  <c r="N40" i="30"/>
  <c r="M40" i="30"/>
  <c r="I40" i="30"/>
  <c r="E40" i="26" s="1"/>
  <c r="Q40" i="26" s="1"/>
  <c r="BF27" i="30"/>
  <c r="BI27" i="30" s="1"/>
  <c r="BJ27" i="30" s="1"/>
  <c r="L27" i="30" s="1"/>
  <c r="AP72" i="30"/>
  <c r="AS72" i="30" s="1"/>
  <c r="AX70" i="30"/>
  <c r="BA70" i="30" s="1"/>
  <c r="AP60" i="30"/>
  <c r="AS60" i="30" s="1"/>
  <c r="BA9" i="30"/>
  <c r="AL75" i="30"/>
  <c r="AO75" i="30"/>
  <c r="AP4" i="30"/>
  <c r="AS4" i="30" s="1"/>
  <c r="I50" i="30"/>
  <c r="E50" i="26" s="1"/>
  <c r="Q50" i="26" s="1"/>
  <c r="R50" i="26" s="1"/>
  <c r="U50" i="26" s="1"/>
  <c r="M50" i="30"/>
  <c r="N50" i="30"/>
  <c r="AT28" i="30"/>
  <c r="AW28" i="30" s="1"/>
  <c r="AX28" i="30" s="1"/>
  <c r="BA28" i="30" s="1"/>
  <c r="BB28" i="30" s="1"/>
  <c r="BE28" i="30" s="1"/>
  <c r="BF28" i="30" s="1"/>
  <c r="BI28" i="30" s="1"/>
  <c r="BJ28" i="30" s="1"/>
  <c r="L28" i="30" s="1"/>
  <c r="AT49" i="30"/>
  <c r="AW49" i="30" s="1"/>
  <c r="AP56" i="30"/>
  <c r="AS56" i="30" s="1"/>
  <c r="BF42" i="30"/>
  <c r="BI42" i="30" s="1"/>
  <c r="BJ42" i="30" s="1"/>
  <c r="L42" i="30" s="1"/>
  <c r="AH10" i="30"/>
  <c r="AK10" i="30" s="1"/>
  <c r="AX66" i="30"/>
  <c r="BA66" i="30" s="1"/>
  <c r="BB66" i="30" s="1"/>
  <c r="BE66" i="30" s="1"/>
  <c r="BF66" i="30" s="1"/>
  <c r="BI66" i="30" s="1"/>
  <c r="BJ66" i="30" s="1"/>
  <c r="L66" i="30" s="1"/>
  <c r="AL61" i="30"/>
  <c r="AO61" i="30" s="1"/>
  <c r="AX30" i="30"/>
  <c r="BA30" i="30" s="1"/>
  <c r="BB30" i="30" s="1"/>
  <c r="BE30" i="30" s="1"/>
  <c r="AH74" i="30"/>
  <c r="AK74" i="30" s="1"/>
  <c r="BB5" i="30"/>
  <c r="BE5" i="30" s="1"/>
  <c r="BF5" i="30" s="1"/>
  <c r="BI5" i="30" s="1"/>
  <c r="BJ5" i="30" s="1"/>
  <c r="AL13" i="30"/>
  <c r="AO13" i="30" s="1"/>
  <c r="AD86" i="26"/>
  <c r="AG86" i="26" s="1"/>
  <c r="AD85" i="30"/>
  <c r="AT6" i="30"/>
  <c r="AW6" i="30" s="1"/>
  <c r="AP37" i="30"/>
  <c r="BB22" i="30"/>
  <c r="BE22" i="30" s="1"/>
  <c r="AL11" i="30"/>
  <c r="AD15" i="30"/>
  <c r="AG15" i="30" s="1"/>
  <c r="AH15" i="30" s="1"/>
  <c r="AK15" i="30" s="1"/>
  <c r="AX51" i="30"/>
  <c r="BA51" i="30"/>
  <c r="BB51" i="30" s="1"/>
  <c r="BE51" i="30" s="1"/>
  <c r="BF51" i="30" s="1"/>
  <c r="BI51" i="30" s="1"/>
  <c r="BJ51" i="30" s="1"/>
  <c r="L51" i="30" s="1"/>
  <c r="AP14" i="30"/>
  <c r="AS14" i="30"/>
  <c r="AT14" i="30" s="1"/>
  <c r="AW14" i="30" s="1"/>
  <c r="AX14" i="30" s="1"/>
  <c r="BA14" i="30" s="1"/>
  <c r="BB14" i="30" s="1"/>
  <c r="BE14" i="30" s="1"/>
  <c r="BF14" i="30" s="1"/>
  <c r="BI14" i="30" s="1"/>
  <c r="BJ14" i="30" s="1"/>
  <c r="L14" i="30" s="1"/>
  <c r="AH83" i="30"/>
  <c r="AK83" i="30"/>
  <c r="AH23" i="30"/>
  <c r="BF76" i="30"/>
  <c r="BI76" i="30"/>
  <c r="BJ76" i="30" s="1"/>
  <c r="L76" i="30" s="1"/>
  <c r="BB18" i="30"/>
  <c r="BE18" i="30" s="1"/>
  <c r="V41" i="26"/>
  <c r="Y41" i="26" s="1"/>
  <c r="AT88" i="30"/>
  <c r="AW88" i="30" s="1"/>
  <c r="AX88" i="30" s="1"/>
  <c r="BA88" i="30" s="1"/>
  <c r="BB88" i="30" s="1"/>
  <c r="BE88" i="30" s="1"/>
  <c r="BF64" i="30"/>
  <c r="BI64" i="30" s="1"/>
  <c r="BJ64" i="30" s="1"/>
  <c r="L64" i="30" s="1"/>
  <c r="AL90" i="30"/>
  <c r="BB46" i="30"/>
  <c r="BE46" i="30" s="1"/>
  <c r="AD57" i="30"/>
  <c r="AG57" i="30" s="1"/>
  <c r="AP32" i="30"/>
  <c r="AS32" i="30" s="1"/>
  <c r="AT32" i="30" s="1"/>
  <c r="AW32" i="30" s="1"/>
  <c r="AX32" i="30" s="1"/>
  <c r="BA32" i="30" s="1"/>
  <c r="AP24" i="30"/>
  <c r="AS24" i="30" s="1"/>
  <c r="AT24" i="30" s="1"/>
  <c r="AW24" i="30" s="1"/>
  <c r="AX24" i="30" s="1"/>
  <c r="BA24" i="30" s="1"/>
  <c r="BB38" i="30"/>
  <c r="BE38" i="30" s="1"/>
  <c r="AX68" i="30"/>
  <c r="BA68" i="30" s="1"/>
  <c r="BB68" i="30" s="1"/>
  <c r="BE68" i="30" s="1"/>
  <c r="BF63" i="30"/>
  <c r="BI63" i="30" s="1"/>
  <c r="BJ63" i="30" s="1"/>
  <c r="L63" i="30" s="1"/>
  <c r="AH19" i="30"/>
  <c r="AK19" i="30" s="1"/>
  <c r="AL19" i="30" s="1"/>
  <c r="AO19" i="30" s="1"/>
  <c r="AP19" i="30" s="1"/>
  <c r="AS19" i="30" s="1"/>
  <c r="AT19" i="30" s="1"/>
  <c r="AW19" i="30" s="1"/>
  <c r="AX19" i="30" s="1"/>
  <c r="BA19" i="30" s="1"/>
  <c r="M31" i="30"/>
  <c r="N31" i="30"/>
  <c r="I31" i="30"/>
  <c r="E31" i="26" s="1"/>
  <c r="Q31" i="26" s="1"/>
  <c r="AL47" i="30"/>
  <c r="AO47" i="30"/>
  <c r="AP47" i="30" s="1"/>
  <c r="AS47" i="30" s="1"/>
  <c r="BB44" i="30"/>
  <c r="BE44" i="30" s="1"/>
  <c r="BF44" i="30" s="1"/>
  <c r="BI44" i="30" s="1"/>
  <c r="BJ44" i="30" s="1"/>
  <c r="L44" i="30" s="1"/>
  <c r="M3" i="30"/>
  <c r="I3" i="30"/>
  <c r="E3" i="26" s="1"/>
  <c r="Q3" i="26" s="1"/>
  <c r="N3" i="30"/>
  <c r="BF7" i="30"/>
  <c r="BI7" i="30" s="1"/>
  <c r="BJ7" i="30" s="1"/>
  <c r="L7" i="30" s="1"/>
  <c r="AP53" i="30"/>
  <c r="AS53" i="30" s="1"/>
  <c r="AH48" i="30"/>
  <c r="AK48" i="30" s="1"/>
  <c r="AL48" i="30" s="1"/>
  <c r="AO48" i="30" s="1"/>
  <c r="AP71" i="30"/>
  <c r="AS71" i="30" s="1"/>
  <c r="AT71" i="30" s="1"/>
  <c r="AW71" i="30" s="1"/>
  <c r="AX71" i="30" s="1"/>
  <c r="BA71" i="30" s="1"/>
  <c r="BB71" i="30" s="1"/>
  <c r="BE71" i="30" s="1"/>
  <c r="M77" i="30"/>
  <c r="I77" i="30"/>
  <c r="E77" i="26" s="1"/>
  <c r="Q77" i="26" s="1"/>
  <c r="N77" i="30"/>
  <c r="AH17" i="30"/>
  <c r="AK17" i="30" s="1"/>
  <c r="AL17" i="30" s="1"/>
  <c r="AO17" i="30" s="1"/>
  <c r="AP65" i="30"/>
  <c r="AS65" i="30" s="1"/>
  <c r="AT79" i="30"/>
  <c r="AW79" i="30" s="1"/>
  <c r="AX33" i="30"/>
  <c r="BA33" i="30" s="1"/>
  <c r="AP25" i="30"/>
  <c r="AS25" i="30" s="1"/>
  <c r="AT25" i="30" s="1"/>
  <c r="AW25" i="30" s="1"/>
  <c r="BB12" i="30"/>
  <c r="BE12" i="30"/>
  <c r="BB16" i="30"/>
  <c r="BE16" i="30" s="1"/>
  <c r="AH78" i="30"/>
  <c r="AK78" i="30"/>
  <c r="AL78" i="30" s="1"/>
  <c r="AO78" i="30" s="1"/>
  <c r="AP78" i="30" s="1"/>
  <c r="AS78" i="30" s="1"/>
  <c r="AT78" i="30" s="1"/>
  <c r="AW78" i="30" s="1"/>
  <c r="I67" i="30"/>
  <c r="E67" i="26" s="1"/>
  <c r="Q67" i="26" s="1"/>
  <c r="R67" i="26" s="1"/>
  <c r="M67" i="30"/>
  <c r="N67" i="30"/>
  <c r="AX52" i="30"/>
  <c r="BA52" i="30" s="1"/>
  <c r="BB52" i="30" s="1"/>
  <c r="BE52" i="30" s="1"/>
  <c r="BF52" i="30" s="1"/>
  <c r="BI52" i="30" s="1"/>
  <c r="BJ52" i="30" s="1"/>
  <c r="L52" i="30" s="1"/>
  <c r="AH81" i="30"/>
  <c r="AK81" i="30" s="1"/>
  <c r="AL81" i="30" s="1"/>
  <c r="AO81" i="30" s="1"/>
  <c r="AP81" i="30" s="1"/>
  <c r="AS81" i="30" s="1"/>
  <c r="AD73" i="30"/>
  <c r="AG73" i="30" s="1"/>
  <c r="AH73" i="30" s="1"/>
  <c r="AK73" i="30" s="1"/>
  <c r="AX20" i="30"/>
  <c r="BA20" i="30" s="1"/>
  <c r="BB20" i="30" s="1"/>
  <c r="BE20" i="30" s="1"/>
  <c r="BF20" i="30" s="1"/>
  <c r="BI20" i="30" s="1"/>
  <c r="BJ20" i="30" s="1"/>
  <c r="L20" i="30" s="1"/>
  <c r="M39" i="30"/>
  <c r="I39" i="30"/>
  <c r="E39" i="26" s="1"/>
  <c r="Q39" i="26" s="1"/>
  <c r="R39" i="26" s="1"/>
  <c r="U39" i="26" s="1"/>
  <c r="N39" i="30"/>
  <c r="AK54" i="30"/>
  <c r="AO43" i="30"/>
  <c r="AP43" i="30" s="1"/>
  <c r="AS43" i="30" s="1"/>
  <c r="AT43" i="30" s="1"/>
  <c r="AW43" i="30" s="1"/>
  <c r="AD84" i="30"/>
  <c r="AL80" i="30"/>
  <c r="AO80" i="30" s="1"/>
  <c r="U58" i="26"/>
  <c r="AC35" i="30"/>
  <c r="AD35" i="30" s="1"/>
  <c r="AG35" i="30" s="1"/>
  <c r="AO89" i="30"/>
  <c r="AH87" i="30"/>
  <c r="L62" i="30"/>
  <c r="AC91" i="30"/>
  <c r="AD2" i="30"/>
  <c r="Z91" i="30"/>
  <c r="AH21" i="30"/>
  <c r="AK21" i="30"/>
  <c r="G21" i="7"/>
  <c r="L13" i="7"/>
  <c r="M13" i="7" s="1"/>
  <c r="N13" i="7" s="1"/>
  <c r="AI88" i="22"/>
  <c r="AL88" i="22" s="1"/>
  <c r="AI90" i="22"/>
  <c r="AL90" i="22" s="1"/>
  <c r="AI51" i="22"/>
  <c r="AL51" i="22" s="1"/>
  <c r="AE50" i="22"/>
  <c r="AH50" i="22" s="1"/>
  <c r="AI32" i="22"/>
  <c r="AL32" i="22" s="1"/>
  <c r="AM32" i="22" s="1"/>
  <c r="AP32" i="22" s="1"/>
  <c r="AI4" i="22"/>
  <c r="AL4" i="22" s="1"/>
  <c r="AE2" i="22"/>
  <c r="AE84" i="22"/>
  <c r="AH84" i="22" s="1"/>
  <c r="AE81" i="22"/>
  <c r="AH81" i="22" s="1"/>
  <c r="AI76" i="22"/>
  <c r="AL76" i="22" s="1"/>
  <c r="AQ74" i="22"/>
  <c r="AT74" i="22" s="1"/>
  <c r="AE68" i="22"/>
  <c r="AI64" i="22"/>
  <c r="AL64" i="22" s="1"/>
  <c r="AP60" i="22"/>
  <c r="AQ60" i="22" s="1"/>
  <c r="AM54" i="22"/>
  <c r="AP54" i="22" s="1"/>
  <c r="AM53" i="22"/>
  <c r="AP53" i="22" s="1"/>
  <c r="AM49" i="22"/>
  <c r="AP49" i="22" s="1"/>
  <c r="AH48" i="22"/>
  <c r="AI46" i="22"/>
  <c r="AL46" i="22" s="1"/>
  <c r="AP45" i="22"/>
  <c r="AQ45" i="22" s="1"/>
  <c r="AP43" i="22"/>
  <c r="AQ43" i="22" s="1"/>
  <c r="AM44" i="22"/>
  <c r="AP44" i="22" s="1"/>
  <c r="AE42" i="22"/>
  <c r="AH42" i="22" s="1"/>
  <c r="AE38" i="22"/>
  <c r="AM30" i="22"/>
  <c r="AP30" i="22" s="1"/>
  <c r="AI27" i="22"/>
  <c r="AL27" i="22" s="1"/>
  <c r="AM16" i="22"/>
  <c r="AP16" i="22" s="1"/>
  <c r="AM13" i="22"/>
  <c r="AP13" i="22" s="1"/>
  <c r="AM8" i="22"/>
  <c r="AP8" i="22" s="1"/>
  <c r="AI87" i="22"/>
  <c r="AL87" i="22" s="1"/>
  <c r="AI72" i="22"/>
  <c r="AL72" i="22" s="1"/>
  <c r="AQ23" i="22"/>
  <c r="AT23" i="22" s="1"/>
  <c r="AM58" i="22"/>
  <c r="AP58" i="22" s="1"/>
  <c r="AU37" i="22"/>
  <c r="AX37" i="22" s="1"/>
  <c r="AI10" i="22"/>
  <c r="AL10" i="22" s="1"/>
  <c r="AQ5" i="22"/>
  <c r="AT5" i="22" s="1"/>
  <c r="AI89" i="22"/>
  <c r="AL89" i="22" s="1"/>
  <c r="AM28" i="22"/>
  <c r="AP28" i="22" s="1"/>
  <c r="AM17" i="22"/>
  <c r="AP17" i="22" s="1"/>
  <c r="AE70" i="22"/>
  <c r="AH70" i="22" s="1"/>
  <c r="AM55" i="22"/>
  <c r="AP55" i="22" s="1"/>
  <c r="AE57" i="22"/>
  <c r="AH57" i="22" s="1"/>
  <c r="AM41" i="22"/>
  <c r="AP41" i="22" s="1"/>
  <c r="AQ29" i="22"/>
  <c r="AT29" i="22" s="1"/>
  <c r="AI39" i="22"/>
  <c r="AL39" i="22" s="1"/>
  <c r="AM52" i="22"/>
  <c r="AP52" i="22" s="1"/>
  <c r="AI77" i="22"/>
  <c r="AL77" i="22" s="1"/>
  <c r="AM71" i="22"/>
  <c r="AP71" i="22" s="1"/>
  <c r="AI65" i="22"/>
  <c r="AL65" i="22" s="1"/>
  <c r="AQ79" i="22"/>
  <c r="AT79" i="22" s="1"/>
  <c r="AI34" i="22"/>
  <c r="AL34" i="22" s="1"/>
  <c r="AE61" i="22"/>
  <c r="AH61" i="22" s="1"/>
  <c r="AM20" i="22"/>
  <c r="AP20" i="22" s="1"/>
  <c r="AM67" i="22"/>
  <c r="AP67" i="22" s="1"/>
  <c r="AI3" i="22"/>
  <c r="AL3" i="22" s="1"/>
  <c r="AI15" i="22"/>
  <c r="AL15" i="22" s="1"/>
  <c r="AU19" i="22"/>
  <c r="AX19" i="22" s="1"/>
  <c r="AM9" i="22"/>
  <c r="AP9" i="22" s="1"/>
  <c r="AI85" i="22"/>
  <c r="AL85" i="22" s="1"/>
  <c r="AQ83" i="22"/>
  <c r="AT83" i="22" s="1"/>
  <c r="AI40" i="22"/>
  <c r="AL40" i="22" s="1"/>
  <c r="AM56" i="22"/>
  <c r="AP56" i="22" s="1"/>
  <c r="AQ82" i="22"/>
  <c r="AT82" i="22" s="1"/>
  <c r="AM24" i="22"/>
  <c r="AP24" i="22" s="1"/>
  <c r="AE80" i="22"/>
  <c r="AH80" i="22" s="1"/>
  <c r="AI31" i="22"/>
  <c r="AL31" i="22" s="1"/>
  <c r="AQ18" i="22"/>
  <c r="AT18" i="22" s="1"/>
  <c r="AI47" i="22"/>
  <c r="AL47" i="22" s="1"/>
  <c r="AI75" i="22"/>
  <c r="AL75" i="22" s="1"/>
  <c r="AM33" i="22"/>
  <c r="AP33" i="22" s="1"/>
  <c r="AI62" i="22"/>
  <c r="AL62" i="22" s="1"/>
  <c r="AM35" i="22"/>
  <c r="AP35" i="22" s="1"/>
  <c r="AU11" i="22"/>
  <c r="AX11" i="22" s="1"/>
  <c r="AE12" i="22"/>
  <c r="AH12" i="22" s="1"/>
  <c r="AI63" i="22"/>
  <c r="AL63" i="22" s="1"/>
  <c r="AI26" i="22"/>
  <c r="AL26" i="22" s="1"/>
  <c r="AA25" i="22"/>
  <c r="AD25" i="22" s="1"/>
  <c r="Z92" i="22"/>
  <c r="BF34" i="30" l="1"/>
  <c r="BI34" i="30"/>
  <c r="BJ34" i="30" s="1"/>
  <c r="L34" i="30" s="1"/>
  <c r="AS8" i="30"/>
  <c r="AD91" i="30"/>
  <c r="L29" i="30"/>
  <c r="V36" i="26"/>
  <c r="Y36" i="26" s="1"/>
  <c r="Z36" i="26" s="1"/>
  <c r="AC36" i="26" s="1"/>
  <c r="AD36" i="26" s="1"/>
  <c r="AG36" i="26" s="1"/>
  <c r="N20" i="30"/>
  <c r="M20" i="30"/>
  <c r="I20" i="30"/>
  <c r="E20" i="26" s="1"/>
  <c r="Q20" i="26" s="1"/>
  <c r="R20" i="26" s="1"/>
  <c r="I52" i="30"/>
  <c r="E52" i="26" s="1"/>
  <c r="Q52" i="26" s="1"/>
  <c r="M52" i="30"/>
  <c r="N52" i="30"/>
  <c r="AX25" i="30"/>
  <c r="BA25" i="30" s="1"/>
  <c r="AP48" i="30"/>
  <c r="AS48" i="30" s="1"/>
  <c r="M7" i="30"/>
  <c r="N7" i="30"/>
  <c r="I7" i="30"/>
  <c r="E7" i="26" s="1"/>
  <c r="Q7" i="26" s="1"/>
  <c r="M63" i="30"/>
  <c r="N63" i="30"/>
  <c r="I63" i="30"/>
  <c r="E63" i="26" s="1"/>
  <c r="Q63" i="26" s="1"/>
  <c r="BF46" i="30"/>
  <c r="BI46" i="30" s="1"/>
  <c r="BJ46" i="30" s="1"/>
  <c r="L46" i="30" s="1"/>
  <c r="AP13" i="30"/>
  <c r="AS13" i="30" s="1"/>
  <c r="BF30" i="30"/>
  <c r="BI30" i="30" s="1"/>
  <c r="BJ30" i="30" s="1"/>
  <c r="L30" i="30" s="1"/>
  <c r="M66" i="30"/>
  <c r="N66" i="30"/>
  <c r="I66" i="30"/>
  <c r="E66" i="26" s="1"/>
  <c r="Q66" i="26" s="1"/>
  <c r="R66" i="26" s="1"/>
  <c r="M42" i="30"/>
  <c r="I42" i="30"/>
  <c r="E42" i="26" s="1"/>
  <c r="Q42" i="26" s="1"/>
  <c r="N42" i="30"/>
  <c r="M28" i="30"/>
  <c r="I28" i="30"/>
  <c r="E28" i="26" s="1"/>
  <c r="Q28" i="26" s="1"/>
  <c r="R28" i="26" s="1"/>
  <c r="U28" i="26" s="1"/>
  <c r="V28" i="26" s="1"/>
  <c r="Y28" i="26" s="1"/>
  <c r="N28" i="30"/>
  <c r="BB70" i="30"/>
  <c r="BE70" i="30" s="1"/>
  <c r="BF70" i="30" s="1"/>
  <c r="BI70" i="30" s="1"/>
  <c r="BJ70" i="30" s="1"/>
  <c r="L70" i="30" s="1"/>
  <c r="AT45" i="30"/>
  <c r="AW45" i="30" s="1"/>
  <c r="AT55" i="30"/>
  <c r="AW55" i="30" s="1"/>
  <c r="AX55" i="30" s="1"/>
  <c r="BA55" i="30" s="1"/>
  <c r="BB55" i="30" s="1"/>
  <c r="BE55" i="30" s="1"/>
  <c r="AP80" i="30"/>
  <c r="AS80" i="30" s="1"/>
  <c r="AT80" i="30" s="1"/>
  <c r="AW80" i="30" s="1"/>
  <c r="AL73" i="30"/>
  <c r="AO73" i="30" s="1"/>
  <c r="AT65" i="30"/>
  <c r="AW65" i="30" s="1"/>
  <c r="BF71" i="30"/>
  <c r="BI71" i="30" s="1"/>
  <c r="BJ71" i="30" s="1"/>
  <c r="L71" i="30" s="1"/>
  <c r="AT53" i="30"/>
  <c r="AW53" i="30" s="1"/>
  <c r="AX53" i="30" s="1"/>
  <c r="BA53" i="30" s="1"/>
  <c r="BB53" i="30" s="1"/>
  <c r="BE53" i="30" s="1"/>
  <c r="BB19" i="30"/>
  <c r="BE19" i="30" s="1"/>
  <c r="BF19" i="30" s="1"/>
  <c r="BI19" i="30" s="1"/>
  <c r="BJ19" i="30" s="1"/>
  <c r="BF68" i="30"/>
  <c r="BI68" i="30" s="1"/>
  <c r="BJ68" i="30" s="1"/>
  <c r="L68" i="30" s="1"/>
  <c r="AX6" i="30"/>
  <c r="BA6" i="30" s="1"/>
  <c r="AH86" i="26"/>
  <c r="AK86" i="26" s="1"/>
  <c r="AP61" i="30"/>
  <c r="AS61" i="30" s="1"/>
  <c r="AT61" i="30" s="1"/>
  <c r="AW61" i="30" s="1"/>
  <c r="AX61" i="30" s="1"/>
  <c r="BA61" i="30" s="1"/>
  <c r="BB61" i="30" s="1"/>
  <c r="BE61" i="30" s="1"/>
  <c r="BF61" i="30" s="1"/>
  <c r="BI61" i="30" s="1"/>
  <c r="BJ61" i="30" s="1"/>
  <c r="AL10" i="30"/>
  <c r="AO10" i="30" s="1"/>
  <c r="AX49" i="30"/>
  <c r="BA49" i="30" s="1"/>
  <c r="BB49" i="30" s="1"/>
  <c r="BE49" i="30" s="1"/>
  <c r="BF49" i="30" s="1"/>
  <c r="BI49" i="30" s="1"/>
  <c r="BJ49" i="30" s="1"/>
  <c r="AT60" i="30"/>
  <c r="AW60" i="30" s="1"/>
  <c r="AT72" i="30"/>
  <c r="AW72" i="30" s="1"/>
  <c r="AL26" i="30"/>
  <c r="AO26" i="30" s="1"/>
  <c r="AP26" i="30" s="1"/>
  <c r="AS26" i="30" s="1"/>
  <c r="AT26" i="30" s="1"/>
  <c r="AW26" i="30" s="1"/>
  <c r="M59" i="30"/>
  <c r="I59" i="30"/>
  <c r="E59" i="26" s="1"/>
  <c r="Q59" i="26" s="1"/>
  <c r="R59" i="26" s="1"/>
  <c r="N59" i="30"/>
  <c r="AX82" i="30"/>
  <c r="BA82" i="30"/>
  <c r="BB82" i="30" s="1"/>
  <c r="BE82" i="30" s="1"/>
  <c r="AL21" i="30"/>
  <c r="AO21" i="30" s="1"/>
  <c r="AP21" i="30" s="1"/>
  <c r="AS21" i="30" s="1"/>
  <c r="N62" i="30"/>
  <c r="M62" i="30"/>
  <c r="I62" i="30"/>
  <c r="E62" i="26" s="1"/>
  <c r="Q62" i="26" s="1"/>
  <c r="V58" i="26"/>
  <c r="Y58" i="26"/>
  <c r="Z58" i="26" s="1"/>
  <c r="AC58" i="26" s="1"/>
  <c r="AD58" i="26" s="1"/>
  <c r="AG58" i="26" s="1"/>
  <c r="AH58" i="26" s="1"/>
  <c r="AK58" i="26" s="1"/>
  <c r="AL58" i="26" s="1"/>
  <c r="AO58" i="26" s="1"/>
  <c r="AP58" i="26" s="1"/>
  <c r="AS58" i="26" s="1"/>
  <c r="AL54" i="30"/>
  <c r="AO54" i="30" s="1"/>
  <c r="AP54" i="30" s="1"/>
  <c r="AS54" i="30" s="1"/>
  <c r="AT81" i="30"/>
  <c r="AW81" i="30" s="1"/>
  <c r="AX78" i="30"/>
  <c r="BA78" i="30" s="1"/>
  <c r="BF16" i="30"/>
  <c r="BI16" i="30" s="1"/>
  <c r="BJ16" i="30" s="1"/>
  <c r="L16" i="30" s="1"/>
  <c r="BF12" i="30"/>
  <c r="BB33" i="30"/>
  <c r="AX79" i="30"/>
  <c r="BA79" i="30" s="1"/>
  <c r="BB79" i="30" s="1"/>
  <c r="BE79" i="30" s="1"/>
  <c r="BF79" i="30" s="1"/>
  <c r="BI79" i="30" s="1"/>
  <c r="BJ79" i="30" s="1"/>
  <c r="L79" i="30" s="1"/>
  <c r="AP17" i="30"/>
  <c r="AS17" i="30" s="1"/>
  <c r="R3" i="26"/>
  <c r="N44" i="30"/>
  <c r="M44" i="30"/>
  <c r="I44" i="30"/>
  <c r="E44" i="26" s="1"/>
  <c r="Q44" i="26" s="1"/>
  <c r="AT47" i="30"/>
  <c r="AW47" i="30" s="1"/>
  <c r="R31" i="26"/>
  <c r="U31" i="26" s="1"/>
  <c r="V31" i="26" s="1"/>
  <c r="Y31" i="26" s="1"/>
  <c r="Z31" i="26" s="1"/>
  <c r="AC31" i="26" s="1"/>
  <c r="AD31" i="26" s="1"/>
  <c r="AG31" i="26" s="1"/>
  <c r="AH31" i="26" s="1"/>
  <c r="AK31" i="26" s="1"/>
  <c r="AL31" i="26" s="1"/>
  <c r="AO31" i="26" s="1"/>
  <c r="BF38" i="30"/>
  <c r="BI38" i="30" s="1"/>
  <c r="BJ38" i="30" s="1"/>
  <c r="L38" i="30" s="1"/>
  <c r="BB24" i="30"/>
  <c r="BE24" i="30"/>
  <c r="BB32" i="30"/>
  <c r="BE32" i="30" s="1"/>
  <c r="AH57" i="30"/>
  <c r="AK57" i="30" s="1"/>
  <c r="N64" i="30"/>
  <c r="M64" i="30"/>
  <c r="I64" i="30"/>
  <c r="E64" i="26" s="1"/>
  <c r="Q64" i="26" s="1"/>
  <c r="BF88" i="30"/>
  <c r="BI88" i="30"/>
  <c r="BJ88" i="30" s="1"/>
  <c r="L88" i="30" s="1"/>
  <c r="Z41" i="26"/>
  <c r="AC41" i="26" s="1"/>
  <c r="AD41" i="26" s="1"/>
  <c r="AG41" i="26" s="1"/>
  <c r="AH41" i="26" s="1"/>
  <c r="AK41" i="26" s="1"/>
  <c r="AL41" i="26" s="1"/>
  <c r="AO41" i="26" s="1"/>
  <c r="AP41" i="26" s="1"/>
  <c r="AS41" i="26" s="1"/>
  <c r="BF18" i="30"/>
  <c r="BI18" i="30" s="1"/>
  <c r="BJ18" i="30" s="1"/>
  <c r="L18" i="30" s="1"/>
  <c r="N76" i="30"/>
  <c r="M76" i="30"/>
  <c r="I76" i="30"/>
  <c r="E76" i="26" s="1"/>
  <c r="Q76" i="26" s="1"/>
  <c r="R76" i="26" s="1"/>
  <c r="U76" i="26" s="1"/>
  <c r="V76" i="26" s="1"/>
  <c r="Y76" i="26" s="1"/>
  <c r="AL83" i="30"/>
  <c r="AO83" i="30"/>
  <c r="AP83" i="30" s="1"/>
  <c r="AS83" i="30" s="1"/>
  <c r="AT83" i="30" s="1"/>
  <c r="AW83" i="30" s="1"/>
  <c r="I14" i="30"/>
  <c r="E14" i="26" s="1"/>
  <c r="Q14" i="26" s="1"/>
  <c r="R14" i="26" s="1"/>
  <c r="U14" i="26" s="1"/>
  <c r="V14" i="26" s="1"/>
  <c r="Y14" i="26" s="1"/>
  <c r="Z14" i="26" s="1"/>
  <c r="AC14" i="26" s="1"/>
  <c r="AD14" i="26" s="1"/>
  <c r="AG14" i="26" s="1"/>
  <c r="AH14" i="26" s="1"/>
  <c r="AK14" i="26" s="1"/>
  <c r="AL14" i="26" s="1"/>
  <c r="AO14" i="26" s="1"/>
  <c r="M14" i="30"/>
  <c r="N14" i="30"/>
  <c r="N51" i="30"/>
  <c r="M51" i="30"/>
  <c r="I51" i="30"/>
  <c r="E51" i="26" s="1"/>
  <c r="Q51" i="26" s="1"/>
  <c r="AL15" i="30"/>
  <c r="AO15" i="30"/>
  <c r="AP15" i="30" s="1"/>
  <c r="AS15" i="30" s="1"/>
  <c r="AT15" i="30" s="1"/>
  <c r="AW15" i="30" s="1"/>
  <c r="AX15" i="30" s="1"/>
  <c r="BA15" i="30" s="1"/>
  <c r="BF22" i="30"/>
  <c r="AL74" i="30"/>
  <c r="AO74" i="30" s="1"/>
  <c r="AT56" i="30"/>
  <c r="AW56" i="30" s="1"/>
  <c r="AT4" i="30"/>
  <c r="AW4" i="30" s="1"/>
  <c r="AP75" i="30"/>
  <c r="AS75" i="30" s="1"/>
  <c r="N27" i="30"/>
  <c r="M27" i="30"/>
  <c r="I27" i="30"/>
  <c r="E27" i="26" s="1"/>
  <c r="Q27" i="26" s="1"/>
  <c r="R27" i="26" s="1"/>
  <c r="U27" i="26" s="1"/>
  <c r="V27" i="26" s="1"/>
  <c r="Y27" i="26" s="1"/>
  <c r="Z27" i="26" s="1"/>
  <c r="AC27" i="26" s="1"/>
  <c r="AD27" i="26" s="1"/>
  <c r="AG27" i="26" s="1"/>
  <c r="R40" i="26"/>
  <c r="U40" i="26" s="1"/>
  <c r="V40" i="26" s="1"/>
  <c r="Y40" i="26" s="1"/>
  <c r="Z40" i="26" s="1"/>
  <c r="AC40" i="26" s="1"/>
  <c r="AG2" i="30"/>
  <c r="L5" i="30"/>
  <c r="AK87" i="30"/>
  <c r="AP89" i="30"/>
  <c r="AH35" i="30"/>
  <c r="AK35" i="30" s="1"/>
  <c r="AL35" i="30" s="1"/>
  <c r="AO35" i="30" s="1"/>
  <c r="AP35" i="30" s="1"/>
  <c r="AS35" i="30" s="1"/>
  <c r="AG84" i="30"/>
  <c r="AX43" i="30"/>
  <c r="BA43" i="30" s="1"/>
  <c r="V39" i="26"/>
  <c r="Y39" i="26" s="1"/>
  <c r="Z39" i="26" s="1"/>
  <c r="AC39" i="26" s="1"/>
  <c r="AD39" i="26" s="1"/>
  <c r="AG39" i="26" s="1"/>
  <c r="U67" i="26"/>
  <c r="V67" i="26" s="1"/>
  <c r="Y67" i="26" s="1"/>
  <c r="Z67" i="26" s="1"/>
  <c r="AC67" i="26" s="1"/>
  <c r="AD67" i="26" s="1"/>
  <c r="AG67" i="26" s="1"/>
  <c r="R77" i="26"/>
  <c r="AO90" i="30"/>
  <c r="AP90" i="30" s="1"/>
  <c r="AS90" i="30" s="1"/>
  <c r="AK23" i="30"/>
  <c r="AL23" i="30" s="1"/>
  <c r="AO23" i="30" s="1"/>
  <c r="AP23" i="30" s="1"/>
  <c r="AS23" i="30" s="1"/>
  <c r="AO11" i="30"/>
  <c r="AS37" i="30"/>
  <c r="AG85" i="30"/>
  <c r="V50" i="26"/>
  <c r="Y50" i="26"/>
  <c r="BB9" i="30"/>
  <c r="BE9" i="30"/>
  <c r="U69" i="26"/>
  <c r="V69" i="26" s="1"/>
  <c r="Y69" i="26" s="1"/>
  <c r="AM88" i="22"/>
  <c r="AP88" i="22" s="1"/>
  <c r="AM90" i="22"/>
  <c r="AP90" i="22" s="1"/>
  <c r="AQ90" i="22" s="1"/>
  <c r="AM51" i="22"/>
  <c r="AP51" i="22" s="1"/>
  <c r="AI50" i="22"/>
  <c r="AL50" i="22" s="1"/>
  <c r="AQ32" i="22"/>
  <c r="AT32" i="22" s="1"/>
  <c r="AM4" i="22"/>
  <c r="AP4" i="22" s="1"/>
  <c r="AQ4" i="22" s="1"/>
  <c r="AH2" i="22"/>
  <c r="AI84" i="22"/>
  <c r="AL84" i="22" s="1"/>
  <c r="AI81" i="22"/>
  <c r="AL81" i="22" s="1"/>
  <c r="AM76" i="22"/>
  <c r="AP76" i="22" s="1"/>
  <c r="AU74" i="22"/>
  <c r="AX74" i="22" s="1"/>
  <c r="AY74" i="22" s="1"/>
  <c r="BB74" i="22" s="1"/>
  <c r="AH68" i="22"/>
  <c r="AM64" i="22"/>
  <c r="AP64" i="22" s="1"/>
  <c r="AT60" i="22"/>
  <c r="AU60" i="22" s="1"/>
  <c r="AQ54" i="22"/>
  <c r="AT54" i="22" s="1"/>
  <c r="AU54" i="22" s="1"/>
  <c r="AQ53" i="22"/>
  <c r="AT53" i="22" s="1"/>
  <c r="AU53" i="22" s="1"/>
  <c r="AQ49" i="22"/>
  <c r="AT49" i="22" s="1"/>
  <c r="AI48" i="22"/>
  <c r="AL48" i="22" s="1"/>
  <c r="AM46" i="22"/>
  <c r="AP46" i="22" s="1"/>
  <c r="AT45" i="22"/>
  <c r="AU45" i="22" s="1"/>
  <c r="AT43" i="22"/>
  <c r="AI42" i="22"/>
  <c r="AL42" i="22" s="1"/>
  <c r="AH38" i="22"/>
  <c r="AQ30" i="22"/>
  <c r="AT30" i="22" s="1"/>
  <c r="AM27" i="22"/>
  <c r="AP27" i="22" s="1"/>
  <c r="AQ16" i="22"/>
  <c r="AT16" i="22" s="1"/>
  <c r="AU16" i="22" s="1"/>
  <c r="AQ13" i="22"/>
  <c r="AT13" i="22" s="1"/>
  <c r="AM39" i="22"/>
  <c r="AP39" i="22" s="1"/>
  <c r="AU82" i="22"/>
  <c r="AX82" i="22" s="1"/>
  <c r="AM10" i="22"/>
  <c r="AP10" i="22" s="1"/>
  <c r="AU23" i="22"/>
  <c r="AX23" i="22" s="1"/>
  <c r="AQ56" i="22"/>
  <c r="AT56" i="22" s="1"/>
  <c r="AM3" i="22"/>
  <c r="AP3" i="22" s="1"/>
  <c r="AI80" i="22"/>
  <c r="AL80" i="22" s="1"/>
  <c r="AU5" i="22"/>
  <c r="AX5" i="22" s="1"/>
  <c r="AY11" i="22"/>
  <c r="BB11" i="22" s="1"/>
  <c r="AQ24" i="22"/>
  <c r="AT24" i="22" s="1"/>
  <c r="AQ52" i="22"/>
  <c r="AT52" i="22" s="1"/>
  <c r="AM63" i="22"/>
  <c r="AP63" i="22" s="1"/>
  <c r="AU18" i="22"/>
  <c r="AX18" i="22" s="1"/>
  <c r="AI57" i="22"/>
  <c r="AL57" i="22" s="1"/>
  <c r="AQ8" i="22"/>
  <c r="AT8" i="22" s="1"/>
  <c r="AI14" i="22"/>
  <c r="AL14" i="22" s="1"/>
  <c r="AI78" i="22"/>
  <c r="AL78" i="22" s="1"/>
  <c r="AM7" i="22"/>
  <c r="AP7" i="22" s="1"/>
  <c r="AM31" i="22"/>
  <c r="AP31" i="22" s="1"/>
  <c r="AM6" i="22"/>
  <c r="AP6" i="22" s="1"/>
  <c r="AM15" i="22"/>
  <c r="AP15" i="22" s="1"/>
  <c r="AI61" i="22"/>
  <c r="AL61" i="22" s="1"/>
  <c r="AE69" i="22"/>
  <c r="AH69" i="22" s="1"/>
  <c r="AM77" i="22"/>
  <c r="AP77" i="22" s="1"/>
  <c r="AM87" i="22"/>
  <c r="AP87" i="22" s="1"/>
  <c r="AI73" i="22"/>
  <c r="AL73" i="22" s="1"/>
  <c r="AQ66" i="22"/>
  <c r="AT66" i="22" s="1"/>
  <c r="AM86" i="22"/>
  <c r="AP86" i="22" s="1"/>
  <c r="AM65" i="22"/>
  <c r="AP65" i="22" s="1"/>
  <c r="AU83" i="22"/>
  <c r="AX83" i="22" s="1"/>
  <c r="AQ20" i="22"/>
  <c r="AT20" i="22" s="1"/>
  <c r="AM85" i="22"/>
  <c r="AP85" i="22" s="1"/>
  <c r="AM75" i="22"/>
  <c r="AP75" i="22" s="1"/>
  <c r="AQ55" i="22"/>
  <c r="AT55" i="22" s="1"/>
  <c r="AQ44" i="22"/>
  <c r="AT44" i="22" s="1"/>
  <c r="AY19" i="22"/>
  <c r="BB19" i="22" s="1"/>
  <c r="AQ21" i="22"/>
  <c r="AT21" i="22" s="1"/>
  <c r="AY37" i="22"/>
  <c r="BB37" i="22" s="1"/>
  <c r="AM72" i="22"/>
  <c r="AP72" i="22" s="1"/>
  <c r="AI12" i="22"/>
  <c r="AL12" i="22" s="1"/>
  <c r="AM47" i="22"/>
  <c r="AP47" i="22" s="1"/>
  <c r="AM34" i="22"/>
  <c r="AP34" i="22" s="1"/>
  <c r="AU79" i="22"/>
  <c r="AX79" i="22" s="1"/>
  <c r="AQ41" i="22"/>
  <c r="AT41" i="22" s="1"/>
  <c r="AQ58" i="22"/>
  <c r="AT58" i="22" s="1"/>
  <c r="AM59" i="22"/>
  <c r="AP59" i="22" s="1"/>
  <c r="AM22" i="22"/>
  <c r="AP22" i="22" s="1"/>
  <c r="AM36" i="22"/>
  <c r="AP36" i="22" s="1"/>
  <c r="AQ33" i="22"/>
  <c r="AT33" i="22" s="1"/>
  <c r="AQ67" i="22"/>
  <c r="AT67" i="22" s="1"/>
  <c r="AM26" i="22"/>
  <c r="AP26" i="22" s="1"/>
  <c r="AE25" i="22"/>
  <c r="AH25" i="22" s="1"/>
  <c r="AD92" i="22"/>
  <c r="AA92" i="22"/>
  <c r="AH36" i="26" l="1"/>
  <c r="AK36" i="26" s="1"/>
  <c r="AL36" i="26" s="1"/>
  <c r="AO36" i="26" s="1"/>
  <c r="AP36" i="26" s="1"/>
  <c r="AS36" i="26" s="1"/>
  <c r="N29" i="30"/>
  <c r="I29" i="30"/>
  <c r="E29" i="26" s="1"/>
  <c r="Q29" i="26" s="1"/>
  <c r="R29" i="26" s="1"/>
  <c r="U29" i="26" s="1"/>
  <c r="V29" i="26" s="1"/>
  <c r="Y29" i="26" s="1"/>
  <c r="Z29" i="26" s="1"/>
  <c r="AC29" i="26" s="1"/>
  <c r="AD29" i="26" s="1"/>
  <c r="AG29" i="26" s="1"/>
  <c r="M29" i="30"/>
  <c r="AT8" i="30"/>
  <c r="AW8" i="30" s="1"/>
  <c r="N34" i="30"/>
  <c r="M34" i="30"/>
  <c r="I34" i="30"/>
  <c r="E34" i="26" s="1"/>
  <c r="Q34" i="26" s="1"/>
  <c r="R34" i="26" s="1"/>
  <c r="U34" i="26" s="1"/>
  <c r="V34" i="26" s="1"/>
  <c r="Y34" i="26" s="1"/>
  <c r="Z34" i="26" s="1"/>
  <c r="AC34" i="26" s="1"/>
  <c r="AX4" i="30"/>
  <c r="BA4" i="30" s="1"/>
  <c r="AX47" i="30"/>
  <c r="N79" i="30"/>
  <c r="M79" i="30"/>
  <c r="I79" i="30"/>
  <c r="E79" i="26" s="1"/>
  <c r="Q79" i="26" s="1"/>
  <c r="M16" i="30"/>
  <c r="N16" i="30"/>
  <c r="I16" i="30"/>
  <c r="E16" i="26" s="1"/>
  <c r="Q16" i="26" s="1"/>
  <c r="AX81" i="30"/>
  <c r="BA81" i="30" s="1"/>
  <c r="BB81" i="30" s="1"/>
  <c r="BE81" i="30" s="1"/>
  <c r="AX72" i="30"/>
  <c r="BA72" i="30"/>
  <c r="BB72" i="30" s="1"/>
  <c r="BE72" i="30" s="1"/>
  <c r="BF72" i="30" s="1"/>
  <c r="BI72" i="30" s="1"/>
  <c r="BJ72" i="30" s="1"/>
  <c r="L72" i="30" s="1"/>
  <c r="AP10" i="30"/>
  <c r="AS10" i="30" s="1"/>
  <c r="AL86" i="26"/>
  <c r="AO86" i="26" s="1"/>
  <c r="AP86" i="26" s="1"/>
  <c r="AS86" i="26" s="1"/>
  <c r="N71" i="30"/>
  <c r="M71" i="30"/>
  <c r="I71" i="30"/>
  <c r="E71" i="26" s="1"/>
  <c r="Q71" i="26" s="1"/>
  <c r="AP73" i="30"/>
  <c r="AS73" i="30" s="1"/>
  <c r="AT48" i="30"/>
  <c r="AW48" i="30" s="1"/>
  <c r="BB43" i="30"/>
  <c r="BE43" i="30" s="1"/>
  <c r="BF43" i="30" s="1"/>
  <c r="BI43" i="30" s="1"/>
  <c r="BJ43" i="30" s="1"/>
  <c r="AT35" i="30"/>
  <c r="AW35" i="30" s="1"/>
  <c r="AX35" i="30" s="1"/>
  <c r="AT75" i="30"/>
  <c r="AW75" i="30" s="1"/>
  <c r="AX75" i="30" s="1"/>
  <c r="BA75" i="30" s="1"/>
  <c r="BB75" i="30" s="1"/>
  <c r="BE75" i="30" s="1"/>
  <c r="AX56" i="30"/>
  <c r="BA56" i="30" s="1"/>
  <c r="AL57" i="30"/>
  <c r="AO57" i="30" s="1"/>
  <c r="AT17" i="30"/>
  <c r="AW17" i="30" s="1"/>
  <c r="AX17" i="30" s="1"/>
  <c r="BA17" i="30" s="1"/>
  <c r="BB17" i="30" s="1"/>
  <c r="BE17" i="30" s="1"/>
  <c r="BF17" i="30" s="1"/>
  <c r="BI17" i="30" s="1"/>
  <c r="BJ17" i="30" s="1"/>
  <c r="L17" i="30" s="1"/>
  <c r="BB78" i="30"/>
  <c r="BE78" i="30" s="1"/>
  <c r="BF78" i="30" s="1"/>
  <c r="AX26" i="30"/>
  <c r="BA26" i="30" s="1"/>
  <c r="AX60" i="30"/>
  <c r="BA60" i="30" s="1"/>
  <c r="BB60" i="30" s="1"/>
  <c r="BE60" i="30" s="1"/>
  <c r="BB6" i="30"/>
  <c r="BE6" i="30" s="1"/>
  <c r="BF53" i="30"/>
  <c r="BI53" i="30" s="1"/>
  <c r="BJ53" i="30" s="1"/>
  <c r="L53" i="30" s="1"/>
  <c r="AX65" i="30"/>
  <c r="BA65" i="30" s="1"/>
  <c r="BB65" i="30" s="1"/>
  <c r="BE65" i="30" s="1"/>
  <c r="BF65" i="30" s="1"/>
  <c r="BI65" i="30" s="1"/>
  <c r="BJ65" i="30" s="1"/>
  <c r="L65" i="30" s="1"/>
  <c r="AX45" i="30"/>
  <c r="BA45" i="30" s="1"/>
  <c r="BB45" i="30" s="1"/>
  <c r="BE45" i="30" s="1"/>
  <c r="BF45" i="30" s="1"/>
  <c r="BI45" i="30" s="1"/>
  <c r="BJ45" i="30" s="1"/>
  <c r="L45" i="30" s="1"/>
  <c r="M46" i="30"/>
  <c r="N46" i="30"/>
  <c r="I46" i="30"/>
  <c r="E46" i="26" s="1"/>
  <c r="Q46" i="26" s="1"/>
  <c r="BF9" i="30"/>
  <c r="BI9" i="30" s="1"/>
  <c r="BJ9" i="30" s="1"/>
  <c r="Z50" i="26"/>
  <c r="AC50" i="26" s="1"/>
  <c r="AD50" i="26" s="1"/>
  <c r="AG50" i="26" s="1"/>
  <c r="AH50" i="26" s="1"/>
  <c r="AK50" i="26" s="1"/>
  <c r="AT37" i="30"/>
  <c r="AW37" i="30" s="1"/>
  <c r="AP11" i="30"/>
  <c r="AS11" i="30"/>
  <c r="AT11" i="30" s="1"/>
  <c r="AW11" i="30" s="1"/>
  <c r="AX11" i="30" s="1"/>
  <c r="BA11" i="30" s="1"/>
  <c r="AT23" i="30"/>
  <c r="AW23" i="30"/>
  <c r="AX23" i="30" s="1"/>
  <c r="BA23" i="30" s="1"/>
  <c r="AH39" i="26"/>
  <c r="AK39" i="26" s="1"/>
  <c r="AH84" i="30"/>
  <c r="M5" i="30"/>
  <c r="I5" i="30"/>
  <c r="E5" i="26" s="1"/>
  <c r="Q5" i="26" s="1"/>
  <c r="R5" i="26" s="1"/>
  <c r="U5" i="26" s="1"/>
  <c r="V5" i="26" s="1"/>
  <c r="Y5" i="26" s="1"/>
  <c r="N5" i="30"/>
  <c r="AD40" i="26"/>
  <c r="AG40" i="26" s="1"/>
  <c r="AH27" i="26"/>
  <c r="AK27" i="26" s="1"/>
  <c r="AL27" i="26" s="1"/>
  <c r="AO27" i="26" s="1"/>
  <c r="AP27" i="26" s="1"/>
  <c r="AS27" i="26" s="1"/>
  <c r="AP74" i="30"/>
  <c r="AS74" i="30" s="1"/>
  <c r="BB15" i="30"/>
  <c r="BE15" i="30"/>
  <c r="BF15" i="30" s="1"/>
  <c r="BI15" i="30" s="1"/>
  <c r="BJ15" i="30" s="1"/>
  <c r="R51" i="26"/>
  <c r="U51" i="26" s="1"/>
  <c r="AX83" i="30"/>
  <c r="BA83" i="30" s="1"/>
  <c r="I18" i="30"/>
  <c r="E18" i="26" s="1"/>
  <c r="Q18" i="26" s="1"/>
  <c r="M18" i="30"/>
  <c r="N18" i="30"/>
  <c r="AT41" i="26"/>
  <c r="AW41" i="26" s="1"/>
  <c r="N88" i="30"/>
  <c r="M88" i="30"/>
  <c r="I88" i="30"/>
  <c r="E88" i="26" s="1"/>
  <c r="Q88" i="26" s="1"/>
  <c r="R64" i="26"/>
  <c r="U64" i="26" s="1"/>
  <c r="V64" i="26" s="1"/>
  <c r="Y64" i="26" s="1"/>
  <c r="Z64" i="26" s="1"/>
  <c r="AC64" i="26" s="1"/>
  <c r="AD64" i="26" s="1"/>
  <c r="AG64" i="26" s="1"/>
  <c r="AH64" i="26" s="1"/>
  <c r="AK64" i="26" s="1"/>
  <c r="AL64" i="26" s="1"/>
  <c r="AO64" i="26" s="1"/>
  <c r="AP64" i="26" s="1"/>
  <c r="AS64" i="26" s="1"/>
  <c r="BF32" i="30"/>
  <c r="BI32" i="30" s="1"/>
  <c r="BJ32" i="30" s="1"/>
  <c r="L32" i="30" s="1"/>
  <c r="BF24" i="30"/>
  <c r="BI24" i="30" s="1"/>
  <c r="BJ24" i="30" s="1"/>
  <c r="L24" i="30" s="1"/>
  <c r="M38" i="30"/>
  <c r="I38" i="30"/>
  <c r="E38" i="26" s="1"/>
  <c r="Q38" i="26" s="1"/>
  <c r="R38" i="26" s="1"/>
  <c r="U38" i="26" s="1"/>
  <c r="V38" i="26" s="1"/>
  <c r="Y38" i="26" s="1"/>
  <c r="N38" i="30"/>
  <c r="AP31" i="26"/>
  <c r="AS31" i="26" s="1"/>
  <c r="R44" i="26"/>
  <c r="U44" i="26" s="1"/>
  <c r="V44" i="26" s="1"/>
  <c r="Y44" i="26" s="1"/>
  <c r="Z44" i="26" s="1"/>
  <c r="AC44" i="26" s="1"/>
  <c r="AT54" i="30"/>
  <c r="AW54" i="30" s="1"/>
  <c r="AT58" i="26"/>
  <c r="AW58" i="26" s="1"/>
  <c r="AT21" i="30"/>
  <c r="BF82" i="30"/>
  <c r="BI82" i="30" s="1"/>
  <c r="BJ82" i="30" s="1"/>
  <c r="L82" i="30" s="1"/>
  <c r="N68" i="30"/>
  <c r="M68" i="30"/>
  <c r="I68" i="30"/>
  <c r="E68" i="26" s="1"/>
  <c r="Q68" i="26" s="1"/>
  <c r="AX80" i="30"/>
  <c r="BA80" i="30" s="1"/>
  <c r="BF55" i="30"/>
  <c r="BI55" i="30" s="1"/>
  <c r="BJ55" i="30" s="1"/>
  <c r="L55" i="30" s="1"/>
  <c r="N70" i="30"/>
  <c r="M70" i="30"/>
  <c r="I70" i="30"/>
  <c r="E70" i="26" s="1"/>
  <c r="Q70" i="26" s="1"/>
  <c r="Z28" i="26"/>
  <c r="AC28" i="26" s="1"/>
  <c r="N30" i="30"/>
  <c r="M30" i="30"/>
  <c r="I30" i="30"/>
  <c r="E30" i="26" s="1"/>
  <c r="Q30" i="26" s="1"/>
  <c r="R30" i="26" s="1"/>
  <c r="AT13" i="30"/>
  <c r="AW13" i="30" s="1"/>
  <c r="R63" i="26"/>
  <c r="U63" i="26" s="1"/>
  <c r="V63" i="26" s="1"/>
  <c r="Y63" i="26" s="1"/>
  <c r="Z63" i="26" s="1"/>
  <c r="AC63" i="26" s="1"/>
  <c r="BB25" i="30"/>
  <c r="BE25" i="30"/>
  <c r="R52" i="26"/>
  <c r="U52" i="26" s="1"/>
  <c r="V52" i="26" s="1"/>
  <c r="Y52" i="26" s="1"/>
  <c r="Z52" i="26" s="1"/>
  <c r="AC52" i="26" s="1"/>
  <c r="Z69" i="26"/>
  <c r="AC69" i="26" s="1"/>
  <c r="AH85" i="30"/>
  <c r="AT90" i="30"/>
  <c r="AW90" i="30" s="1"/>
  <c r="AX90" i="30" s="1"/>
  <c r="U77" i="26"/>
  <c r="V77" i="26" s="1"/>
  <c r="Y77" i="26" s="1"/>
  <c r="Z77" i="26" s="1"/>
  <c r="AC77" i="26" s="1"/>
  <c r="AH67" i="26"/>
  <c r="AS89" i="30"/>
  <c r="AT89" i="30" s="1"/>
  <c r="AW89" i="30" s="1"/>
  <c r="AX89" i="30" s="1"/>
  <c r="BA89" i="30" s="1"/>
  <c r="AL87" i="30"/>
  <c r="L61" i="30"/>
  <c r="AG91" i="30"/>
  <c r="AH2" i="30"/>
  <c r="L19" i="30"/>
  <c r="BI22" i="30"/>
  <c r="BJ22" i="30" s="1"/>
  <c r="L22" i="30" s="1"/>
  <c r="AP14" i="26"/>
  <c r="AS14" i="26" s="1"/>
  <c r="Z76" i="26"/>
  <c r="AC76" i="26" s="1"/>
  <c r="AD76" i="26" s="1"/>
  <c r="AG76" i="26" s="1"/>
  <c r="U3" i="26"/>
  <c r="V3" i="26" s="1"/>
  <c r="Y3" i="26" s="1"/>
  <c r="Z3" i="26" s="1"/>
  <c r="AC3" i="26" s="1"/>
  <c r="AD3" i="26" s="1"/>
  <c r="AG3" i="26" s="1"/>
  <c r="AH3" i="26" s="1"/>
  <c r="AK3" i="26" s="1"/>
  <c r="BE33" i="30"/>
  <c r="BI12" i="30"/>
  <c r="BJ12" i="30" s="1"/>
  <c r="L12" i="30" s="1"/>
  <c r="R62" i="26"/>
  <c r="U59" i="26"/>
  <c r="V59" i="26" s="1"/>
  <c r="Y59" i="26" s="1"/>
  <c r="Z59" i="26" s="1"/>
  <c r="AC59" i="26" s="1"/>
  <c r="AD59" i="26" s="1"/>
  <c r="AG59" i="26" s="1"/>
  <c r="AH59" i="26" s="1"/>
  <c r="AK59" i="26" s="1"/>
  <c r="AL59" i="26" s="1"/>
  <c r="AO59" i="26" s="1"/>
  <c r="AP59" i="26" s="1"/>
  <c r="AS59" i="26" s="1"/>
  <c r="L49" i="30"/>
  <c r="R42" i="26"/>
  <c r="U42" i="26" s="1"/>
  <c r="U66" i="26"/>
  <c r="V66" i="26" s="1"/>
  <c r="Y66" i="26" s="1"/>
  <c r="Z66" i="26" s="1"/>
  <c r="AC66" i="26" s="1"/>
  <c r="R7" i="26"/>
  <c r="U7" i="26" s="1"/>
  <c r="V7" i="26" s="1"/>
  <c r="Y7" i="26" s="1"/>
  <c r="Z7" i="26" s="1"/>
  <c r="AC7" i="26" s="1"/>
  <c r="AD7" i="26" s="1"/>
  <c r="AG7" i="26" s="1"/>
  <c r="AH7" i="26" s="1"/>
  <c r="AK7" i="26" s="1"/>
  <c r="AL7" i="26" s="1"/>
  <c r="AO7" i="26" s="1"/>
  <c r="AP7" i="26" s="1"/>
  <c r="AS7" i="26" s="1"/>
  <c r="U20" i="26"/>
  <c r="AQ88" i="22"/>
  <c r="AT88" i="22" s="1"/>
  <c r="AT90" i="22"/>
  <c r="AQ51" i="22"/>
  <c r="AT51" i="22" s="1"/>
  <c r="AM50" i="22"/>
  <c r="AP50" i="22" s="1"/>
  <c r="AQ50" i="22" s="1"/>
  <c r="AT50" i="22" s="1"/>
  <c r="AU32" i="22"/>
  <c r="AX32" i="22" s="1"/>
  <c r="AY32" i="22" s="1"/>
  <c r="BB32" i="22" s="1"/>
  <c r="AT4" i="22"/>
  <c r="AI2" i="22"/>
  <c r="AL2" i="22" s="1"/>
  <c r="AM84" i="22"/>
  <c r="AP84" i="22" s="1"/>
  <c r="AM81" i="22"/>
  <c r="AP81" i="22" s="1"/>
  <c r="AI68" i="22"/>
  <c r="AL68" i="22" s="1"/>
  <c r="AQ64" i="22"/>
  <c r="AT64" i="22" s="1"/>
  <c r="AX60" i="22"/>
  <c r="AY60" i="22" s="1"/>
  <c r="AX54" i="22"/>
  <c r="AY54" i="22" s="1"/>
  <c r="AX53" i="22"/>
  <c r="AU49" i="22"/>
  <c r="AX49" i="22" s="1"/>
  <c r="AM48" i="22"/>
  <c r="AP48" i="22" s="1"/>
  <c r="AQ46" i="22"/>
  <c r="AT46" i="22" s="1"/>
  <c r="AX45" i="22"/>
  <c r="AU43" i="22"/>
  <c r="AX43" i="22" s="1"/>
  <c r="AM42" i="22"/>
  <c r="AP42" i="22" s="1"/>
  <c r="AI38" i="22"/>
  <c r="AL38" i="22" s="1"/>
  <c r="AU30" i="22"/>
  <c r="AX30" i="22" s="1"/>
  <c r="AQ27" i="22"/>
  <c r="AT27" i="22" s="1"/>
  <c r="AX16" i="22"/>
  <c r="AY16" i="22" s="1"/>
  <c r="AU13" i="22"/>
  <c r="AX13" i="22" s="1"/>
  <c r="AE92" i="22"/>
  <c r="AY79" i="22"/>
  <c r="BB79" i="22" s="1"/>
  <c r="BC11" i="22"/>
  <c r="BF11" i="22" s="1"/>
  <c r="AQ22" i="22"/>
  <c r="AT22" i="22" s="1"/>
  <c r="AQ7" i="22"/>
  <c r="AT7" i="22" s="1"/>
  <c r="BC19" i="22"/>
  <c r="BF19" i="22" s="1"/>
  <c r="AQ65" i="22"/>
  <c r="AT65" i="22" s="1"/>
  <c r="AQ72" i="22"/>
  <c r="AT72" i="22" s="1"/>
  <c r="AM57" i="22"/>
  <c r="AP57" i="22" s="1"/>
  <c r="AU52" i="22"/>
  <c r="AX52" i="22" s="1"/>
  <c r="AQ10" i="22"/>
  <c r="AT10" i="22" s="1"/>
  <c r="AU67" i="22"/>
  <c r="AX67" i="22" s="1"/>
  <c r="AQ71" i="22"/>
  <c r="AT71" i="22" s="1"/>
  <c r="AM89" i="22"/>
  <c r="AP89" i="22" s="1"/>
  <c r="AQ47" i="22"/>
  <c r="AT47" i="22" s="1"/>
  <c r="AU55" i="22"/>
  <c r="AX55" i="22" s="1"/>
  <c r="AU20" i="22"/>
  <c r="AX20" i="22" s="1"/>
  <c r="AM61" i="22"/>
  <c r="AP61" i="22" s="1"/>
  <c r="AQ31" i="22"/>
  <c r="AT31" i="22" s="1"/>
  <c r="AU8" i="22"/>
  <c r="AX8" i="22" s="1"/>
  <c r="AY18" i="22"/>
  <c r="BB18" i="22" s="1"/>
  <c r="AU24" i="22"/>
  <c r="AX24" i="22" s="1"/>
  <c r="AM62" i="22"/>
  <c r="AP62" i="22" s="1"/>
  <c r="AY83" i="22"/>
  <c r="BB83" i="22" s="1"/>
  <c r="AM73" i="22"/>
  <c r="AP73" i="22" s="1"/>
  <c r="AM40" i="22"/>
  <c r="AP40" i="22" s="1"/>
  <c r="AY5" i="22"/>
  <c r="BB5" i="22" s="1"/>
  <c r="AY23" i="22"/>
  <c r="BB23" i="22" s="1"/>
  <c r="AQ59" i="22"/>
  <c r="AT59" i="22" s="1"/>
  <c r="BC37" i="22"/>
  <c r="BF37" i="22" s="1"/>
  <c r="AU29" i="22"/>
  <c r="AX29" i="22" s="1"/>
  <c r="AQ15" i="22"/>
  <c r="AT15" i="22" s="1"/>
  <c r="AM14" i="22"/>
  <c r="AP14" i="22" s="1"/>
  <c r="AQ35" i="22"/>
  <c r="AT35" i="22" s="1"/>
  <c r="AQ87" i="22"/>
  <c r="AT87" i="22" s="1"/>
  <c r="AQ6" i="22"/>
  <c r="AT6" i="22" s="1"/>
  <c r="AQ3" i="22"/>
  <c r="AT3" i="22" s="1"/>
  <c r="AI70" i="22"/>
  <c r="AL70" i="22" s="1"/>
  <c r="AQ36" i="22"/>
  <c r="AT36" i="22" s="1"/>
  <c r="AM12" i="22"/>
  <c r="AP12" i="22" s="1"/>
  <c r="AU44" i="22"/>
  <c r="AX44" i="22" s="1"/>
  <c r="AQ85" i="22"/>
  <c r="AT85" i="22" s="1"/>
  <c r="AQ9" i="22"/>
  <c r="AT9" i="22" s="1"/>
  <c r="AQ63" i="22"/>
  <c r="AT63" i="22" s="1"/>
  <c r="AQ28" i="22"/>
  <c r="AT28" i="22" s="1"/>
  <c r="AI69" i="22"/>
  <c r="AL69" i="22" s="1"/>
  <c r="AY82" i="22"/>
  <c r="BB82" i="22" s="1"/>
  <c r="AQ76" i="22"/>
  <c r="AT76" i="22" s="1"/>
  <c r="AQ17" i="22"/>
  <c r="AT17" i="22" s="1"/>
  <c r="AQ34" i="22"/>
  <c r="AT34" i="22" s="1"/>
  <c r="AU21" i="22"/>
  <c r="AX21" i="22" s="1"/>
  <c r="AU56" i="22"/>
  <c r="AX56" i="22" s="1"/>
  <c r="AQ26" i="22"/>
  <c r="AT26" i="22" s="1"/>
  <c r="AI25" i="22"/>
  <c r="AL25" i="22" s="1"/>
  <c r="AH92" i="22"/>
  <c r="AD34" i="26" l="1"/>
  <c r="AG34" i="26"/>
  <c r="AH34" i="26" s="1"/>
  <c r="AK34" i="26" s="1"/>
  <c r="AL34" i="26" s="1"/>
  <c r="AO34" i="26" s="1"/>
  <c r="AP34" i="26" s="1"/>
  <c r="AS34" i="26" s="1"/>
  <c r="AX8" i="30"/>
  <c r="BA8" i="30" s="1"/>
  <c r="BB8" i="30" s="1"/>
  <c r="AH29" i="26"/>
  <c r="AK29" i="26" s="1"/>
  <c r="AT36" i="26"/>
  <c r="AW36" i="26" s="1"/>
  <c r="AH76" i="26"/>
  <c r="AK76" i="26"/>
  <c r="AL76" i="26" s="1"/>
  <c r="AO76" i="26" s="1"/>
  <c r="BA90" i="30"/>
  <c r="M82" i="30"/>
  <c r="I82" i="30"/>
  <c r="E82" i="26" s="1"/>
  <c r="Q82" i="26" s="1"/>
  <c r="R82" i="26" s="1"/>
  <c r="N82" i="30"/>
  <c r="AX58" i="26"/>
  <c r="BA58" i="26" s="1"/>
  <c r="AT64" i="26"/>
  <c r="AW64" i="26" s="1"/>
  <c r="AT27" i="26"/>
  <c r="AW27" i="26" s="1"/>
  <c r="AL39" i="26"/>
  <c r="AO39" i="26" s="1"/>
  <c r="AP39" i="26" s="1"/>
  <c r="AS39" i="26" s="1"/>
  <c r="M53" i="30"/>
  <c r="I53" i="30"/>
  <c r="E53" i="26" s="1"/>
  <c r="Q53" i="26" s="1"/>
  <c r="R53" i="26" s="1"/>
  <c r="U53" i="26" s="1"/>
  <c r="V53" i="26" s="1"/>
  <c r="Y53" i="26" s="1"/>
  <c r="Z53" i="26" s="1"/>
  <c r="AC53" i="26" s="1"/>
  <c r="N53" i="30"/>
  <c r="BF60" i="30"/>
  <c r="BI60" i="30" s="1"/>
  <c r="BJ60" i="30" s="1"/>
  <c r="L60" i="30" s="1"/>
  <c r="BI78" i="30"/>
  <c r="BJ78" i="30" s="1"/>
  <c r="L78" i="30" s="1"/>
  <c r="BB56" i="30"/>
  <c r="BE56" i="30" s="1"/>
  <c r="AX48" i="30"/>
  <c r="BA48" i="30" s="1"/>
  <c r="BB48" i="30" s="1"/>
  <c r="BE48" i="30" s="1"/>
  <c r="BB4" i="30"/>
  <c r="BE4" i="30" s="1"/>
  <c r="I12" i="30"/>
  <c r="E12" i="26" s="1"/>
  <c r="Q12" i="26" s="1"/>
  <c r="R12" i="26" s="1"/>
  <c r="M12" i="30"/>
  <c r="N12" i="30"/>
  <c r="I22" i="30"/>
  <c r="E22" i="26" s="1"/>
  <c r="Q22" i="26" s="1"/>
  <c r="R22" i="26" s="1"/>
  <c r="M22" i="30"/>
  <c r="N22" i="30"/>
  <c r="AD28" i="26"/>
  <c r="AG28" i="26" s="1"/>
  <c r="AX54" i="30"/>
  <c r="BA54" i="30"/>
  <c r="N24" i="30"/>
  <c r="M24" i="30"/>
  <c r="I24" i="30"/>
  <c r="E24" i="26" s="1"/>
  <c r="Q24" i="26" s="1"/>
  <c r="M32" i="30"/>
  <c r="N32" i="30"/>
  <c r="I32" i="30"/>
  <c r="E32" i="26" s="1"/>
  <c r="Q32" i="26" s="1"/>
  <c r="R32" i="26" s="1"/>
  <c r="U32" i="26" s="1"/>
  <c r="AT74" i="30"/>
  <c r="AW74" i="30" s="1"/>
  <c r="AH40" i="26"/>
  <c r="AK40" i="26"/>
  <c r="AL40" i="26" s="1"/>
  <c r="AO40" i="26" s="1"/>
  <c r="AP40" i="26" s="1"/>
  <c r="AS40" i="26" s="1"/>
  <c r="I65" i="30"/>
  <c r="E65" i="26" s="1"/>
  <c r="Q65" i="26" s="1"/>
  <c r="M65" i="30"/>
  <c r="N65" i="30"/>
  <c r="BF6" i="30"/>
  <c r="BB26" i="30"/>
  <c r="BE26" i="30" s="1"/>
  <c r="BF26" i="30" s="1"/>
  <c r="BI26" i="30" s="1"/>
  <c r="BJ26" i="30" s="1"/>
  <c r="I17" i="30"/>
  <c r="E17" i="26" s="1"/>
  <c r="Q17" i="26" s="1"/>
  <c r="M17" i="30"/>
  <c r="N17" i="30"/>
  <c r="BA35" i="30"/>
  <c r="BB35" i="30" s="1"/>
  <c r="BE35" i="30" s="1"/>
  <c r="AT73" i="30"/>
  <c r="AW73" i="30" s="1"/>
  <c r="AT7" i="26"/>
  <c r="AW7" i="26" s="1"/>
  <c r="V42" i="26"/>
  <c r="Y42" i="26" s="1"/>
  <c r="BF33" i="30"/>
  <c r="AT14" i="26"/>
  <c r="AW14" i="26" s="1"/>
  <c r="AK2" i="30"/>
  <c r="AH91" i="30"/>
  <c r="N61" i="30"/>
  <c r="M61" i="30"/>
  <c r="I61" i="30"/>
  <c r="E61" i="26" s="1"/>
  <c r="Q61" i="26" s="1"/>
  <c r="AD69" i="26"/>
  <c r="AG69" i="26" s="1"/>
  <c r="AH69" i="26" s="1"/>
  <c r="AK69" i="26" s="1"/>
  <c r="AL69" i="26" s="1"/>
  <c r="AO69" i="26" s="1"/>
  <c r="AD52" i="26"/>
  <c r="AG52" i="26" s="1"/>
  <c r="AH52" i="26" s="1"/>
  <c r="AK52" i="26" s="1"/>
  <c r="AL52" i="26" s="1"/>
  <c r="AO52" i="26" s="1"/>
  <c r="AP52" i="26" s="1"/>
  <c r="AS52" i="26" s="1"/>
  <c r="BF25" i="30"/>
  <c r="BI25" i="30" s="1"/>
  <c r="BJ25" i="30" s="1"/>
  <c r="L25" i="30" s="1"/>
  <c r="AD63" i="26"/>
  <c r="AG63" i="26"/>
  <c r="AX13" i="30"/>
  <c r="BA13" i="30" s="1"/>
  <c r="BB13" i="30" s="1"/>
  <c r="BE13" i="30" s="1"/>
  <c r="BF13" i="30" s="1"/>
  <c r="BI13" i="30" s="1"/>
  <c r="BJ13" i="30" s="1"/>
  <c r="U30" i="26"/>
  <c r="V30" i="26" s="1"/>
  <c r="Y30" i="26" s="1"/>
  <c r="Z30" i="26" s="1"/>
  <c r="AC30" i="26" s="1"/>
  <c r="AD30" i="26" s="1"/>
  <c r="AG30" i="26" s="1"/>
  <c r="AH30" i="26" s="1"/>
  <c r="AK30" i="26" s="1"/>
  <c r="AL30" i="26" s="1"/>
  <c r="AO30" i="26" s="1"/>
  <c r="AP30" i="26" s="1"/>
  <c r="AS30" i="26" s="1"/>
  <c r="I55" i="30"/>
  <c r="E55" i="26" s="1"/>
  <c r="Q55" i="26" s="1"/>
  <c r="N55" i="30"/>
  <c r="M55" i="30"/>
  <c r="BB80" i="30"/>
  <c r="R68" i="26"/>
  <c r="AD44" i="26"/>
  <c r="AG44" i="26" s="1"/>
  <c r="AH44" i="26" s="1"/>
  <c r="AK44" i="26" s="1"/>
  <c r="AL44" i="26" s="1"/>
  <c r="AO44" i="26" s="1"/>
  <c r="AT31" i="26"/>
  <c r="AW31" i="26" s="1"/>
  <c r="AX41" i="26"/>
  <c r="BA41" i="26"/>
  <c r="R18" i="26"/>
  <c r="U18" i="26" s="1"/>
  <c r="BB83" i="30"/>
  <c r="BE83" i="30" s="1"/>
  <c r="BF83" i="30" s="1"/>
  <c r="BI83" i="30" s="1"/>
  <c r="BJ83" i="30" s="1"/>
  <c r="V51" i="26"/>
  <c r="Y51" i="26" s="1"/>
  <c r="Z51" i="26" s="1"/>
  <c r="AC51" i="26" s="1"/>
  <c r="AD51" i="26" s="1"/>
  <c r="AG51" i="26" s="1"/>
  <c r="Z5" i="26"/>
  <c r="AC5" i="26" s="1"/>
  <c r="AD5" i="26" s="1"/>
  <c r="AG5" i="26" s="1"/>
  <c r="AH5" i="26" s="1"/>
  <c r="AK5" i="26" s="1"/>
  <c r="AL5" i="26" s="1"/>
  <c r="AO5" i="26" s="1"/>
  <c r="BB23" i="30"/>
  <c r="BE23" i="30" s="1"/>
  <c r="BF23" i="30" s="1"/>
  <c r="BB11" i="30"/>
  <c r="BE11" i="30" s="1"/>
  <c r="BF11" i="30" s="1"/>
  <c r="BI11" i="30" s="1"/>
  <c r="BJ11" i="30" s="1"/>
  <c r="AX37" i="30"/>
  <c r="BA37" i="30" s="1"/>
  <c r="AL50" i="26"/>
  <c r="AO50" i="26" s="1"/>
  <c r="AP50" i="26" s="1"/>
  <c r="AS50" i="26" s="1"/>
  <c r="R46" i="26"/>
  <c r="N45" i="30"/>
  <c r="M45" i="30"/>
  <c r="I45" i="30"/>
  <c r="E45" i="26" s="1"/>
  <c r="Q45" i="26" s="1"/>
  <c r="R45" i="26" s="1"/>
  <c r="U45" i="26" s="1"/>
  <c r="V45" i="26" s="1"/>
  <c r="Y45" i="26" s="1"/>
  <c r="AP57" i="30"/>
  <c r="AS57" i="30" s="1"/>
  <c r="BF75" i="30"/>
  <c r="BI75" i="30" s="1"/>
  <c r="BJ75" i="30" s="1"/>
  <c r="L75" i="30" s="1"/>
  <c r="AT86" i="26"/>
  <c r="AW86" i="26"/>
  <c r="AT10" i="30"/>
  <c r="AW10" i="30" s="1"/>
  <c r="AX10" i="30" s="1"/>
  <c r="BA10" i="30" s="1"/>
  <c r="BB10" i="30" s="1"/>
  <c r="BE10" i="30" s="1"/>
  <c r="BF10" i="30" s="1"/>
  <c r="BI10" i="30" s="1"/>
  <c r="BJ10" i="30" s="1"/>
  <c r="L10" i="30" s="1"/>
  <c r="I72" i="30"/>
  <c r="E72" i="26" s="1"/>
  <c r="Q72" i="26" s="1"/>
  <c r="M72" i="30"/>
  <c r="N72" i="30"/>
  <c r="BF81" i="30"/>
  <c r="BI81" i="30" s="1"/>
  <c r="BJ81" i="30" s="1"/>
  <c r="L81" i="30" s="1"/>
  <c r="R16" i="26"/>
  <c r="V20" i="26"/>
  <c r="Y20" i="26" s="1"/>
  <c r="Z20" i="26" s="1"/>
  <c r="AC20" i="26" s="1"/>
  <c r="AD20" i="26" s="1"/>
  <c r="AG20" i="26" s="1"/>
  <c r="AH20" i="26" s="1"/>
  <c r="AK20" i="26" s="1"/>
  <c r="AL20" i="26" s="1"/>
  <c r="AO20" i="26" s="1"/>
  <c r="AP20" i="26" s="1"/>
  <c r="AS20" i="26" s="1"/>
  <c r="AD66" i="26"/>
  <c r="AG66" i="26" s="1"/>
  <c r="AH66" i="26" s="1"/>
  <c r="AK66" i="26" s="1"/>
  <c r="AL66" i="26" s="1"/>
  <c r="AO66" i="26" s="1"/>
  <c r="AP66" i="26" s="1"/>
  <c r="AS66" i="26" s="1"/>
  <c r="N49" i="30"/>
  <c r="M49" i="30"/>
  <c r="I49" i="30"/>
  <c r="E49" i="26" s="1"/>
  <c r="Q49" i="26" s="1"/>
  <c r="R49" i="26" s="1"/>
  <c r="U49" i="26" s="1"/>
  <c r="V49" i="26" s="1"/>
  <c r="Y49" i="26" s="1"/>
  <c r="Z49" i="26" s="1"/>
  <c r="AC49" i="26" s="1"/>
  <c r="AT59" i="26"/>
  <c r="U62" i="26"/>
  <c r="AL3" i="26"/>
  <c r="AO3" i="26" s="1"/>
  <c r="AP3" i="26" s="1"/>
  <c r="AS3" i="26" s="1"/>
  <c r="I19" i="30"/>
  <c r="E19" i="26" s="1"/>
  <c r="Q19" i="26" s="1"/>
  <c r="R19" i="26" s="1"/>
  <c r="M19" i="30"/>
  <c r="N19" i="30"/>
  <c r="AO87" i="30"/>
  <c r="BB89" i="30"/>
  <c r="BE89" i="30" s="1"/>
  <c r="BF89" i="30" s="1"/>
  <c r="BI89" i="30" s="1"/>
  <c r="BJ89" i="30" s="1"/>
  <c r="AK67" i="26"/>
  <c r="AD77" i="26"/>
  <c r="AG77" i="26" s="1"/>
  <c r="L15" i="30"/>
  <c r="AK85" i="30"/>
  <c r="AL85" i="30" s="1"/>
  <c r="AO85" i="30" s="1"/>
  <c r="L9" i="30"/>
  <c r="R70" i="26"/>
  <c r="AW21" i="30"/>
  <c r="Z38" i="26"/>
  <c r="AC38" i="26" s="1"/>
  <c r="R88" i="26"/>
  <c r="U88" i="26" s="1"/>
  <c r="V88" i="26" s="1"/>
  <c r="Y88" i="26" s="1"/>
  <c r="AK84" i="30"/>
  <c r="AL84" i="30" s="1"/>
  <c r="AO84" i="30" s="1"/>
  <c r="L43" i="30"/>
  <c r="R71" i="26"/>
  <c r="U71" i="26" s="1"/>
  <c r="V71" i="26" s="1"/>
  <c r="Y71" i="26" s="1"/>
  <c r="Z71" i="26" s="1"/>
  <c r="AC71" i="26" s="1"/>
  <c r="R79" i="26"/>
  <c r="U79" i="26" s="1"/>
  <c r="V79" i="26" s="1"/>
  <c r="Y79" i="26" s="1"/>
  <c r="Z79" i="26" s="1"/>
  <c r="AC79" i="26" s="1"/>
  <c r="BA47" i="30"/>
  <c r="BB47" i="30" s="1"/>
  <c r="BE47" i="30" s="1"/>
  <c r="AU88" i="22"/>
  <c r="AX88" i="22" s="1"/>
  <c r="AU90" i="22"/>
  <c r="AX90" i="22" s="1"/>
  <c r="AU51" i="22"/>
  <c r="AX51" i="22" s="1"/>
  <c r="AU50" i="22"/>
  <c r="AX50" i="22" s="1"/>
  <c r="AY50" i="22" s="1"/>
  <c r="BB50" i="22" s="1"/>
  <c r="BC50" i="22" s="1"/>
  <c r="BF50" i="22" s="1"/>
  <c r="AU4" i="22"/>
  <c r="AX4" i="22" s="1"/>
  <c r="AM2" i="22"/>
  <c r="AP2" i="22" s="1"/>
  <c r="AQ84" i="22"/>
  <c r="AT84" i="22" s="1"/>
  <c r="AQ81" i="22"/>
  <c r="AT81" i="22" s="1"/>
  <c r="AM68" i="22"/>
  <c r="AP68" i="22" s="1"/>
  <c r="AU64" i="22"/>
  <c r="AX64" i="22" s="1"/>
  <c r="BB60" i="22"/>
  <c r="BC60" i="22" s="1"/>
  <c r="BB54" i="22"/>
  <c r="AY53" i="22"/>
  <c r="BB53" i="22" s="1"/>
  <c r="AY49" i="22"/>
  <c r="BB49" i="22" s="1"/>
  <c r="AQ48" i="22"/>
  <c r="AT48" i="22" s="1"/>
  <c r="AU46" i="22"/>
  <c r="AX46" i="22" s="1"/>
  <c r="AY46" i="22" s="1"/>
  <c r="AY43" i="22"/>
  <c r="BB43" i="22" s="1"/>
  <c r="AQ42" i="22"/>
  <c r="AT42" i="22" s="1"/>
  <c r="AM38" i="22"/>
  <c r="AP38" i="22" s="1"/>
  <c r="AY30" i="22"/>
  <c r="BB30" i="22" s="1"/>
  <c r="AU27" i="22"/>
  <c r="AX27" i="22" s="1"/>
  <c r="BB16" i="22"/>
  <c r="BC16" i="22" s="1"/>
  <c r="AY13" i="22"/>
  <c r="BB13" i="22" s="1"/>
  <c r="AQ14" i="22"/>
  <c r="AT14" i="22" s="1"/>
  <c r="AU59" i="22"/>
  <c r="AX59" i="22" s="1"/>
  <c r="BG19" i="22"/>
  <c r="BC18" i="22"/>
  <c r="BF18" i="22" s="1"/>
  <c r="AM70" i="22"/>
  <c r="AP70" i="22" s="1"/>
  <c r="AY8" i="22"/>
  <c r="BB8" i="22" s="1"/>
  <c r="AU10" i="22"/>
  <c r="AX10" i="22" s="1"/>
  <c r="AU3" i="22"/>
  <c r="AX3" i="22" s="1"/>
  <c r="AU87" i="22"/>
  <c r="AX87" i="22" s="1"/>
  <c r="BC5" i="22"/>
  <c r="BF5" i="22" s="1"/>
  <c r="AU7" i="22"/>
  <c r="AX7" i="22" s="1"/>
  <c r="AU63" i="22"/>
  <c r="AX63" i="22" s="1"/>
  <c r="AU47" i="22"/>
  <c r="AX47" i="22" s="1"/>
  <c r="AQ12" i="22"/>
  <c r="AT12" i="22" s="1"/>
  <c r="AU28" i="22"/>
  <c r="AX28" i="22" s="1"/>
  <c r="AU33" i="22"/>
  <c r="AX33" i="22" s="1"/>
  <c r="AQ73" i="22"/>
  <c r="AT73" i="22" s="1"/>
  <c r="AU71" i="22"/>
  <c r="AX71" i="22" s="1"/>
  <c r="AU72" i="22"/>
  <c r="AX72" i="22" s="1"/>
  <c r="AY45" i="22"/>
  <c r="BB45" i="22" s="1"/>
  <c r="AQ39" i="22"/>
  <c r="AT39" i="22" s="1"/>
  <c r="AQ86" i="22"/>
  <c r="AT86" i="22" s="1"/>
  <c r="AY55" i="22"/>
  <c r="BB55" i="22" s="1"/>
  <c r="AY67" i="22"/>
  <c r="BB67" i="22" s="1"/>
  <c r="AU22" i="22"/>
  <c r="AX22" i="22" s="1"/>
  <c r="AU34" i="22"/>
  <c r="AX34" i="22" s="1"/>
  <c r="AM78" i="22"/>
  <c r="AP78" i="22" s="1"/>
  <c r="BC74" i="22"/>
  <c r="BF74" i="22" s="1"/>
  <c r="AU66" i="22"/>
  <c r="AX66" i="22" s="1"/>
  <c r="BG37" i="22"/>
  <c r="BC23" i="22"/>
  <c r="BF23" i="22" s="1"/>
  <c r="AY24" i="22"/>
  <c r="BB24" i="22" s="1"/>
  <c r="AU31" i="22"/>
  <c r="AX31" i="22" s="1"/>
  <c r="AQ75" i="22"/>
  <c r="AT75" i="22" s="1"/>
  <c r="AU17" i="22"/>
  <c r="AX17" i="22" s="1"/>
  <c r="AU76" i="22"/>
  <c r="AX76" i="22" s="1"/>
  <c r="AY56" i="22"/>
  <c r="BB56" i="22" s="1"/>
  <c r="AY29" i="22"/>
  <c r="BB29" i="22" s="1"/>
  <c r="AQ61" i="22"/>
  <c r="AT61" i="22" s="1"/>
  <c r="AQ57" i="22"/>
  <c r="AT57" i="22" s="1"/>
  <c r="BG11" i="22"/>
  <c r="BJ11" i="22" s="1"/>
  <c r="AM80" i="22"/>
  <c r="AP80" i="22" s="1"/>
  <c r="BC82" i="22"/>
  <c r="BF82" i="22" s="1"/>
  <c r="AM69" i="22"/>
  <c r="AP69" i="22" s="1"/>
  <c r="AY44" i="22"/>
  <c r="BB44" i="22" s="1"/>
  <c r="AU35" i="22"/>
  <c r="AX35" i="22" s="1"/>
  <c r="AU41" i="22"/>
  <c r="AX41" i="22" s="1"/>
  <c r="AY52" i="22"/>
  <c r="BB52" i="22" s="1"/>
  <c r="AU65" i="22"/>
  <c r="AX65" i="22" s="1"/>
  <c r="AU58" i="22"/>
  <c r="AX58" i="22" s="1"/>
  <c r="AU36" i="22"/>
  <c r="AX36" i="22" s="1"/>
  <c r="AQ77" i="22"/>
  <c r="AT77" i="22" s="1"/>
  <c r="BC32" i="22"/>
  <c r="BF32" i="22" s="1"/>
  <c r="AY20" i="22"/>
  <c r="BB20" i="22" s="1"/>
  <c r="AU26" i="22"/>
  <c r="AX26" i="22" s="1"/>
  <c r="AM25" i="22"/>
  <c r="AP25" i="22" s="1"/>
  <c r="AL92" i="22"/>
  <c r="AI92" i="22"/>
  <c r="AL29" i="26" l="1"/>
  <c r="AO29" i="26" s="1"/>
  <c r="AP29" i="26" s="1"/>
  <c r="AS29" i="26" s="1"/>
  <c r="BE8" i="30"/>
  <c r="BF8" i="30" s="1"/>
  <c r="BI8" i="30" s="1"/>
  <c r="BJ8" i="30" s="1"/>
  <c r="AX36" i="26"/>
  <c r="BA36" i="26"/>
  <c r="AT34" i="26"/>
  <c r="AW34" i="26"/>
  <c r="Z88" i="26"/>
  <c r="AC88" i="26" s="1"/>
  <c r="AD88" i="26" s="1"/>
  <c r="AG88" i="26" s="1"/>
  <c r="AH88" i="26" s="1"/>
  <c r="AK88" i="26" s="1"/>
  <c r="AL88" i="26" s="1"/>
  <c r="AO88" i="26" s="1"/>
  <c r="AP88" i="26" s="1"/>
  <c r="AS88" i="26" s="1"/>
  <c r="I81" i="30"/>
  <c r="E81" i="26" s="1"/>
  <c r="Q81" i="26" s="1"/>
  <c r="M81" i="30"/>
  <c r="N81" i="30"/>
  <c r="N10" i="30"/>
  <c r="M10" i="30"/>
  <c r="I10" i="30"/>
  <c r="E10" i="26" s="1"/>
  <c r="Q10" i="26" s="1"/>
  <c r="BB37" i="30"/>
  <c r="BE37" i="30" s="1"/>
  <c r="BI23" i="30"/>
  <c r="BJ23" i="30" s="1"/>
  <c r="L23" i="30" s="1"/>
  <c r="AX14" i="26"/>
  <c r="BA14" i="26"/>
  <c r="BF4" i="30"/>
  <c r="BI4" i="30" s="1"/>
  <c r="BJ4" i="30" s="1"/>
  <c r="L4" i="30" s="1"/>
  <c r="AX27" i="26"/>
  <c r="BA27" i="26" s="1"/>
  <c r="BB58" i="26"/>
  <c r="BE58" i="26" s="1"/>
  <c r="AD38" i="26"/>
  <c r="AG38" i="26" s="1"/>
  <c r="AH38" i="26" s="1"/>
  <c r="AK38" i="26" s="1"/>
  <c r="AL38" i="26" s="1"/>
  <c r="AO38" i="26" s="1"/>
  <c r="AP38" i="26" s="1"/>
  <c r="AS38" i="26" s="1"/>
  <c r="AH77" i="26"/>
  <c r="AK77" i="26" s="1"/>
  <c r="AL77" i="26" s="1"/>
  <c r="AO77" i="26" s="1"/>
  <c r="AP77" i="26" s="1"/>
  <c r="AS77" i="26" s="1"/>
  <c r="AT3" i="26"/>
  <c r="AW3" i="26" s="1"/>
  <c r="AT50" i="26"/>
  <c r="AW50" i="26" s="1"/>
  <c r="I60" i="30"/>
  <c r="E60" i="26" s="1"/>
  <c r="Q60" i="26" s="1"/>
  <c r="M60" i="30"/>
  <c r="N60" i="30"/>
  <c r="AT39" i="26"/>
  <c r="AW39" i="26" s="1"/>
  <c r="AX64" i="26"/>
  <c r="BA64" i="26" s="1"/>
  <c r="AD79" i="26"/>
  <c r="AG79" i="26" s="1"/>
  <c r="AH79" i="26" s="1"/>
  <c r="AK79" i="26" s="1"/>
  <c r="AL79" i="26" s="1"/>
  <c r="AO79" i="26" s="1"/>
  <c r="AP79" i="26" s="1"/>
  <c r="AS79" i="26" s="1"/>
  <c r="AD71" i="26"/>
  <c r="AG71" i="26" s="1"/>
  <c r="I43" i="30"/>
  <c r="E43" i="26" s="1"/>
  <c r="Q43" i="26" s="1"/>
  <c r="R43" i="26" s="1"/>
  <c r="M43" i="30"/>
  <c r="N43" i="30"/>
  <c r="AX21" i="30"/>
  <c r="N9" i="30"/>
  <c r="M9" i="30"/>
  <c r="I9" i="30"/>
  <c r="E9" i="26" s="1"/>
  <c r="Q9" i="26" s="1"/>
  <c r="M15" i="30"/>
  <c r="N15" i="30"/>
  <c r="I15" i="30"/>
  <c r="E15" i="26" s="1"/>
  <c r="Q15" i="26" s="1"/>
  <c r="AP87" i="30"/>
  <c r="V62" i="26"/>
  <c r="AT66" i="26"/>
  <c r="AW66" i="26" s="1"/>
  <c r="AT20" i="26"/>
  <c r="AW20" i="26" s="1"/>
  <c r="AX86" i="26"/>
  <c r="BA86" i="26" s="1"/>
  <c r="I75" i="30"/>
  <c r="E75" i="26" s="1"/>
  <c r="Q75" i="26" s="1"/>
  <c r="M75" i="30"/>
  <c r="N75" i="30"/>
  <c r="AT57" i="30"/>
  <c r="AW57" i="30" s="1"/>
  <c r="Z45" i="26"/>
  <c r="AC45" i="26" s="1"/>
  <c r="AP5" i="26"/>
  <c r="AS5" i="26" s="1"/>
  <c r="AH51" i="26"/>
  <c r="AK51" i="26" s="1"/>
  <c r="V18" i="26"/>
  <c r="Y18" i="26" s="1"/>
  <c r="Z18" i="26" s="1"/>
  <c r="BB41" i="26"/>
  <c r="BE41" i="26" s="1"/>
  <c r="AX31" i="26"/>
  <c r="BA31" i="26" s="1"/>
  <c r="AP44" i="26"/>
  <c r="AS44" i="26" s="1"/>
  <c r="AH63" i="26"/>
  <c r="M25" i="30"/>
  <c r="I25" i="30"/>
  <c r="E25" i="26" s="1"/>
  <c r="Q25" i="26" s="1"/>
  <c r="N25" i="30"/>
  <c r="AT52" i="26"/>
  <c r="AW52" i="26" s="1"/>
  <c r="AP69" i="26"/>
  <c r="AS69" i="26" s="1"/>
  <c r="AK91" i="30"/>
  <c r="AL2" i="30"/>
  <c r="Z42" i="26"/>
  <c r="AC42" i="26" s="1"/>
  <c r="AD42" i="26" s="1"/>
  <c r="AG42" i="26" s="1"/>
  <c r="AH42" i="26" s="1"/>
  <c r="AK42" i="26" s="1"/>
  <c r="AL42" i="26" s="1"/>
  <c r="AO42" i="26" s="1"/>
  <c r="AX7" i="26"/>
  <c r="BA7" i="26" s="1"/>
  <c r="AX73" i="30"/>
  <c r="BA73" i="30" s="1"/>
  <c r="R17" i="26"/>
  <c r="U17" i="26" s="1"/>
  <c r="V17" i="26" s="1"/>
  <c r="Y17" i="26" s="1"/>
  <c r="AT40" i="26"/>
  <c r="AW40" i="26" s="1"/>
  <c r="AX74" i="30"/>
  <c r="V32" i="26"/>
  <c r="Y32" i="26" s="1"/>
  <c r="BB54" i="30"/>
  <c r="BE54" i="30" s="1"/>
  <c r="BF54" i="30" s="1"/>
  <c r="BI54" i="30" s="1"/>
  <c r="BJ54" i="30" s="1"/>
  <c r="AH28" i="26"/>
  <c r="AK28" i="26" s="1"/>
  <c r="AL28" i="26" s="1"/>
  <c r="AO28" i="26" s="1"/>
  <c r="AP28" i="26" s="1"/>
  <c r="AS28" i="26" s="1"/>
  <c r="U22" i="26"/>
  <c r="V22" i="26" s="1"/>
  <c r="Y22" i="26" s="1"/>
  <c r="Z22" i="26" s="1"/>
  <c r="AC22" i="26" s="1"/>
  <c r="AD22" i="26" s="1"/>
  <c r="AG22" i="26" s="1"/>
  <c r="BF48" i="30"/>
  <c r="BI48" i="30" s="1"/>
  <c r="BJ48" i="30" s="1"/>
  <c r="L48" i="30" s="1"/>
  <c r="BF56" i="30"/>
  <c r="BI56" i="30" s="1"/>
  <c r="BJ56" i="30" s="1"/>
  <c r="L56" i="30" s="1"/>
  <c r="I78" i="30"/>
  <c r="E78" i="26" s="1"/>
  <c r="Q78" i="26" s="1"/>
  <c r="M78" i="30"/>
  <c r="N78" i="30"/>
  <c r="U82" i="26"/>
  <c r="V82" i="26" s="1"/>
  <c r="Y82" i="26" s="1"/>
  <c r="AP76" i="26"/>
  <c r="AS76" i="26" s="1"/>
  <c r="BF47" i="30"/>
  <c r="L11" i="30"/>
  <c r="AP84" i="30"/>
  <c r="AS84" i="30" s="1"/>
  <c r="U70" i="26"/>
  <c r="V70" i="26" s="1"/>
  <c r="Y70" i="26" s="1"/>
  <c r="Z70" i="26" s="1"/>
  <c r="AC70" i="26" s="1"/>
  <c r="AD70" i="26" s="1"/>
  <c r="AG70" i="26" s="1"/>
  <c r="L13" i="30"/>
  <c r="AP85" i="30"/>
  <c r="AS85" i="30" s="1"/>
  <c r="AL67" i="26"/>
  <c r="AO67" i="26"/>
  <c r="AP67" i="26" s="1"/>
  <c r="AS67" i="26" s="1"/>
  <c r="L89" i="30"/>
  <c r="U19" i="26"/>
  <c r="V19" i="26" s="1"/>
  <c r="Y19" i="26" s="1"/>
  <c r="Z19" i="26" s="1"/>
  <c r="AC19" i="26" s="1"/>
  <c r="AD19" i="26" s="1"/>
  <c r="AG19" i="26" s="1"/>
  <c r="AW59" i="26"/>
  <c r="AD49" i="26"/>
  <c r="AG49" i="26" s="1"/>
  <c r="AH49" i="26" s="1"/>
  <c r="AK49" i="26" s="1"/>
  <c r="AL49" i="26" s="1"/>
  <c r="AO49" i="26" s="1"/>
  <c r="U16" i="26"/>
  <c r="V16" i="26" s="1"/>
  <c r="Y16" i="26" s="1"/>
  <c r="R72" i="26"/>
  <c r="U72" i="26"/>
  <c r="V72" i="26" s="1"/>
  <c r="Y72" i="26" s="1"/>
  <c r="Z72" i="26" s="1"/>
  <c r="AC72" i="26" s="1"/>
  <c r="AD72" i="26" s="1"/>
  <c r="AG72" i="26" s="1"/>
  <c r="U46" i="26"/>
  <c r="L83" i="30"/>
  <c r="U68" i="26"/>
  <c r="V68" i="26" s="1"/>
  <c r="Y68" i="26" s="1"/>
  <c r="Z68" i="26" s="1"/>
  <c r="AC68" i="26" s="1"/>
  <c r="AD68" i="26" s="1"/>
  <c r="AG68" i="26" s="1"/>
  <c r="AH68" i="26" s="1"/>
  <c r="AK68" i="26" s="1"/>
  <c r="AL68" i="26" s="1"/>
  <c r="AO68" i="26" s="1"/>
  <c r="AP68" i="26" s="1"/>
  <c r="AS68" i="26" s="1"/>
  <c r="BE80" i="30"/>
  <c r="R55" i="26"/>
  <c r="U55" i="26" s="1"/>
  <c r="V55" i="26" s="1"/>
  <c r="Y55" i="26" s="1"/>
  <c r="AT30" i="26"/>
  <c r="R61" i="26"/>
  <c r="U61" i="26" s="1"/>
  <c r="BI33" i="30"/>
  <c r="BJ33" i="30" s="1"/>
  <c r="L33" i="30" s="1"/>
  <c r="BF35" i="30"/>
  <c r="BI35" i="30"/>
  <c r="BJ35" i="30" s="1"/>
  <c r="L26" i="30"/>
  <c r="BI6" i="30"/>
  <c r="BJ6" i="30" s="1"/>
  <c r="L6" i="30" s="1"/>
  <c r="R65" i="26"/>
  <c r="U65" i="26" s="1"/>
  <c r="V65" i="26" s="1"/>
  <c r="Y65" i="26" s="1"/>
  <c r="Z65" i="26" s="1"/>
  <c r="AC65" i="26" s="1"/>
  <c r="R24" i="26"/>
  <c r="U24" i="26" s="1"/>
  <c r="V24" i="26" s="1"/>
  <c r="Y24" i="26" s="1"/>
  <c r="Z24" i="26" s="1"/>
  <c r="AC24" i="26" s="1"/>
  <c r="AD24" i="26" s="1"/>
  <c r="AG24" i="26" s="1"/>
  <c r="AH24" i="26" s="1"/>
  <c r="AK24" i="26" s="1"/>
  <c r="AL24" i="26" s="1"/>
  <c r="AO24" i="26" s="1"/>
  <c r="U12" i="26"/>
  <c r="AD53" i="26"/>
  <c r="AG53" i="26" s="1"/>
  <c r="AH53" i="26" s="1"/>
  <c r="AK53" i="26" s="1"/>
  <c r="AL53" i="26" s="1"/>
  <c r="AO53" i="26" s="1"/>
  <c r="AP53" i="26" s="1"/>
  <c r="AS53" i="26" s="1"/>
  <c r="BB90" i="30"/>
  <c r="AY88" i="22"/>
  <c r="BB88" i="22" s="1"/>
  <c r="AY90" i="22"/>
  <c r="BB90" i="22" s="1"/>
  <c r="AY51" i="22"/>
  <c r="BB51" i="22" s="1"/>
  <c r="AY4" i="22"/>
  <c r="BB4" i="22" s="1"/>
  <c r="AQ2" i="22"/>
  <c r="AT2" i="22" s="1"/>
  <c r="AU84" i="22"/>
  <c r="AX84" i="22" s="1"/>
  <c r="AQ68" i="22"/>
  <c r="AT68" i="22" s="1"/>
  <c r="AY64" i="22"/>
  <c r="BB64" i="22" s="1"/>
  <c r="BF60" i="22"/>
  <c r="BG60" i="22" s="1"/>
  <c r="BC53" i="22"/>
  <c r="BF53" i="22" s="1"/>
  <c r="BC49" i="22"/>
  <c r="BF49" i="22" s="1"/>
  <c r="AU48" i="22"/>
  <c r="AX48" i="22" s="1"/>
  <c r="BB46" i="22"/>
  <c r="BC46" i="22" s="1"/>
  <c r="BC43" i="22"/>
  <c r="BF43" i="22" s="1"/>
  <c r="AU42" i="22"/>
  <c r="AX42" i="22" s="1"/>
  <c r="AQ38" i="22"/>
  <c r="AT38" i="22" s="1"/>
  <c r="BJ37" i="22"/>
  <c r="BK37" i="22" s="1"/>
  <c r="M37" i="22" s="1"/>
  <c r="J37" i="22" s="1"/>
  <c r="AY27" i="22"/>
  <c r="BB27" i="22" s="1"/>
  <c r="BJ19" i="22"/>
  <c r="BK19" i="22" s="1"/>
  <c r="M19" i="22" s="1"/>
  <c r="J19" i="22" s="1"/>
  <c r="BF16" i="22"/>
  <c r="BG16" i="22" s="1"/>
  <c r="BC13" i="22"/>
  <c r="BF13" i="22" s="1"/>
  <c r="BK11" i="22"/>
  <c r="M11" i="22" s="1"/>
  <c r="J11" i="22" s="1"/>
  <c r="BG82" i="22"/>
  <c r="BJ82" i="22" s="1"/>
  <c r="AU77" i="22"/>
  <c r="AX77" i="22" s="1"/>
  <c r="AY36" i="22"/>
  <c r="BB36" i="22" s="1"/>
  <c r="BC67" i="22"/>
  <c r="BF67" i="22" s="1"/>
  <c r="AY35" i="22"/>
  <c r="BB35" i="22" s="1"/>
  <c r="BC45" i="22"/>
  <c r="BF45" i="22" s="1"/>
  <c r="AY59" i="22"/>
  <c r="BB59" i="22" s="1"/>
  <c r="BC30" i="22"/>
  <c r="BF30" i="22" s="1"/>
  <c r="BG32" i="22"/>
  <c r="BJ32" i="22" s="1"/>
  <c r="AQ40" i="22"/>
  <c r="AT40" i="22" s="1"/>
  <c r="BC54" i="22"/>
  <c r="BF54" i="22" s="1"/>
  <c r="AU73" i="22"/>
  <c r="AX73" i="22" s="1"/>
  <c r="AU81" i="22"/>
  <c r="AX81" i="22" s="1"/>
  <c r="BC29" i="22"/>
  <c r="BF29" i="22" s="1"/>
  <c r="AY34" i="22"/>
  <c r="BB34" i="22" s="1"/>
  <c r="AY21" i="22"/>
  <c r="BB21" i="22" s="1"/>
  <c r="AM92" i="22"/>
  <c r="AU15" i="22"/>
  <c r="AX15" i="22" s="1"/>
  <c r="AY72" i="22"/>
  <c r="BB72" i="22" s="1"/>
  <c r="BG18" i="22"/>
  <c r="AY33" i="22"/>
  <c r="BB33" i="22" s="1"/>
  <c r="AY10" i="22"/>
  <c r="BB10" i="22" s="1"/>
  <c r="AQ69" i="22"/>
  <c r="AT69" i="22" s="1"/>
  <c r="AU57" i="22"/>
  <c r="AX57" i="22" s="1"/>
  <c r="AY17" i="22"/>
  <c r="BB17" i="22" s="1"/>
  <c r="BG23" i="22"/>
  <c r="BJ23" i="22" s="1"/>
  <c r="AU9" i="22"/>
  <c r="AX9" i="22" s="1"/>
  <c r="BC79" i="22"/>
  <c r="BF79" i="22" s="1"/>
  <c r="AY3" i="22"/>
  <c r="BB3" i="22" s="1"/>
  <c r="AY65" i="22"/>
  <c r="BB65" i="22" s="1"/>
  <c r="AU75" i="22"/>
  <c r="AX75" i="22" s="1"/>
  <c r="AU12" i="22"/>
  <c r="AX12" i="22" s="1"/>
  <c r="AU14" i="22"/>
  <c r="AX14" i="22" s="1"/>
  <c r="AY41" i="22"/>
  <c r="BB41" i="22" s="1"/>
  <c r="AU61" i="22"/>
  <c r="AX61" i="22" s="1"/>
  <c r="BG50" i="22"/>
  <c r="BC55" i="22"/>
  <c r="BF55" i="22" s="1"/>
  <c r="AY71" i="22"/>
  <c r="BB71" i="22" s="1"/>
  <c r="AY7" i="22"/>
  <c r="BB7" i="22" s="1"/>
  <c r="BC8" i="22"/>
  <c r="BF8" i="22" s="1"/>
  <c r="AQ89" i="22"/>
  <c r="AT89" i="22" s="1"/>
  <c r="AU6" i="22"/>
  <c r="AX6" i="22" s="1"/>
  <c r="BC56" i="22"/>
  <c r="BF56" i="22" s="1"/>
  <c r="AY28" i="22"/>
  <c r="BB28" i="22" s="1"/>
  <c r="BG5" i="22"/>
  <c r="BJ5" i="22" s="1"/>
  <c r="AQ80" i="22"/>
  <c r="AT80" i="22" s="1"/>
  <c r="AU85" i="22"/>
  <c r="AX85" i="22" s="1"/>
  <c r="AQ62" i="22"/>
  <c r="AT62" i="22" s="1"/>
  <c r="BC52" i="22"/>
  <c r="BF52" i="22" s="1"/>
  <c r="BC83" i="22"/>
  <c r="BF83" i="22" s="1"/>
  <c r="AY47" i="22"/>
  <c r="BB47" i="22" s="1"/>
  <c r="AY58" i="22"/>
  <c r="BB58" i="22" s="1"/>
  <c r="AY66" i="22"/>
  <c r="BB66" i="22" s="1"/>
  <c r="AY26" i="22"/>
  <c r="BB26" i="22" s="1"/>
  <c r="AQ25" i="22"/>
  <c r="AT25" i="22" s="1"/>
  <c r="L8" i="30" l="1"/>
  <c r="AT29" i="26"/>
  <c r="AW29" i="26"/>
  <c r="AX34" i="26"/>
  <c r="BA34" i="26"/>
  <c r="BB36" i="26"/>
  <c r="BE36" i="26" s="1"/>
  <c r="M8" i="30"/>
  <c r="N8" i="30"/>
  <c r="I8" i="30"/>
  <c r="E8" i="26" s="1"/>
  <c r="Q8" i="26" s="1"/>
  <c r="R8" i="26" s="1"/>
  <c r="AT53" i="26"/>
  <c r="AW53" i="26" s="1"/>
  <c r="AP24" i="26"/>
  <c r="AS24" i="26" s="1"/>
  <c r="V61" i="26"/>
  <c r="Y61" i="26" s="1"/>
  <c r="Z55" i="26"/>
  <c r="AC55" i="26" s="1"/>
  <c r="AD55" i="26" s="1"/>
  <c r="AG55" i="26" s="1"/>
  <c r="AH55" i="26" s="1"/>
  <c r="AK55" i="26" s="1"/>
  <c r="AL55" i="26" s="1"/>
  <c r="AO55" i="26" s="1"/>
  <c r="AP55" i="26" s="1"/>
  <c r="AS55" i="26" s="1"/>
  <c r="AP49" i="26"/>
  <c r="AS49" i="26" s="1"/>
  <c r="N56" i="30"/>
  <c r="M56" i="30"/>
  <c r="I56" i="30"/>
  <c r="E56" i="26" s="1"/>
  <c r="Q56" i="26" s="1"/>
  <c r="R56" i="26" s="1"/>
  <c r="AT44" i="26"/>
  <c r="AW44" i="26" s="1"/>
  <c r="BF41" i="26"/>
  <c r="BI41" i="26" s="1"/>
  <c r="BJ41" i="26" s="1"/>
  <c r="L41" i="26" s="1"/>
  <c r="AL51" i="26"/>
  <c r="AO51" i="26" s="1"/>
  <c r="AP51" i="26" s="1"/>
  <c r="AS51" i="26" s="1"/>
  <c r="AH71" i="26"/>
  <c r="AK71" i="26" s="1"/>
  <c r="BB64" i="26"/>
  <c r="BE64" i="26" s="1"/>
  <c r="N6" i="30"/>
  <c r="M6" i="30"/>
  <c r="I6" i="30"/>
  <c r="E6" i="26" s="1"/>
  <c r="Q6" i="26" s="1"/>
  <c r="R6" i="26" s="1"/>
  <c r="N33" i="30"/>
  <c r="M33" i="30"/>
  <c r="I33" i="30"/>
  <c r="E33" i="26" s="1"/>
  <c r="Q33" i="26" s="1"/>
  <c r="R33" i="26" s="1"/>
  <c r="M48" i="30"/>
  <c r="I48" i="30"/>
  <c r="E48" i="26" s="1"/>
  <c r="Q48" i="26" s="1"/>
  <c r="R48" i="26" s="1"/>
  <c r="N48" i="30"/>
  <c r="AT28" i="26"/>
  <c r="AW28" i="26"/>
  <c r="Z32" i="26"/>
  <c r="AC32" i="26" s="1"/>
  <c r="AD32" i="26" s="1"/>
  <c r="AG32" i="26" s="1"/>
  <c r="AH32" i="26" s="1"/>
  <c r="AK32" i="26" s="1"/>
  <c r="AX40" i="26"/>
  <c r="BA40" i="26" s="1"/>
  <c r="BB31" i="26"/>
  <c r="BE31" i="26" s="1"/>
  <c r="AC18" i="26"/>
  <c r="AT5" i="26"/>
  <c r="AW5" i="26" s="1"/>
  <c r="BB86" i="26"/>
  <c r="BE86" i="26" s="1"/>
  <c r="AT79" i="26"/>
  <c r="AW79" i="26" s="1"/>
  <c r="AX39" i="26"/>
  <c r="BA39" i="26"/>
  <c r="V12" i="26"/>
  <c r="AD65" i="26"/>
  <c r="AG65" i="26" s="1"/>
  <c r="AH65" i="26" s="1"/>
  <c r="AK65" i="26" s="1"/>
  <c r="AL65" i="26" s="1"/>
  <c r="AO65" i="26" s="1"/>
  <c r="AP65" i="26" s="1"/>
  <c r="AS65" i="26" s="1"/>
  <c r="AT68" i="26"/>
  <c r="AW68" i="26"/>
  <c r="AH72" i="26"/>
  <c r="AK72" i="26" s="1"/>
  <c r="AL72" i="26" s="1"/>
  <c r="AO72" i="26" s="1"/>
  <c r="AP72" i="26" s="1"/>
  <c r="AS72" i="26" s="1"/>
  <c r="Z16" i="26"/>
  <c r="AC16" i="26" s="1"/>
  <c r="AH19" i="26"/>
  <c r="AK19" i="26" s="1"/>
  <c r="AL19" i="26" s="1"/>
  <c r="AO19" i="26" s="1"/>
  <c r="AP19" i="26" s="1"/>
  <c r="AS19" i="26" s="1"/>
  <c r="AT67" i="26"/>
  <c r="AW67" i="26" s="1"/>
  <c r="AT85" i="30"/>
  <c r="AW85" i="30" s="1"/>
  <c r="AH70" i="26"/>
  <c r="AK70" i="26" s="1"/>
  <c r="AT84" i="30"/>
  <c r="AW84" i="30"/>
  <c r="AX84" i="30" s="1"/>
  <c r="BA84" i="30" s="1"/>
  <c r="BB84" i="30" s="1"/>
  <c r="BE84" i="30" s="1"/>
  <c r="BF84" i="30" s="1"/>
  <c r="BI84" i="30" s="1"/>
  <c r="BJ84" i="30" s="1"/>
  <c r="I11" i="30"/>
  <c r="E11" i="26" s="1"/>
  <c r="Q11" i="26" s="1"/>
  <c r="R11" i="26" s="1"/>
  <c r="M11" i="30"/>
  <c r="N11" i="30"/>
  <c r="L47" i="30"/>
  <c r="AT76" i="26"/>
  <c r="AW76" i="26" s="1"/>
  <c r="R78" i="26"/>
  <c r="U78" i="26" s="1"/>
  <c r="V78" i="26" s="1"/>
  <c r="Y78" i="26" s="1"/>
  <c r="Z78" i="26" s="1"/>
  <c r="AC78" i="26" s="1"/>
  <c r="AD78" i="26" s="1"/>
  <c r="AG78" i="26" s="1"/>
  <c r="AH22" i="26"/>
  <c r="AK22" i="26" s="1"/>
  <c r="Z17" i="26"/>
  <c r="AC17" i="26" s="1"/>
  <c r="BB73" i="30"/>
  <c r="BE73" i="30" s="1"/>
  <c r="BB7" i="26"/>
  <c r="BE7" i="26" s="1"/>
  <c r="AP42" i="26"/>
  <c r="AS42" i="26" s="1"/>
  <c r="AL91" i="30"/>
  <c r="AT69" i="26"/>
  <c r="AX52" i="26"/>
  <c r="BA52" i="26" s="1"/>
  <c r="AD45" i="26"/>
  <c r="AG45" i="26" s="1"/>
  <c r="AH45" i="26" s="1"/>
  <c r="AK45" i="26" s="1"/>
  <c r="AL45" i="26" s="1"/>
  <c r="AO45" i="26" s="1"/>
  <c r="AX57" i="30"/>
  <c r="BA57" i="30" s="1"/>
  <c r="R75" i="26"/>
  <c r="U75" i="26" s="1"/>
  <c r="AX20" i="26"/>
  <c r="AX66" i="26"/>
  <c r="R9" i="26"/>
  <c r="U43" i="26"/>
  <c r="AX50" i="26"/>
  <c r="BA50" i="26"/>
  <c r="AX3" i="26"/>
  <c r="BA3" i="26" s="1"/>
  <c r="AT77" i="26"/>
  <c r="AW77" i="26"/>
  <c r="AT38" i="26"/>
  <c r="AW38" i="26" s="1"/>
  <c r="BF58" i="26"/>
  <c r="BI58" i="26" s="1"/>
  <c r="BJ58" i="26" s="1"/>
  <c r="BB27" i="26"/>
  <c r="BE27" i="26" s="1"/>
  <c r="M4" i="30"/>
  <c r="I4" i="30"/>
  <c r="E4" i="26" s="1"/>
  <c r="Q4" i="26" s="1"/>
  <c r="R4" i="26" s="1"/>
  <c r="U4" i="26" s="1"/>
  <c r="N4" i="30"/>
  <c r="BB14" i="26"/>
  <c r="BE14" i="26" s="1"/>
  <c r="I23" i="30"/>
  <c r="E23" i="26" s="1"/>
  <c r="Q23" i="26" s="1"/>
  <c r="M23" i="30"/>
  <c r="N23" i="30"/>
  <c r="BF37" i="30"/>
  <c r="BI37" i="30" s="1"/>
  <c r="BJ37" i="30" s="1"/>
  <c r="R10" i="26"/>
  <c r="U10" i="26" s="1"/>
  <c r="V10" i="26" s="1"/>
  <c r="Y10" i="26" s="1"/>
  <c r="Z10" i="26" s="1"/>
  <c r="AC10" i="26" s="1"/>
  <c r="AD10" i="26" s="1"/>
  <c r="AG10" i="26" s="1"/>
  <c r="AT88" i="26"/>
  <c r="AW88" i="26" s="1"/>
  <c r="BE90" i="30"/>
  <c r="L54" i="30"/>
  <c r="M26" i="30"/>
  <c r="I26" i="30"/>
  <c r="E26" i="26" s="1"/>
  <c r="Q26" i="26" s="1"/>
  <c r="R26" i="26" s="1"/>
  <c r="U26" i="26" s="1"/>
  <c r="V26" i="26" s="1"/>
  <c r="Y26" i="26" s="1"/>
  <c r="Z26" i="26" s="1"/>
  <c r="AC26" i="26" s="1"/>
  <c r="AD26" i="26" s="1"/>
  <c r="AG26" i="26" s="1"/>
  <c r="N26" i="30"/>
  <c r="L35" i="30"/>
  <c r="AW30" i="26"/>
  <c r="BF80" i="30"/>
  <c r="M83" i="30"/>
  <c r="N83" i="30"/>
  <c r="I83" i="30"/>
  <c r="E83" i="26" s="1"/>
  <c r="Q83" i="26" s="1"/>
  <c r="R83" i="26" s="1"/>
  <c r="U83" i="26" s="1"/>
  <c r="V83" i="26" s="1"/>
  <c r="Y83" i="26" s="1"/>
  <c r="Z83" i="26" s="1"/>
  <c r="AC83" i="26" s="1"/>
  <c r="AD83" i="26" s="1"/>
  <c r="AG83" i="26" s="1"/>
  <c r="AH83" i="26" s="1"/>
  <c r="AK83" i="26" s="1"/>
  <c r="AL83" i="26" s="1"/>
  <c r="AO83" i="26" s="1"/>
  <c r="AP83" i="26" s="1"/>
  <c r="AS83" i="26" s="1"/>
  <c r="V46" i="26"/>
  <c r="AX59" i="26"/>
  <c r="BA59" i="26"/>
  <c r="M89" i="30"/>
  <c r="N89" i="30"/>
  <c r="I89" i="30"/>
  <c r="E89" i="26" s="1"/>
  <c r="Q89" i="26" s="1"/>
  <c r="N13" i="30"/>
  <c r="M13" i="30"/>
  <c r="I13" i="30"/>
  <c r="E13" i="26" s="1"/>
  <c r="Q13" i="26" s="1"/>
  <c r="R13" i="26" s="1"/>
  <c r="BI47" i="30"/>
  <c r="BJ47" i="30" s="1"/>
  <c r="Z82" i="26"/>
  <c r="BA74" i="30"/>
  <c r="AO2" i="30"/>
  <c r="R25" i="26"/>
  <c r="AK63" i="26"/>
  <c r="AL63" i="26" s="1"/>
  <c r="AO63" i="26" s="1"/>
  <c r="AP63" i="26" s="1"/>
  <c r="AS63" i="26" s="1"/>
  <c r="Y62" i="26"/>
  <c r="Z62" i="26" s="1"/>
  <c r="AC62" i="26" s="1"/>
  <c r="AD62" i="26" s="1"/>
  <c r="AG62" i="26" s="1"/>
  <c r="AH62" i="26" s="1"/>
  <c r="AK62" i="26" s="1"/>
  <c r="AS87" i="30"/>
  <c r="AT87" i="30" s="1"/>
  <c r="AW87" i="30" s="1"/>
  <c r="AX87" i="30" s="1"/>
  <c r="BA87" i="30" s="1"/>
  <c r="BB87" i="30" s="1"/>
  <c r="BE87" i="30" s="1"/>
  <c r="BF87" i="30" s="1"/>
  <c r="BI87" i="30" s="1"/>
  <c r="BJ87" i="30" s="1"/>
  <c r="R15" i="26"/>
  <c r="U15" i="26" s="1"/>
  <c r="V15" i="26" s="1"/>
  <c r="Y15" i="26" s="1"/>
  <c r="Z15" i="26" s="1"/>
  <c r="AC15" i="26" s="1"/>
  <c r="AD15" i="26" s="1"/>
  <c r="AG15" i="26" s="1"/>
  <c r="BA21" i="30"/>
  <c r="R60" i="26"/>
  <c r="U60" i="26"/>
  <c r="R81" i="26"/>
  <c r="U81" i="26" s="1"/>
  <c r="V81" i="26" s="1"/>
  <c r="Y81" i="26" s="1"/>
  <c r="Z81" i="26" s="1"/>
  <c r="AC81" i="26" s="1"/>
  <c r="AD81" i="26" s="1"/>
  <c r="AG81" i="26" s="1"/>
  <c r="AH81" i="26" s="1"/>
  <c r="AK81" i="26" s="1"/>
  <c r="AL81" i="26" s="1"/>
  <c r="AO81" i="26" s="1"/>
  <c r="AP81" i="26" s="1"/>
  <c r="AS81" i="26" s="1"/>
  <c r="N19" i="22"/>
  <c r="BC88" i="22"/>
  <c r="BF88" i="22" s="1"/>
  <c r="BC90" i="22"/>
  <c r="BF90" i="22" s="1"/>
  <c r="BC51" i="22"/>
  <c r="BF51" i="22" s="1"/>
  <c r="BK5" i="22"/>
  <c r="M5" i="22" s="1"/>
  <c r="J5" i="22" s="1"/>
  <c r="BC4" i="22"/>
  <c r="BF4" i="22" s="1"/>
  <c r="BG4" i="22" s="1"/>
  <c r="AU2" i="22"/>
  <c r="AX2" i="22" s="1"/>
  <c r="AY84" i="22"/>
  <c r="BB84" i="22" s="1"/>
  <c r="BK82" i="22"/>
  <c r="M82" i="22" s="1"/>
  <c r="J82" i="22" s="1"/>
  <c r="AU68" i="22"/>
  <c r="AX68" i="22" s="1"/>
  <c r="BC64" i="22"/>
  <c r="BF64" i="22" s="1"/>
  <c r="BJ60" i="22"/>
  <c r="BK60" i="22" s="1"/>
  <c r="M60" i="22" s="1"/>
  <c r="J60" i="22" s="1"/>
  <c r="BG53" i="22"/>
  <c r="BJ53" i="22" s="1"/>
  <c r="BJ50" i="22"/>
  <c r="BK50" i="22" s="1"/>
  <c r="M50" i="22" s="1"/>
  <c r="J50" i="22" s="1"/>
  <c r="BG49" i="22"/>
  <c r="BJ49" i="22" s="1"/>
  <c r="AY48" i="22"/>
  <c r="BB48" i="22" s="1"/>
  <c r="BF46" i="22"/>
  <c r="BG43" i="22"/>
  <c r="BJ43" i="22" s="1"/>
  <c r="AY42" i="22"/>
  <c r="BB42" i="22" s="1"/>
  <c r="AU38" i="22"/>
  <c r="AX38" i="22" s="1"/>
  <c r="BK32" i="22"/>
  <c r="M32" i="22" s="1"/>
  <c r="J32" i="22" s="1"/>
  <c r="BC27" i="22"/>
  <c r="BF27" i="22" s="1"/>
  <c r="O19" i="22"/>
  <c r="BJ18" i="22"/>
  <c r="BK18" i="22" s="1"/>
  <c r="M18" i="22" s="1"/>
  <c r="J18" i="22" s="1"/>
  <c r="BJ16" i="22"/>
  <c r="BK16" i="22" s="1"/>
  <c r="M16" i="22" s="1"/>
  <c r="J16" i="22" s="1"/>
  <c r="BG13" i="22"/>
  <c r="BJ13" i="22" s="1"/>
  <c r="BK13" i="22" s="1"/>
  <c r="M13" i="22" s="1"/>
  <c r="J13" i="22" s="1"/>
  <c r="AP92" i="22"/>
  <c r="N11" i="22"/>
  <c r="O11" i="22"/>
  <c r="BG56" i="22"/>
  <c r="BC10" i="22"/>
  <c r="BF10" i="22" s="1"/>
  <c r="AY57" i="22"/>
  <c r="BB57" i="22" s="1"/>
  <c r="AU69" i="22"/>
  <c r="AX69" i="22" s="1"/>
  <c r="AY73" i="22"/>
  <c r="BB73" i="22" s="1"/>
  <c r="AY9" i="22"/>
  <c r="BB9" i="22" s="1"/>
  <c r="BG67" i="22"/>
  <c r="BJ67" i="22" s="1"/>
  <c r="BC66" i="22"/>
  <c r="BF66" i="22" s="1"/>
  <c r="AU89" i="22"/>
  <c r="AX89" i="22" s="1"/>
  <c r="BC28" i="22"/>
  <c r="BF28" i="22" s="1"/>
  <c r="AU80" i="22"/>
  <c r="AX80" i="22" s="1"/>
  <c r="BG55" i="22"/>
  <c r="AY12" i="22"/>
  <c r="BB12" i="22" s="1"/>
  <c r="BC33" i="22"/>
  <c r="BF33" i="22" s="1"/>
  <c r="AY87" i="22"/>
  <c r="BB87" i="22" s="1"/>
  <c r="BC59" i="22"/>
  <c r="BF59" i="22" s="1"/>
  <c r="AY77" i="22"/>
  <c r="BB77" i="22" s="1"/>
  <c r="AY63" i="22"/>
  <c r="BB63" i="22" s="1"/>
  <c r="BC44" i="22"/>
  <c r="BF44" i="22" s="1"/>
  <c r="AY81" i="22"/>
  <c r="BB81" i="22" s="1"/>
  <c r="BC47" i="22"/>
  <c r="BF47" i="22" s="1"/>
  <c r="AY22" i="22"/>
  <c r="BB22" i="22" s="1"/>
  <c r="AY61" i="22"/>
  <c r="BB61" i="22" s="1"/>
  <c r="BC21" i="22"/>
  <c r="BF21" i="22" s="1"/>
  <c r="N37" i="22"/>
  <c r="O37" i="22"/>
  <c r="AQ78" i="22"/>
  <c r="AT78" i="22" s="1"/>
  <c r="BG45" i="22"/>
  <c r="BK23" i="22"/>
  <c r="M23" i="22" s="1"/>
  <c r="J23" i="22" s="1"/>
  <c r="AY76" i="22"/>
  <c r="BB76" i="22" s="1"/>
  <c r="BC24" i="22"/>
  <c r="BF24" i="22" s="1"/>
  <c r="BG29" i="22"/>
  <c r="AY14" i="22"/>
  <c r="BB14" i="22" s="1"/>
  <c r="BC3" i="22"/>
  <c r="BF3" i="22" s="1"/>
  <c r="BC41" i="22"/>
  <c r="BF41" i="22" s="1"/>
  <c r="AY75" i="22"/>
  <c r="BB75" i="22" s="1"/>
  <c r="AU86" i="22"/>
  <c r="AX86" i="22" s="1"/>
  <c r="AQ70" i="22"/>
  <c r="AT70" i="22" s="1"/>
  <c r="AU40" i="22"/>
  <c r="AX40" i="22" s="1"/>
  <c r="BC35" i="22"/>
  <c r="BF35" i="22" s="1"/>
  <c r="BG83" i="22"/>
  <c r="BJ83" i="22" s="1"/>
  <c r="AY85" i="22"/>
  <c r="BB85" i="22" s="1"/>
  <c r="BG74" i="22"/>
  <c r="BC20" i="22"/>
  <c r="BF20" i="22" s="1"/>
  <c r="BC17" i="22"/>
  <c r="BF17" i="22" s="1"/>
  <c r="BC72" i="22"/>
  <c r="BF72" i="22" s="1"/>
  <c r="BC36" i="22"/>
  <c r="BF36" i="22" s="1"/>
  <c r="AY31" i="22"/>
  <c r="BB31" i="22" s="1"/>
  <c r="BG8" i="22"/>
  <c r="BJ8" i="22" s="1"/>
  <c r="AU39" i="22"/>
  <c r="AX39" i="22" s="1"/>
  <c r="AU62" i="22"/>
  <c r="AX62" i="22" s="1"/>
  <c r="BC58" i="22"/>
  <c r="BF58" i="22" s="1"/>
  <c r="BC34" i="22"/>
  <c r="BF34" i="22" s="1"/>
  <c r="BC26" i="22"/>
  <c r="BF26" i="22" s="1"/>
  <c r="AU25" i="22"/>
  <c r="AX25" i="22" s="1"/>
  <c r="L37" i="30" l="1"/>
  <c r="M37" i="30" s="1"/>
  <c r="U8" i="26"/>
  <c r="V8" i="26" s="1"/>
  <c r="Y8" i="26" s="1"/>
  <c r="Z8" i="26" s="1"/>
  <c r="AC8" i="26" s="1"/>
  <c r="AD8" i="26" s="1"/>
  <c r="AG8" i="26" s="1"/>
  <c r="BB34" i="26"/>
  <c r="BE34" i="26"/>
  <c r="BF36" i="26"/>
  <c r="BI36" i="26"/>
  <c r="BJ36" i="26" s="1"/>
  <c r="L36" i="26" s="1"/>
  <c r="AX29" i="26"/>
  <c r="BA29" i="26"/>
  <c r="BB57" i="30"/>
  <c r="BE57" i="30"/>
  <c r="BB52" i="26"/>
  <c r="BE52" i="26" s="1"/>
  <c r="BF7" i="26"/>
  <c r="BI7" i="26"/>
  <c r="BJ7" i="26" s="1"/>
  <c r="L7" i="26" s="1"/>
  <c r="AD17" i="26"/>
  <c r="AG17" i="26"/>
  <c r="AH17" i="26" s="1"/>
  <c r="AK17" i="26" s="1"/>
  <c r="AL17" i="26" s="1"/>
  <c r="AO17" i="26" s="1"/>
  <c r="AP17" i="26" s="1"/>
  <c r="AS17" i="26" s="1"/>
  <c r="AL71" i="26"/>
  <c r="AO71" i="26" s="1"/>
  <c r="AP71" i="26" s="1"/>
  <c r="AS71" i="26" s="1"/>
  <c r="N41" i="26"/>
  <c r="M41" i="26"/>
  <c r="I41" i="26"/>
  <c r="E41" i="32" s="1"/>
  <c r="Q41" i="32" s="1"/>
  <c r="R41" i="32" s="1"/>
  <c r="BF14" i="26"/>
  <c r="BI14" i="26" s="1"/>
  <c r="BJ14" i="26" s="1"/>
  <c r="L14" i="26" s="1"/>
  <c r="V75" i="26"/>
  <c r="Y75" i="26" s="1"/>
  <c r="AP45" i="26"/>
  <c r="AS45" i="26" s="1"/>
  <c r="AT42" i="26"/>
  <c r="AW42" i="26" s="1"/>
  <c r="BF73" i="30"/>
  <c r="BI73" i="30" s="1"/>
  <c r="BJ73" i="30" s="1"/>
  <c r="L73" i="30" s="1"/>
  <c r="AT65" i="26"/>
  <c r="AW65" i="26" s="1"/>
  <c r="BF64" i="26"/>
  <c r="BI64" i="26" s="1"/>
  <c r="BJ64" i="26" s="1"/>
  <c r="L64" i="26" s="1"/>
  <c r="AT51" i="26"/>
  <c r="AW51" i="26" s="1"/>
  <c r="AX44" i="26"/>
  <c r="BA44" i="26" s="1"/>
  <c r="AT81" i="26"/>
  <c r="AW81" i="26" s="1"/>
  <c r="V60" i="26"/>
  <c r="Y60" i="26" s="1"/>
  <c r="Z60" i="26" s="1"/>
  <c r="AC60" i="26" s="1"/>
  <c r="AD60" i="26" s="1"/>
  <c r="AG60" i="26" s="1"/>
  <c r="AH60" i="26" s="1"/>
  <c r="AK60" i="26" s="1"/>
  <c r="AL60" i="26" s="1"/>
  <c r="AO60" i="26" s="1"/>
  <c r="AP60" i="26" s="1"/>
  <c r="AS60" i="26" s="1"/>
  <c r="BB21" i="30"/>
  <c r="BE21" i="30"/>
  <c r="AH15" i="26"/>
  <c r="AK15" i="26" s="1"/>
  <c r="AT63" i="26"/>
  <c r="AW63" i="26" s="1"/>
  <c r="R89" i="26"/>
  <c r="U89" i="26"/>
  <c r="BB59" i="26"/>
  <c r="BE59" i="26"/>
  <c r="N35" i="30"/>
  <c r="M35" i="30"/>
  <c r="I35" i="30"/>
  <c r="E35" i="26" s="1"/>
  <c r="Q35" i="26" s="1"/>
  <c r="R35" i="26" s="1"/>
  <c r="AH26" i="26"/>
  <c r="AK26" i="26" s="1"/>
  <c r="M54" i="30"/>
  <c r="I54" i="30"/>
  <c r="E54" i="26" s="1"/>
  <c r="Q54" i="26" s="1"/>
  <c r="R54" i="26" s="1"/>
  <c r="U54" i="26" s="1"/>
  <c r="N54" i="30"/>
  <c r="AX88" i="26"/>
  <c r="BA88" i="26" s="1"/>
  <c r="AH10" i="26"/>
  <c r="AK10" i="26" s="1"/>
  <c r="R23" i="26"/>
  <c r="U23" i="26"/>
  <c r="V23" i="26" s="1"/>
  <c r="Y23" i="26" s="1"/>
  <c r="Z23" i="26" s="1"/>
  <c r="AC23" i="26" s="1"/>
  <c r="AD23" i="26" s="1"/>
  <c r="AG23" i="26" s="1"/>
  <c r="AH23" i="26" s="1"/>
  <c r="AK23" i="26" s="1"/>
  <c r="V4" i="26"/>
  <c r="Y4" i="26" s="1"/>
  <c r="Z4" i="26" s="1"/>
  <c r="AC4" i="26" s="1"/>
  <c r="AD4" i="26" s="1"/>
  <c r="AG4" i="26" s="1"/>
  <c r="BF27" i="26"/>
  <c r="BI27" i="26" s="1"/>
  <c r="BJ27" i="26" s="1"/>
  <c r="L27" i="26" s="1"/>
  <c r="AX38" i="26"/>
  <c r="BA38" i="26"/>
  <c r="AX77" i="26"/>
  <c r="BA77" i="26" s="1"/>
  <c r="BB3" i="26"/>
  <c r="BE3" i="26" s="1"/>
  <c r="BB50" i="26"/>
  <c r="BE50" i="26"/>
  <c r="AL22" i="26"/>
  <c r="AH78" i="26"/>
  <c r="AK78" i="26" s="1"/>
  <c r="AX76" i="26"/>
  <c r="BA76" i="26" s="1"/>
  <c r="N47" i="30"/>
  <c r="M47" i="30"/>
  <c r="I47" i="30"/>
  <c r="E47" i="26" s="1"/>
  <c r="Q47" i="26" s="1"/>
  <c r="AL70" i="26"/>
  <c r="AO70" i="26" s="1"/>
  <c r="AP70" i="26" s="1"/>
  <c r="AS70" i="26" s="1"/>
  <c r="AX85" i="30"/>
  <c r="BA85" i="30"/>
  <c r="AX67" i="26"/>
  <c r="BA67" i="26" s="1"/>
  <c r="AT19" i="26"/>
  <c r="AW19" i="26"/>
  <c r="AD16" i="26"/>
  <c r="AG16" i="26" s="1"/>
  <c r="AH16" i="26" s="1"/>
  <c r="AK16" i="26" s="1"/>
  <c r="AL16" i="26" s="1"/>
  <c r="AO16" i="26" s="1"/>
  <c r="AP16" i="26" s="1"/>
  <c r="AS16" i="26" s="1"/>
  <c r="AT72" i="26"/>
  <c r="AW72" i="26" s="1"/>
  <c r="AX68" i="26"/>
  <c r="BA68" i="26" s="1"/>
  <c r="BB39" i="26"/>
  <c r="BE39" i="26" s="1"/>
  <c r="AX79" i="26"/>
  <c r="BA79" i="26" s="1"/>
  <c r="BF86" i="26"/>
  <c r="BI86" i="26" s="1"/>
  <c r="BJ86" i="26" s="1"/>
  <c r="L86" i="26" s="1"/>
  <c r="AX5" i="26"/>
  <c r="BA5" i="26" s="1"/>
  <c r="BF31" i="26"/>
  <c r="BB40" i="26"/>
  <c r="BE40" i="26" s="1"/>
  <c r="AL32" i="26"/>
  <c r="AO32" i="26" s="1"/>
  <c r="AX28" i="26"/>
  <c r="BA28" i="26" s="1"/>
  <c r="U6" i="26"/>
  <c r="V6" i="26" s="1"/>
  <c r="Y6" i="26" s="1"/>
  <c r="AT49" i="26"/>
  <c r="AW49" i="26" s="1"/>
  <c r="AT55" i="26"/>
  <c r="AW55" i="26" s="1"/>
  <c r="Z61" i="26"/>
  <c r="AC61" i="26" s="1"/>
  <c r="AD61" i="26" s="1"/>
  <c r="AG61" i="26" s="1"/>
  <c r="AH61" i="26" s="1"/>
  <c r="AK61" i="26" s="1"/>
  <c r="AL61" i="26" s="1"/>
  <c r="AO61" i="26" s="1"/>
  <c r="AP61" i="26" s="1"/>
  <c r="AS61" i="26" s="1"/>
  <c r="AT24" i="26"/>
  <c r="AW24" i="26" s="1"/>
  <c r="AX53" i="26"/>
  <c r="BA53" i="26" s="1"/>
  <c r="AL62" i="26"/>
  <c r="AO62" i="26" s="1"/>
  <c r="AP62" i="26" s="1"/>
  <c r="AS62" i="26" s="1"/>
  <c r="U25" i="26"/>
  <c r="AP2" i="30"/>
  <c r="AS2" i="30" s="1"/>
  <c r="AO91" i="30"/>
  <c r="BB74" i="30"/>
  <c r="AC82" i="26"/>
  <c r="AD82" i="26" s="1"/>
  <c r="AG82" i="26" s="1"/>
  <c r="AH82" i="26" s="1"/>
  <c r="AK82" i="26" s="1"/>
  <c r="U13" i="26"/>
  <c r="V13" i="26" s="1"/>
  <c r="Y13" i="26" s="1"/>
  <c r="Y46" i="26"/>
  <c r="Z46" i="26" s="1"/>
  <c r="AC46" i="26" s="1"/>
  <c r="AD46" i="26" s="1"/>
  <c r="AG46" i="26" s="1"/>
  <c r="AH46" i="26" s="1"/>
  <c r="AK46" i="26" s="1"/>
  <c r="AL46" i="26" s="1"/>
  <c r="AO46" i="26" s="1"/>
  <c r="AT83" i="26"/>
  <c r="AW83" i="26" s="1"/>
  <c r="BI80" i="30"/>
  <c r="BJ80" i="30" s="1"/>
  <c r="L80" i="30" s="1"/>
  <c r="AX30" i="26"/>
  <c r="BA30" i="26" s="1"/>
  <c r="BF90" i="30"/>
  <c r="L58" i="26"/>
  <c r="V43" i="26"/>
  <c r="Y43" i="26" s="1"/>
  <c r="Z43" i="26" s="1"/>
  <c r="AC43" i="26" s="1"/>
  <c r="AD43" i="26" s="1"/>
  <c r="AG43" i="26" s="1"/>
  <c r="U9" i="26"/>
  <c r="L87" i="30"/>
  <c r="BA66" i="26"/>
  <c r="BA20" i="26"/>
  <c r="AW69" i="26"/>
  <c r="U11" i="26"/>
  <c r="V11" i="26" s="1"/>
  <c r="Y11" i="26" s="1"/>
  <c r="Z11" i="26" s="1"/>
  <c r="AC11" i="26" s="1"/>
  <c r="AD11" i="26" s="1"/>
  <c r="AG11" i="26" s="1"/>
  <c r="L84" i="30"/>
  <c r="Y12" i="26"/>
  <c r="Z12" i="26" s="1"/>
  <c r="AC12" i="26" s="1"/>
  <c r="AD12" i="26" s="1"/>
  <c r="AG12" i="26" s="1"/>
  <c r="AH12" i="26" s="1"/>
  <c r="AK12" i="26" s="1"/>
  <c r="AD18" i="26"/>
  <c r="U48" i="26"/>
  <c r="V48" i="26" s="1"/>
  <c r="Y48" i="26" s="1"/>
  <c r="Z48" i="26" s="1"/>
  <c r="AC48" i="26" s="1"/>
  <c r="U33" i="26"/>
  <c r="V33" i="26" s="1"/>
  <c r="Y33" i="26" s="1"/>
  <c r="Z33" i="26" s="1"/>
  <c r="AC33" i="26" s="1"/>
  <c r="AD33" i="26" s="1"/>
  <c r="AG33" i="26" s="1"/>
  <c r="AH33" i="26" s="1"/>
  <c r="AK33" i="26" s="1"/>
  <c r="AL33" i="26" s="1"/>
  <c r="AO33" i="26" s="1"/>
  <c r="AP33" i="26" s="1"/>
  <c r="AS33" i="26" s="1"/>
  <c r="U56" i="26"/>
  <c r="N5" i="22"/>
  <c r="BG88" i="22"/>
  <c r="BJ88" i="22" s="1"/>
  <c r="E11" i="18"/>
  <c r="R11" i="18" s="1"/>
  <c r="E82" i="18"/>
  <c r="R82" i="18" s="1"/>
  <c r="E19" i="18"/>
  <c r="R19" i="18" s="1"/>
  <c r="E37" i="18"/>
  <c r="R37" i="18" s="1"/>
  <c r="S37" i="18" s="1"/>
  <c r="V37" i="18" s="1"/>
  <c r="W37" i="18" s="1"/>
  <c r="Z37" i="18" s="1"/>
  <c r="BG51" i="22"/>
  <c r="BJ51" i="22" s="1"/>
  <c r="BK51" i="22" s="1"/>
  <c r="M51" i="22" s="1"/>
  <c r="J51" i="22" s="1"/>
  <c r="O5" i="22"/>
  <c r="BJ4" i="22"/>
  <c r="BK4" i="22" s="1"/>
  <c r="M4" i="22" s="1"/>
  <c r="J4" i="22" s="1"/>
  <c r="AY2" i="22"/>
  <c r="BB2" i="22" s="1"/>
  <c r="BK8" i="22"/>
  <c r="M8" i="22" s="1"/>
  <c r="J8" i="22" s="1"/>
  <c r="BC84" i="22"/>
  <c r="BF84" i="22" s="1"/>
  <c r="BK83" i="22"/>
  <c r="M83" i="22" s="1"/>
  <c r="J83" i="22" s="1"/>
  <c r="O82" i="22"/>
  <c r="N82" i="22"/>
  <c r="BJ74" i="22"/>
  <c r="BK74" i="22" s="1"/>
  <c r="M74" i="22" s="1"/>
  <c r="J74" i="22" s="1"/>
  <c r="AY68" i="22"/>
  <c r="BB68" i="22" s="1"/>
  <c r="BK67" i="22"/>
  <c r="M67" i="22" s="1"/>
  <c r="J67" i="22" s="1"/>
  <c r="BG64" i="22"/>
  <c r="BJ64" i="22" s="1"/>
  <c r="BK64" i="22" s="1"/>
  <c r="M64" i="22" s="1"/>
  <c r="J64" i="22" s="1"/>
  <c r="BJ56" i="22"/>
  <c r="BK56" i="22" s="1"/>
  <c r="M56" i="22" s="1"/>
  <c r="J56" i="22" s="1"/>
  <c r="BJ55" i="22"/>
  <c r="BK55" i="22" s="1"/>
  <c r="M55" i="22" s="1"/>
  <c r="J55" i="22" s="1"/>
  <c r="BK53" i="22"/>
  <c r="M53" i="22" s="1"/>
  <c r="J53" i="22" s="1"/>
  <c r="BK49" i="22"/>
  <c r="M49" i="22" s="1"/>
  <c r="J49" i="22" s="1"/>
  <c r="BC48" i="22"/>
  <c r="BF48" i="22" s="1"/>
  <c r="BG46" i="22"/>
  <c r="BJ46" i="22" s="1"/>
  <c r="BJ45" i="22"/>
  <c r="BK45" i="22" s="1"/>
  <c r="M45" i="22" s="1"/>
  <c r="J45" i="22" s="1"/>
  <c r="BK43" i="22"/>
  <c r="M43" i="22" s="1"/>
  <c r="J43" i="22" s="1"/>
  <c r="BC42" i="22"/>
  <c r="AY38" i="22"/>
  <c r="BB38" i="22" s="1"/>
  <c r="BJ29" i="22"/>
  <c r="BK29" i="22" s="1"/>
  <c r="M29" i="22" s="1"/>
  <c r="J29" i="22" s="1"/>
  <c r="BG27" i="22"/>
  <c r="BJ27" i="22" s="1"/>
  <c r="BK27" i="22" s="1"/>
  <c r="M27" i="22" s="1"/>
  <c r="J27" i="22" s="1"/>
  <c r="O16" i="22"/>
  <c r="N16" i="22"/>
  <c r="AY89" i="22"/>
  <c r="BB89" i="22" s="1"/>
  <c r="BG41" i="22"/>
  <c r="BG47" i="22"/>
  <c r="BG58" i="22"/>
  <c r="BJ58" i="22" s="1"/>
  <c r="BC14" i="22"/>
  <c r="BF14" i="22" s="1"/>
  <c r="AY62" i="22"/>
  <c r="BB62" i="22" s="1"/>
  <c r="N13" i="22"/>
  <c r="O13" i="22"/>
  <c r="BG21" i="22"/>
  <c r="BJ21" i="22" s="1"/>
  <c r="O23" i="22"/>
  <c r="N23" i="22"/>
  <c r="BC77" i="22"/>
  <c r="BF77" i="22" s="1"/>
  <c r="BG30" i="22"/>
  <c r="BC85" i="22"/>
  <c r="BF85" i="22" s="1"/>
  <c r="BC81" i="22"/>
  <c r="BF81" i="22" s="1"/>
  <c r="BG33" i="22"/>
  <c r="BJ33" i="22" s="1"/>
  <c r="BG28" i="22"/>
  <c r="BC73" i="22"/>
  <c r="BF73" i="22" s="1"/>
  <c r="BG79" i="22"/>
  <c r="BC31" i="22"/>
  <c r="BF31" i="22" s="1"/>
  <c r="BC76" i="22"/>
  <c r="BF76" i="22" s="1"/>
  <c r="BC12" i="22"/>
  <c r="BF12" i="22" s="1"/>
  <c r="BC9" i="22"/>
  <c r="BF9" i="22" s="1"/>
  <c r="AY69" i="22"/>
  <c r="BB69" i="22" s="1"/>
  <c r="AY39" i="22"/>
  <c r="BB39" i="22" s="1"/>
  <c r="BG52" i="22"/>
  <c r="AY86" i="22"/>
  <c r="BB86" i="22" s="1"/>
  <c r="AY6" i="22"/>
  <c r="BB6" i="22" s="1"/>
  <c r="BG10" i="22"/>
  <c r="BG34" i="22"/>
  <c r="BG72" i="22"/>
  <c r="BG20" i="22"/>
  <c r="BC61" i="22"/>
  <c r="BF61" i="22" s="1"/>
  <c r="AQ92" i="22"/>
  <c r="BC71" i="22"/>
  <c r="BF71" i="22" s="1"/>
  <c r="BG17" i="22"/>
  <c r="BG35" i="22"/>
  <c r="N18" i="22"/>
  <c r="O18" i="22"/>
  <c r="BG3" i="22"/>
  <c r="BJ3" i="22" s="1"/>
  <c r="BG24" i="22"/>
  <c r="BC65" i="22"/>
  <c r="BF65" i="22" s="1"/>
  <c r="BG59" i="22"/>
  <c r="AY25" i="22"/>
  <c r="BB25" i="22" s="1"/>
  <c r="O50" i="22"/>
  <c r="N50" i="22"/>
  <c r="AY15" i="22"/>
  <c r="BB15" i="22" s="1"/>
  <c r="BC7" i="22"/>
  <c r="BF7" i="22" s="1"/>
  <c r="BG54" i="22"/>
  <c r="BJ54" i="22" s="1"/>
  <c r="BG90" i="22"/>
  <c r="BJ90" i="22" s="1"/>
  <c r="N60" i="22"/>
  <c r="O60" i="22"/>
  <c r="AY40" i="22"/>
  <c r="BB40" i="22" s="1"/>
  <c r="N32" i="22"/>
  <c r="O32" i="22"/>
  <c r="BC57" i="22"/>
  <c r="BF57" i="22" s="1"/>
  <c r="BG26" i="22"/>
  <c r="BJ26" i="22" s="1"/>
  <c r="N37" i="30" l="1"/>
  <c r="I37" i="30"/>
  <c r="E37" i="26" s="1"/>
  <c r="Q37" i="26" s="1"/>
  <c r="BB29" i="26"/>
  <c r="BE29" i="26"/>
  <c r="BF34" i="26"/>
  <c r="BI34" i="26"/>
  <c r="BJ34" i="26" s="1"/>
  <c r="L34" i="26" s="1"/>
  <c r="M36" i="26"/>
  <c r="N36" i="26"/>
  <c r="I36" i="26"/>
  <c r="E36" i="32" s="1"/>
  <c r="Q36" i="32" s="1"/>
  <c r="R36" i="32" s="1"/>
  <c r="U36" i="32" s="1"/>
  <c r="V36" i="32" s="1"/>
  <c r="Y36" i="32" s="1"/>
  <c r="Z36" i="32" s="1"/>
  <c r="AC36" i="32" s="1"/>
  <c r="AD36" i="32" s="1"/>
  <c r="AG36" i="32" s="1"/>
  <c r="AH36" i="32" s="1"/>
  <c r="AK36" i="32" s="1"/>
  <c r="AL36" i="32" s="1"/>
  <c r="AO36" i="32" s="1"/>
  <c r="AP36" i="32" s="1"/>
  <c r="AS36" i="32" s="1"/>
  <c r="AT36" i="32" s="1"/>
  <c r="AW36" i="32" s="1"/>
  <c r="AX36" i="32" s="1"/>
  <c r="BA36" i="32" s="1"/>
  <c r="BB36" i="32" s="1"/>
  <c r="BE36" i="32" s="1"/>
  <c r="BF36" i="32" s="1"/>
  <c r="BI36" i="32" s="1"/>
  <c r="BJ36" i="32" s="1"/>
  <c r="L36" i="32" s="1"/>
  <c r="AH8" i="26"/>
  <c r="AK8" i="26" s="1"/>
  <c r="AL8" i="26" s="1"/>
  <c r="AO8" i="26" s="1"/>
  <c r="I80" i="30"/>
  <c r="E80" i="26" s="1"/>
  <c r="Q80" i="26" s="1"/>
  <c r="R80" i="26" s="1"/>
  <c r="U80" i="26" s="1"/>
  <c r="V80" i="26" s="1"/>
  <c r="Y80" i="26" s="1"/>
  <c r="Z80" i="26" s="1"/>
  <c r="AC80" i="26" s="1"/>
  <c r="AD80" i="26" s="1"/>
  <c r="AG80" i="26" s="1"/>
  <c r="AH80" i="26" s="1"/>
  <c r="AK80" i="26" s="1"/>
  <c r="M80" i="30"/>
  <c r="N80" i="30"/>
  <c r="BB53" i="26"/>
  <c r="BE53" i="26" s="1"/>
  <c r="AT61" i="26"/>
  <c r="AW61" i="26" s="1"/>
  <c r="AX49" i="26"/>
  <c r="BA49" i="26" s="1"/>
  <c r="BB28" i="26"/>
  <c r="BE28" i="26" s="1"/>
  <c r="BF40" i="26"/>
  <c r="BI40" i="26" s="1"/>
  <c r="BJ40" i="26" s="1"/>
  <c r="L40" i="26" s="1"/>
  <c r="BB5" i="26"/>
  <c r="BE5" i="26" s="1"/>
  <c r="BB79" i="26"/>
  <c r="BE79" i="26" s="1"/>
  <c r="AL78" i="26"/>
  <c r="AO78" i="26" s="1"/>
  <c r="AP78" i="26" s="1"/>
  <c r="AS78" i="26" s="1"/>
  <c r="AX81" i="26"/>
  <c r="AX51" i="26"/>
  <c r="BA51" i="26" s="1"/>
  <c r="AX65" i="26"/>
  <c r="BA65" i="26" s="1"/>
  <c r="AX42" i="26"/>
  <c r="BA42" i="26" s="1"/>
  <c r="Z75" i="26"/>
  <c r="AC75" i="26" s="1"/>
  <c r="AD75" i="26" s="1"/>
  <c r="AG75" i="26" s="1"/>
  <c r="AH75" i="26" s="1"/>
  <c r="AK75" i="26" s="1"/>
  <c r="AL75" i="26" s="1"/>
  <c r="AO75" i="26" s="1"/>
  <c r="AX83" i="26"/>
  <c r="BA83" i="26" s="1"/>
  <c r="AX24" i="26"/>
  <c r="BA24" i="26" s="1"/>
  <c r="AX55" i="26"/>
  <c r="BA55" i="26" s="1"/>
  <c r="AP32" i="26"/>
  <c r="AS32" i="26" s="1"/>
  <c r="M86" i="26"/>
  <c r="I86" i="26"/>
  <c r="E86" i="32" s="1"/>
  <c r="Q86" i="32" s="1"/>
  <c r="N86" i="26"/>
  <c r="BF39" i="26"/>
  <c r="BI39" i="26" s="1"/>
  <c r="BJ39" i="26" s="1"/>
  <c r="L39" i="26" s="1"/>
  <c r="BB76" i="26"/>
  <c r="BE76" i="26" s="1"/>
  <c r="AL26" i="26"/>
  <c r="AO26" i="26" s="1"/>
  <c r="BB44" i="26"/>
  <c r="BE44" i="26" s="1"/>
  <c r="M64" i="26"/>
  <c r="I64" i="26"/>
  <c r="E64" i="32" s="1"/>
  <c r="Q64" i="32" s="1"/>
  <c r="R64" i="32" s="1"/>
  <c r="N64" i="26"/>
  <c r="M73" i="30"/>
  <c r="N73" i="30"/>
  <c r="I73" i="30"/>
  <c r="E73" i="26" s="1"/>
  <c r="Q73" i="26" s="1"/>
  <c r="AT45" i="26"/>
  <c r="AW45" i="26" s="1"/>
  <c r="I14" i="26"/>
  <c r="E14" i="32" s="1"/>
  <c r="Q14" i="32" s="1"/>
  <c r="M14" i="26"/>
  <c r="N14" i="26"/>
  <c r="V56" i="26"/>
  <c r="AT33" i="26"/>
  <c r="AW33" i="26" s="1"/>
  <c r="AD48" i="26"/>
  <c r="AG48" i="26" s="1"/>
  <c r="M84" i="30"/>
  <c r="N84" i="30"/>
  <c r="I84" i="30"/>
  <c r="E84" i="26" s="1"/>
  <c r="Q84" i="26" s="1"/>
  <c r="R84" i="26" s="1"/>
  <c r="AH11" i="26"/>
  <c r="AK11" i="26" s="1"/>
  <c r="BB20" i="26"/>
  <c r="M87" i="30"/>
  <c r="N87" i="30"/>
  <c r="I87" i="30"/>
  <c r="E87" i="26" s="1"/>
  <c r="Q87" i="26" s="1"/>
  <c r="AH43" i="26"/>
  <c r="AK43" i="26"/>
  <c r="BB30" i="26"/>
  <c r="BE30" i="26" s="1"/>
  <c r="AL82" i="26"/>
  <c r="AO82" i="26" s="1"/>
  <c r="AP82" i="26" s="1"/>
  <c r="V25" i="26"/>
  <c r="AT62" i="26"/>
  <c r="AW62" i="26" s="1"/>
  <c r="Z6" i="26"/>
  <c r="AC6" i="26"/>
  <c r="BB68" i="26"/>
  <c r="BE68" i="26" s="1"/>
  <c r="AX72" i="26"/>
  <c r="BA72" i="26" s="1"/>
  <c r="AT16" i="26"/>
  <c r="AW16" i="26" s="1"/>
  <c r="AX19" i="26"/>
  <c r="BB67" i="26"/>
  <c r="BE67" i="26" s="1"/>
  <c r="BB85" i="30"/>
  <c r="BE85" i="30" s="1"/>
  <c r="AT70" i="26"/>
  <c r="AW70" i="26" s="1"/>
  <c r="R47" i="26"/>
  <c r="BF50" i="26"/>
  <c r="BI50" i="26"/>
  <c r="BJ50" i="26" s="1"/>
  <c r="L50" i="26" s="1"/>
  <c r="BF3" i="26"/>
  <c r="BI3" i="26" s="1"/>
  <c r="BJ3" i="26" s="1"/>
  <c r="BB77" i="26"/>
  <c r="BE77" i="26" s="1"/>
  <c r="BB38" i="26"/>
  <c r="BE38" i="26" s="1"/>
  <c r="N27" i="26"/>
  <c r="I27" i="26"/>
  <c r="E27" i="32" s="1"/>
  <c r="Q27" i="32" s="1"/>
  <c r="R27" i="32" s="1"/>
  <c r="M27" i="26"/>
  <c r="AH4" i="26"/>
  <c r="AK4" i="26" s="1"/>
  <c r="AL4" i="26" s="1"/>
  <c r="AO4" i="26" s="1"/>
  <c r="AP4" i="26" s="1"/>
  <c r="AS4" i="26" s="1"/>
  <c r="AL23" i="26"/>
  <c r="AO23" i="26" s="1"/>
  <c r="AP23" i="26" s="1"/>
  <c r="AS23" i="26" s="1"/>
  <c r="AL10" i="26"/>
  <c r="AO10" i="26" s="1"/>
  <c r="AP10" i="26" s="1"/>
  <c r="AS10" i="26" s="1"/>
  <c r="BB88" i="26"/>
  <c r="BE88" i="26" s="1"/>
  <c r="BF59" i="26"/>
  <c r="V89" i="26"/>
  <c r="Y89" i="26" s="1"/>
  <c r="AX63" i="26"/>
  <c r="BA63" i="26" s="1"/>
  <c r="AL15" i="26"/>
  <c r="AO15" i="26" s="1"/>
  <c r="AP15" i="26" s="1"/>
  <c r="AS15" i="26" s="1"/>
  <c r="BF21" i="30"/>
  <c r="BI21" i="30" s="1"/>
  <c r="BJ21" i="30" s="1"/>
  <c r="L21" i="30" s="1"/>
  <c r="AT60" i="26"/>
  <c r="AW60" i="26" s="1"/>
  <c r="AT71" i="26"/>
  <c r="AW71" i="26"/>
  <c r="AT17" i="26"/>
  <c r="AW17" i="26"/>
  <c r="I7" i="26"/>
  <c r="E7" i="32" s="1"/>
  <c r="Q7" i="32" s="1"/>
  <c r="N7" i="26"/>
  <c r="M7" i="26"/>
  <c r="BF52" i="26"/>
  <c r="BI52" i="26" s="1"/>
  <c r="BJ52" i="26" s="1"/>
  <c r="L52" i="26" s="1"/>
  <c r="BF57" i="30"/>
  <c r="AG18" i="26"/>
  <c r="AH18" i="26" s="1"/>
  <c r="AK18" i="26" s="1"/>
  <c r="AL18" i="26" s="1"/>
  <c r="AO18" i="26" s="1"/>
  <c r="AP18" i="26" s="1"/>
  <c r="AS18" i="26" s="1"/>
  <c r="AL12" i="26"/>
  <c r="AO12" i="26"/>
  <c r="AP12" i="26" s="1"/>
  <c r="AS12" i="26" s="1"/>
  <c r="AX69" i="26"/>
  <c r="BB66" i="26"/>
  <c r="V9" i="26"/>
  <c r="M58" i="26"/>
  <c r="N58" i="26"/>
  <c r="I58" i="26"/>
  <c r="E58" i="32" s="1"/>
  <c r="Q58" i="32" s="1"/>
  <c r="R58" i="32" s="1"/>
  <c r="U58" i="32" s="1"/>
  <c r="BI90" i="30"/>
  <c r="BJ90" i="30" s="1"/>
  <c r="L90" i="30" s="1"/>
  <c r="AP46" i="26"/>
  <c r="AS46" i="26" s="1"/>
  <c r="Z13" i="26"/>
  <c r="AC13" i="26" s="1"/>
  <c r="AD13" i="26" s="1"/>
  <c r="AG13" i="26" s="1"/>
  <c r="AH13" i="26" s="1"/>
  <c r="AK13" i="26" s="1"/>
  <c r="AL13" i="26" s="1"/>
  <c r="AO13" i="26" s="1"/>
  <c r="AP13" i="26" s="1"/>
  <c r="AS13" i="26" s="1"/>
  <c r="BE74" i="30"/>
  <c r="BF74" i="30" s="1"/>
  <c r="BI74" i="30" s="1"/>
  <c r="BJ74" i="30" s="1"/>
  <c r="AS91" i="30"/>
  <c r="AT2" i="30"/>
  <c r="AT91" i="30" s="1"/>
  <c r="AP91" i="30"/>
  <c r="BI31" i="26"/>
  <c r="BJ31" i="26" s="1"/>
  <c r="L31" i="26" s="1"/>
  <c r="AO22" i="26"/>
  <c r="AP22" i="26" s="1"/>
  <c r="AS22" i="26" s="1"/>
  <c r="V54" i="26"/>
  <c r="Y54" i="26" s="1"/>
  <c r="Z54" i="26" s="1"/>
  <c r="AC54" i="26" s="1"/>
  <c r="AD54" i="26" s="1"/>
  <c r="AG54" i="26" s="1"/>
  <c r="U35" i="26"/>
  <c r="R37" i="26"/>
  <c r="U37" i="26" s="1"/>
  <c r="V37" i="26" s="1"/>
  <c r="Y37" i="26" s="1"/>
  <c r="Z37" i="26" s="1"/>
  <c r="AC37" i="26" s="1"/>
  <c r="AD37" i="26" s="1"/>
  <c r="AG37" i="26" s="1"/>
  <c r="AH37" i="26" s="1"/>
  <c r="AK37" i="26" s="1"/>
  <c r="U41" i="32"/>
  <c r="V41" i="32" s="1"/>
  <c r="Y41" i="32" s="1"/>
  <c r="Z41" i="32" s="1"/>
  <c r="AC41" i="32" s="1"/>
  <c r="AD41" i="32" s="1"/>
  <c r="AG41" i="32" s="1"/>
  <c r="AH41" i="32" s="1"/>
  <c r="AK41" i="32" s="1"/>
  <c r="O56" i="22"/>
  <c r="N64" i="22"/>
  <c r="N67" i="22"/>
  <c r="O83" i="22"/>
  <c r="E29" i="18"/>
  <c r="R29" i="18" s="1"/>
  <c r="BK88" i="22"/>
  <c r="M88" i="22" s="1"/>
  <c r="J88" i="22" s="1"/>
  <c r="AA37" i="18"/>
  <c r="AD37" i="18" s="1"/>
  <c r="E50" i="18"/>
  <c r="R50" i="18" s="1"/>
  <c r="S50" i="18" s="1"/>
  <c r="V50" i="18" s="1"/>
  <c r="S11" i="18"/>
  <c r="V11" i="18" s="1"/>
  <c r="W11" i="18" s="1"/>
  <c r="Z11" i="18" s="1"/>
  <c r="E32" i="18"/>
  <c r="R32" i="18" s="1"/>
  <c r="S32" i="18" s="1"/>
  <c r="E23" i="18"/>
  <c r="R23" i="18" s="1"/>
  <c r="S23" i="18" s="1"/>
  <c r="E5" i="18"/>
  <c r="R5" i="18" s="1"/>
  <c r="S5" i="18" s="1"/>
  <c r="V5" i="18" s="1"/>
  <c r="W5" i="18" s="1"/>
  <c r="Z5" i="18" s="1"/>
  <c r="AA5" i="18" s="1"/>
  <c r="AD5" i="18" s="1"/>
  <c r="S19" i="18"/>
  <c r="V19" i="18" s="1"/>
  <c r="E60" i="18"/>
  <c r="R60" i="18" s="1"/>
  <c r="E18" i="18"/>
  <c r="R18" i="18" s="1"/>
  <c r="S18" i="18" s="1"/>
  <c r="V18" i="18" s="1"/>
  <c r="W18" i="18" s="1"/>
  <c r="Z18" i="18" s="1"/>
  <c r="E13" i="18"/>
  <c r="R13" i="18" s="1"/>
  <c r="S13" i="18" s="1"/>
  <c r="S82" i="18"/>
  <c r="V82" i="18" s="1"/>
  <c r="E16" i="18"/>
  <c r="R16" i="18" s="1"/>
  <c r="N51" i="22"/>
  <c r="O51" i="22"/>
  <c r="BJ34" i="22"/>
  <c r="BK34" i="22" s="1"/>
  <c r="M34" i="22" s="1"/>
  <c r="J34" i="22" s="1"/>
  <c r="BC2" i="22"/>
  <c r="BF2" i="22" s="1"/>
  <c r="BG84" i="22"/>
  <c r="BJ84" i="22" s="1"/>
  <c r="N83" i="22"/>
  <c r="BJ79" i="22"/>
  <c r="BK79" i="22" s="1"/>
  <c r="M79" i="22" s="1"/>
  <c r="J79" i="22" s="1"/>
  <c r="BJ72" i="22"/>
  <c r="BK72" i="22" s="1"/>
  <c r="M72" i="22" s="1"/>
  <c r="J72" i="22" s="1"/>
  <c r="BC68" i="22"/>
  <c r="BF68" i="22" s="1"/>
  <c r="O67" i="22"/>
  <c r="O64" i="22"/>
  <c r="BJ59" i="22"/>
  <c r="BK59" i="22" s="1"/>
  <c r="M59" i="22" s="1"/>
  <c r="J59" i="22" s="1"/>
  <c r="BK58" i="22"/>
  <c r="M58" i="22" s="1"/>
  <c r="J58" i="22" s="1"/>
  <c r="E55" i="18"/>
  <c r="N55" i="22"/>
  <c r="D58" i="15" s="1"/>
  <c r="O55" i="22"/>
  <c r="BJ52" i="22"/>
  <c r="BK52" i="22" s="1"/>
  <c r="M52" i="22" s="1"/>
  <c r="J52" i="22" s="1"/>
  <c r="N53" i="22"/>
  <c r="O53" i="22"/>
  <c r="O49" i="22"/>
  <c r="N49" i="22"/>
  <c r="BG48" i="22"/>
  <c r="BJ48" i="22" s="1"/>
  <c r="BJ47" i="22"/>
  <c r="BK47" i="22" s="1"/>
  <c r="M47" i="22" s="1"/>
  <c r="J47" i="22" s="1"/>
  <c r="BK46" i="22"/>
  <c r="M46" i="22" s="1"/>
  <c r="J46" i="22" s="1"/>
  <c r="O43" i="22"/>
  <c r="N43" i="22"/>
  <c r="BF42" i="22"/>
  <c r="BJ41" i="22"/>
  <c r="BK41" i="22" s="1"/>
  <c r="M41" i="22" s="1"/>
  <c r="J41" i="22" s="1"/>
  <c r="BC38" i="22"/>
  <c r="BF38" i="22" s="1"/>
  <c r="BJ35" i="22"/>
  <c r="BK35" i="22" s="1"/>
  <c r="M35" i="22" s="1"/>
  <c r="J35" i="22" s="1"/>
  <c r="BJ30" i="22"/>
  <c r="BK30" i="22" s="1"/>
  <c r="M30" i="22" s="1"/>
  <c r="J30" i="22" s="1"/>
  <c r="O27" i="22"/>
  <c r="N27" i="22"/>
  <c r="BJ28" i="22"/>
  <c r="BK28" i="22" s="1"/>
  <c r="M28" i="22" s="1"/>
  <c r="J28" i="22" s="1"/>
  <c r="BK26" i="22"/>
  <c r="M26" i="22" s="1"/>
  <c r="J26" i="22" s="1"/>
  <c r="BJ24" i="22"/>
  <c r="BK24" i="22" s="1"/>
  <c r="M24" i="22" s="1"/>
  <c r="J24" i="22" s="1"/>
  <c r="BK21" i="22"/>
  <c r="M21" i="22" s="1"/>
  <c r="J21" i="22" s="1"/>
  <c r="BJ20" i="22"/>
  <c r="BK20" i="22" s="1"/>
  <c r="M20" i="22" s="1"/>
  <c r="J20" i="22" s="1"/>
  <c r="BJ17" i="22"/>
  <c r="BK17" i="22" s="1"/>
  <c r="M17" i="22" s="1"/>
  <c r="J17" i="22" s="1"/>
  <c r="BJ10" i="22"/>
  <c r="BK10" i="22" s="1"/>
  <c r="M10" i="22" s="1"/>
  <c r="J10" i="22" s="1"/>
  <c r="BK3" i="22"/>
  <c r="M3" i="22" s="1"/>
  <c r="J3" i="22" s="1"/>
  <c r="N56" i="22"/>
  <c r="O29" i="22"/>
  <c r="N29" i="22"/>
  <c r="BG77" i="22"/>
  <c r="BC86" i="22"/>
  <c r="BF86" i="22" s="1"/>
  <c r="BG7" i="22"/>
  <c r="BJ7" i="22" s="1"/>
  <c r="AU78" i="22"/>
  <c r="AX78" i="22" s="1"/>
  <c r="BK33" i="22"/>
  <c r="M33" i="22" s="1"/>
  <c r="J33" i="22" s="1"/>
  <c r="BC89" i="22"/>
  <c r="BF89" i="22" s="1"/>
  <c r="BG36" i="22"/>
  <c r="BJ36" i="22" s="1"/>
  <c r="BG66" i="22"/>
  <c r="BJ66" i="22" s="1"/>
  <c r="BG81" i="22"/>
  <c r="BJ81" i="22" s="1"/>
  <c r="O8" i="22"/>
  <c r="N8" i="22"/>
  <c r="N74" i="22"/>
  <c r="O74" i="22"/>
  <c r="BG71" i="22"/>
  <c r="BJ71" i="22" s="1"/>
  <c r="BC87" i="22"/>
  <c r="BF87" i="22" s="1"/>
  <c r="BC40" i="22"/>
  <c r="BF40" i="22" s="1"/>
  <c r="BG61" i="22"/>
  <c r="BJ61" i="22" s="1"/>
  <c r="BG31" i="22"/>
  <c r="BC15" i="22"/>
  <c r="BF15" i="22" s="1"/>
  <c r="BC63" i="22"/>
  <c r="BF63" i="22" s="1"/>
  <c r="N4" i="22"/>
  <c r="O4" i="22"/>
  <c r="BG44" i="22"/>
  <c r="BG76" i="22"/>
  <c r="BJ76" i="22" s="1"/>
  <c r="BG73" i="22"/>
  <c r="BJ73" i="22" s="1"/>
  <c r="BK54" i="22"/>
  <c r="M54" i="22" s="1"/>
  <c r="J54" i="22" s="1"/>
  <c r="AY80" i="22"/>
  <c r="BB80" i="22" s="1"/>
  <c r="BG9" i="22"/>
  <c r="BJ9" i="22" s="1"/>
  <c r="BG14" i="22"/>
  <c r="BC25" i="22"/>
  <c r="BF25" i="22" s="1"/>
  <c r="BC22" i="22"/>
  <c r="BF22" i="22" s="1"/>
  <c r="N45" i="22"/>
  <c r="O45" i="22"/>
  <c r="AU70" i="22"/>
  <c r="AX70" i="22" s="1"/>
  <c r="AT92" i="22"/>
  <c r="BC75" i="22"/>
  <c r="BF75" i="22" s="1"/>
  <c r="BK90" i="22"/>
  <c r="M90" i="22" s="1"/>
  <c r="J90" i="22" s="1"/>
  <c r="BC39" i="22"/>
  <c r="BF39" i="22" s="1"/>
  <c r="BG85" i="22"/>
  <c r="BJ85" i="22" s="1"/>
  <c r="BG57" i="22"/>
  <c r="AP8" i="26" l="1"/>
  <c r="AS8" i="26" s="1"/>
  <c r="AW2" i="30"/>
  <c r="AW91" i="30" s="1"/>
  <c r="I36" i="32"/>
  <c r="M36" i="32"/>
  <c r="N36" i="32"/>
  <c r="I34" i="26"/>
  <c r="E34" i="32" s="1"/>
  <c r="Q34" i="32" s="1"/>
  <c r="R34" i="32" s="1"/>
  <c r="N34" i="26"/>
  <c r="M34" i="26"/>
  <c r="BF29" i="26"/>
  <c r="BI29" i="26" s="1"/>
  <c r="BJ29" i="26" s="1"/>
  <c r="L29" i="26" s="1"/>
  <c r="M31" i="26"/>
  <c r="N31" i="26"/>
  <c r="I31" i="26"/>
  <c r="E31" i="32" s="1"/>
  <c r="Q31" i="32" s="1"/>
  <c r="AT46" i="26"/>
  <c r="AW46" i="26" s="1"/>
  <c r="M52" i="26"/>
  <c r="N52" i="26"/>
  <c r="I52" i="26"/>
  <c r="E52" i="32" s="1"/>
  <c r="Q52" i="32" s="1"/>
  <c r="R52" i="32" s="1"/>
  <c r="I21" i="30"/>
  <c r="E21" i="26" s="1"/>
  <c r="Q21" i="26" s="1"/>
  <c r="R21" i="26" s="1"/>
  <c r="U21" i="26" s="1"/>
  <c r="M21" i="30"/>
  <c r="N21" i="30"/>
  <c r="Z89" i="26"/>
  <c r="BF88" i="26"/>
  <c r="BI88" i="26" s="1"/>
  <c r="BJ88" i="26" s="1"/>
  <c r="L88" i="26" s="1"/>
  <c r="AT23" i="26"/>
  <c r="AW23" i="26" s="1"/>
  <c r="AX70" i="26"/>
  <c r="BF67" i="26"/>
  <c r="AX16" i="26"/>
  <c r="BA16" i="26" s="1"/>
  <c r="BF68" i="26"/>
  <c r="BI68" i="26" s="1"/>
  <c r="BJ68" i="26" s="1"/>
  <c r="L68" i="26" s="1"/>
  <c r="AS82" i="26"/>
  <c r="AL11" i="26"/>
  <c r="AO11" i="26" s="1"/>
  <c r="AH48" i="26"/>
  <c r="AK48" i="26" s="1"/>
  <c r="AL48" i="26" s="1"/>
  <c r="AO48" i="26" s="1"/>
  <c r="AP48" i="26" s="1"/>
  <c r="AS48" i="26" s="1"/>
  <c r="BB55" i="26"/>
  <c r="BE55" i="26" s="1"/>
  <c r="BB83" i="26"/>
  <c r="BE83" i="26" s="1"/>
  <c r="BB42" i="26"/>
  <c r="BE42" i="26" s="1"/>
  <c r="BB51" i="26"/>
  <c r="BE51" i="26" s="1"/>
  <c r="AT78" i="26"/>
  <c r="AW78" i="26" s="1"/>
  <c r="BF5" i="26"/>
  <c r="BI5" i="26" s="1"/>
  <c r="BJ5" i="26" s="1"/>
  <c r="L5" i="26" s="1"/>
  <c r="BF28" i="26"/>
  <c r="BI28" i="26" s="1"/>
  <c r="BJ28" i="26" s="1"/>
  <c r="L28" i="26" s="1"/>
  <c r="AX61" i="26"/>
  <c r="BA61" i="26" s="1"/>
  <c r="AL37" i="26"/>
  <c r="AO37" i="26" s="1"/>
  <c r="I90" i="30"/>
  <c r="E90" i="26" s="1"/>
  <c r="Q90" i="26" s="1"/>
  <c r="M90" i="30"/>
  <c r="N90" i="30"/>
  <c r="AT10" i="26"/>
  <c r="AW10" i="26" s="1"/>
  <c r="AT4" i="26"/>
  <c r="AW4" i="26"/>
  <c r="BF85" i="30"/>
  <c r="BI85" i="30"/>
  <c r="BJ85" i="30" s="1"/>
  <c r="BB72" i="26"/>
  <c r="BE72" i="26" s="1"/>
  <c r="BF30" i="26"/>
  <c r="BI30" i="26"/>
  <c r="BJ30" i="26" s="1"/>
  <c r="AX33" i="26"/>
  <c r="BA33" i="26"/>
  <c r="AT32" i="26"/>
  <c r="AW32" i="26"/>
  <c r="BB24" i="26"/>
  <c r="BE24" i="26" s="1"/>
  <c r="AP75" i="26"/>
  <c r="AS75" i="26" s="1"/>
  <c r="BB65" i="26"/>
  <c r="BE65" i="26"/>
  <c r="BF79" i="26"/>
  <c r="BI79" i="26"/>
  <c r="BJ79" i="26" s="1"/>
  <c r="L79" i="26" s="1"/>
  <c r="M40" i="26"/>
  <c r="N40" i="26"/>
  <c r="I40" i="26"/>
  <c r="E40" i="32" s="1"/>
  <c r="Q40" i="32" s="1"/>
  <c r="BB49" i="26"/>
  <c r="BE49" i="26" s="1"/>
  <c r="BF53" i="26"/>
  <c r="BI53" i="26" s="1"/>
  <c r="BJ53" i="26" s="1"/>
  <c r="L53" i="26" s="1"/>
  <c r="AL41" i="32"/>
  <c r="AO41" i="32" s="1"/>
  <c r="AP41" i="32" s="1"/>
  <c r="AS41" i="32" s="1"/>
  <c r="AT41" i="32" s="1"/>
  <c r="AW41" i="32" s="1"/>
  <c r="AX41" i="32" s="1"/>
  <c r="BA41" i="32" s="1"/>
  <c r="BB41" i="32" s="1"/>
  <c r="BE41" i="32" s="1"/>
  <c r="BF41" i="32" s="1"/>
  <c r="BI41" i="32" s="1"/>
  <c r="BJ41" i="32" s="1"/>
  <c r="AH54" i="26"/>
  <c r="AK54" i="26" s="1"/>
  <c r="AL54" i="26" s="1"/>
  <c r="AO54" i="26" s="1"/>
  <c r="AP54" i="26" s="1"/>
  <c r="AS54" i="26" s="1"/>
  <c r="AT13" i="26"/>
  <c r="AW13" i="26" s="1"/>
  <c r="AT12" i="26"/>
  <c r="AT18" i="26"/>
  <c r="AW18" i="26" s="1"/>
  <c r="AX17" i="26"/>
  <c r="BA17" i="26"/>
  <c r="AX71" i="26"/>
  <c r="BA71" i="26" s="1"/>
  <c r="AX60" i="26"/>
  <c r="BA60" i="26" s="1"/>
  <c r="AT15" i="26"/>
  <c r="AW15" i="26" s="1"/>
  <c r="BB63" i="26"/>
  <c r="BE63" i="26"/>
  <c r="U27" i="32"/>
  <c r="V27" i="32" s="1"/>
  <c r="Y27" i="32" s="1"/>
  <c r="Z27" i="32" s="1"/>
  <c r="AC27" i="32" s="1"/>
  <c r="AD27" i="32" s="1"/>
  <c r="AG27" i="32" s="1"/>
  <c r="BF38" i="26"/>
  <c r="BI38" i="26" s="1"/>
  <c r="BJ38" i="26" s="1"/>
  <c r="L38" i="26" s="1"/>
  <c r="BF77" i="26"/>
  <c r="M50" i="26"/>
  <c r="N50" i="26"/>
  <c r="I50" i="26"/>
  <c r="E50" i="32" s="1"/>
  <c r="Q50" i="32" s="1"/>
  <c r="AD6" i="26"/>
  <c r="AG6" i="26" s="1"/>
  <c r="AH6" i="26" s="1"/>
  <c r="AK6" i="26" s="1"/>
  <c r="AL6" i="26" s="1"/>
  <c r="AO6" i="26" s="1"/>
  <c r="AP6" i="26" s="1"/>
  <c r="AS6" i="26" s="1"/>
  <c r="AX62" i="26"/>
  <c r="BA62" i="26" s="1"/>
  <c r="L74" i="30"/>
  <c r="AL43" i="26"/>
  <c r="AO43" i="26" s="1"/>
  <c r="AP43" i="26" s="1"/>
  <c r="AS43" i="26" s="1"/>
  <c r="R87" i="26"/>
  <c r="U87" i="26" s="1"/>
  <c r="V87" i="26" s="1"/>
  <c r="Y87" i="26" s="1"/>
  <c r="Z87" i="26" s="1"/>
  <c r="AC87" i="26" s="1"/>
  <c r="AX45" i="26"/>
  <c r="BA45" i="26" s="1"/>
  <c r="R73" i="26"/>
  <c r="U73" i="26" s="1"/>
  <c r="U64" i="32"/>
  <c r="BF44" i="26"/>
  <c r="BI44" i="26" s="1"/>
  <c r="BJ44" i="26" s="1"/>
  <c r="L44" i="26" s="1"/>
  <c r="AP26" i="26"/>
  <c r="AS26" i="26" s="1"/>
  <c r="BF76" i="26"/>
  <c r="BI76" i="26" s="1"/>
  <c r="BJ76" i="26" s="1"/>
  <c r="L76" i="26" s="1"/>
  <c r="N39" i="26"/>
  <c r="I39" i="26"/>
  <c r="E39" i="32" s="1"/>
  <c r="Q39" i="32" s="1"/>
  <c r="R39" i="32" s="1"/>
  <c r="M39" i="26"/>
  <c r="V35" i="26"/>
  <c r="AT22" i="26"/>
  <c r="L85" i="30"/>
  <c r="L30" i="26"/>
  <c r="V58" i="32"/>
  <c r="Y58" i="32" s="1"/>
  <c r="Z58" i="32" s="1"/>
  <c r="AC58" i="32" s="1"/>
  <c r="AD58" i="32" s="1"/>
  <c r="AG58" i="32" s="1"/>
  <c r="AH58" i="32" s="1"/>
  <c r="AK58" i="32" s="1"/>
  <c r="AL58" i="32" s="1"/>
  <c r="AO58" i="32" s="1"/>
  <c r="AP58" i="32" s="1"/>
  <c r="AS58" i="32" s="1"/>
  <c r="AT58" i="32" s="1"/>
  <c r="AW58" i="32" s="1"/>
  <c r="AX58" i="32" s="1"/>
  <c r="BA58" i="32" s="1"/>
  <c r="BB58" i="32" s="1"/>
  <c r="BE58" i="32" s="1"/>
  <c r="BF58" i="32" s="1"/>
  <c r="BI58" i="32" s="1"/>
  <c r="BJ58" i="32" s="1"/>
  <c r="L58" i="32" s="1"/>
  <c r="Y9" i="26"/>
  <c r="BE66" i="26"/>
  <c r="BA69" i="26"/>
  <c r="BI57" i="30"/>
  <c r="BJ57" i="30" s="1"/>
  <c r="L57" i="30" s="1"/>
  <c r="R7" i="32"/>
  <c r="U7" i="32" s="1"/>
  <c r="V7" i="32" s="1"/>
  <c r="Y7" i="32" s="1"/>
  <c r="BI59" i="26"/>
  <c r="BJ59" i="26" s="1"/>
  <c r="L59" i="26" s="1"/>
  <c r="L3" i="26"/>
  <c r="U47" i="26"/>
  <c r="V47" i="26" s="1"/>
  <c r="Y47" i="26" s="1"/>
  <c r="Z47" i="26" s="1"/>
  <c r="AC47" i="26" s="1"/>
  <c r="BA19" i="26"/>
  <c r="Y25" i="26"/>
  <c r="BE20" i="26"/>
  <c r="U84" i="26"/>
  <c r="Y56" i="26"/>
  <c r="Z56" i="26" s="1"/>
  <c r="AC56" i="26" s="1"/>
  <c r="AD56" i="26" s="1"/>
  <c r="AG56" i="26" s="1"/>
  <c r="AH56" i="26" s="1"/>
  <c r="AK56" i="26" s="1"/>
  <c r="R14" i="32"/>
  <c r="R86" i="32"/>
  <c r="U86" i="32" s="1"/>
  <c r="V86" i="32" s="1"/>
  <c r="Y86" i="32" s="1"/>
  <c r="Z86" i="32" s="1"/>
  <c r="AC86" i="32" s="1"/>
  <c r="AD86" i="32" s="1"/>
  <c r="AG86" i="32" s="1"/>
  <c r="AH86" i="32" s="1"/>
  <c r="AK86" i="32" s="1"/>
  <c r="AL86" i="32" s="1"/>
  <c r="AO86" i="32" s="1"/>
  <c r="AP86" i="32" s="1"/>
  <c r="AS86" i="32" s="1"/>
  <c r="AT86" i="32" s="1"/>
  <c r="AW86" i="32" s="1"/>
  <c r="AX86" i="32" s="1"/>
  <c r="BA86" i="32" s="1"/>
  <c r="BB86" i="32" s="1"/>
  <c r="BE86" i="32" s="1"/>
  <c r="BF86" i="32" s="1"/>
  <c r="BI86" i="32" s="1"/>
  <c r="BJ86" i="32" s="1"/>
  <c r="BA81" i="26"/>
  <c r="AL80" i="26"/>
  <c r="AO80" i="26"/>
  <c r="AP80" i="26" s="1"/>
  <c r="AS80" i="26" s="1"/>
  <c r="O90" i="22"/>
  <c r="O21" i="22"/>
  <c r="N26" i="22"/>
  <c r="O41" i="22"/>
  <c r="N46" i="22"/>
  <c r="O72" i="22"/>
  <c r="O88" i="22"/>
  <c r="N88" i="22"/>
  <c r="E88" i="18"/>
  <c r="R88" i="18" s="1"/>
  <c r="S88" i="18" s="1"/>
  <c r="V88" i="18" s="1"/>
  <c r="E35" i="18"/>
  <c r="R35" i="18" s="1"/>
  <c r="S35" i="18" s="1"/>
  <c r="V35" i="18" s="1"/>
  <c r="S29" i="18"/>
  <c r="V29" i="18" s="1"/>
  <c r="AE37" i="18"/>
  <c r="AH37" i="18" s="1"/>
  <c r="AI37" i="18" s="1"/>
  <c r="W19" i="18"/>
  <c r="Z19" i="18" s="1"/>
  <c r="AA19" i="18" s="1"/>
  <c r="AA11" i="18"/>
  <c r="AD11" i="18" s="1"/>
  <c r="AE11" i="18" s="1"/>
  <c r="W82" i="18"/>
  <c r="Z82" i="18" s="1"/>
  <c r="E45" i="18"/>
  <c r="R45" i="18" s="1"/>
  <c r="E67" i="18"/>
  <c r="R67" i="18" s="1"/>
  <c r="S67" i="18" s="1"/>
  <c r="E56" i="18"/>
  <c r="R56" i="18" s="1"/>
  <c r="S56" i="18" s="1"/>
  <c r="V56" i="18" s="1"/>
  <c r="W56" i="18" s="1"/>
  <c r="Z56" i="18" s="1"/>
  <c r="AA56" i="18" s="1"/>
  <c r="AD56" i="18" s="1"/>
  <c r="E74" i="18"/>
  <c r="R74" i="18" s="1"/>
  <c r="E49" i="18"/>
  <c r="R49" i="18" s="1"/>
  <c r="AE5" i="18"/>
  <c r="AH5" i="18" s="1"/>
  <c r="AI5" i="18" s="1"/>
  <c r="AL5" i="18" s="1"/>
  <c r="E8" i="18"/>
  <c r="R8" i="18" s="1"/>
  <c r="S8" i="18" s="1"/>
  <c r="E43" i="18"/>
  <c r="R43" i="18" s="1"/>
  <c r="E51" i="18"/>
  <c r="R51" i="18" s="1"/>
  <c r="S51" i="18" s="1"/>
  <c r="V51" i="18" s="1"/>
  <c r="W51" i="18" s="1"/>
  <c r="Z51" i="18" s="1"/>
  <c r="W50" i="18"/>
  <c r="Z50" i="18" s="1"/>
  <c r="V13" i="18"/>
  <c r="E59" i="18"/>
  <c r="R59" i="18" s="1"/>
  <c r="S59" i="18" s="1"/>
  <c r="E27" i="18"/>
  <c r="R27" i="18" s="1"/>
  <c r="S27" i="18" s="1"/>
  <c r="E53" i="18"/>
  <c r="R53" i="18" s="1"/>
  <c r="E64" i="18"/>
  <c r="R64" i="18" s="1"/>
  <c r="S64" i="18" s="1"/>
  <c r="V64" i="18" s="1"/>
  <c r="W64" i="18" s="1"/>
  <c r="Z64" i="18" s="1"/>
  <c r="AA64" i="18" s="1"/>
  <c r="AD64" i="18" s="1"/>
  <c r="E83" i="18"/>
  <c r="R83" i="18" s="1"/>
  <c r="S83" i="18" s="1"/>
  <c r="AA18" i="18"/>
  <c r="AD18" i="18" s="1"/>
  <c r="AE18" i="18" s="1"/>
  <c r="AH18" i="18" s="1"/>
  <c r="V23" i="18"/>
  <c r="E4" i="18"/>
  <c r="R4" i="18" s="1"/>
  <c r="S4" i="18" s="1"/>
  <c r="V4" i="18" s="1"/>
  <c r="W4" i="18" s="1"/>
  <c r="Z4" i="18" s="1"/>
  <c r="E20" i="18"/>
  <c r="R20" i="18" s="1"/>
  <c r="E47" i="18"/>
  <c r="R47" i="18" s="1"/>
  <c r="S16" i="18"/>
  <c r="V16" i="18" s="1"/>
  <c r="W16" i="18" s="1"/>
  <c r="Z16" i="18" s="1"/>
  <c r="AA16" i="18" s="1"/>
  <c r="AD16" i="18" s="1"/>
  <c r="S60" i="18"/>
  <c r="V60" i="18" s="1"/>
  <c r="V32" i="18"/>
  <c r="R55" i="18"/>
  <c r="S55" i="18" s="1"/>
  <c r="BJ77" i="22"/>
  <c r="BK77" i="22" s="1"/>
  <c r="M77" i="22" s="1"/>
  <c r="J77" i="22" s="1"/>
  <c r="O34" i="22"/>
  <c r="N34" i="22"/>
  <c r="BK7" i="22"/>
  <c r="M7" i="22" s="1"/>
  <c r="J7" i="22" s="1"/>
  <c r="BG2" i="22"/>
  <c r="BK85" i="22"/>
  <c r="M85" i="22" s="1"/>
  <c r="J85" i="22" s="1"/>
  <c r="BK84" i="22"/>
  <c r="M84" i="22" s="1"/>
  <c r="J84" i="22" s="1"/>
  <c r="BK76" i="22"/>
  <c r="M76" i="22" s="1"/>
  <c r="J76" i="22" s="1"/>
  <c r="BK71" i="22"/>
  <c r="M71" i="22" s="1"/>
  <c r="J71" i="22" s="1"/>
  <c r="BG68" i="22"/>
  <c r="BJ68" i="22" s="1"/>
  <c r="BK68" i="22" s="1"/>
  <c r="M68" i="22" s="1"/>
  <c r="J68" i="22" s="1"/>
  <c r="BK61" i="22"/>
  <c r="M61" i="22" s="1"/>
  <c r="J61" i="22" s="1"/>
  <c r="BJ57" i="22"/>
  <c r="BK57" i="22" s="1"/>
  <c r="M57" i="22" s="1"/>
  <c r="J57" i="22" s="1"/>
  <c r="BK48" i="22"/>
  <c r="M48" i="22" s="1"/>
  <c r="J48" i="22" s="1"/>
  <c r="O46" i="22"/>
  <c r="BJ44" i="22"/>
  <c r="BK44" i="22" s="1"/>
  <c r="M44" i="22" s="1"/>
  <c r="J44" i="22" s="1"/>
  <c r="BG42" i="22"/>
  <c r="BJ42" i="22" s="1"/>
  <c r="N41" i="22"/>
  <c r="BG38" i="22"/>
  <c r="BJ38" i="22" s="1"/>
  <c r="BK38" i="22" s="1"/>
  <c r="M38" i="22" s="1"/>
  <c r="J38" i="22" s="1"/>
  <c r="BJ31" i="22"/>
  <c r="BK31" i="22" s="1"/>
  <c r="M31" i="22" s="1"/>
  <c r="J31" i="22" s="1"/>
  <c r="O26" i="22"/>
  <c r="O24" i="22"/>
  <c r="N24" i="22"/>
  <c r="BJ14" i="22"/>
  <c r="BK14" i="22" s="1"/>
  <c r="M14" i="22" s="1"/>
  <c r="J14" i="22" s="1"/>
  <c r="O59" i="22"/>
  <c r="N59" i="22"/>
  <c r="N21" i="22"/>
  <c r="N20" i="22"/>
  <c r="O20" i="22"/>
  <c r="N47" i="22"/>
  <c r="O47" i="22"/>
  <c r="N72" i="22"/>
  <c r="O35" i="22"/>
  <c r="N35" i="22"/>
  <c r="N90" i="22"/>
  <c r="BG75" i="22"/>
  <c r="BJ75" i="22" s="1"/>
  <c r="O33" i="22"/>
  <c r="N33" i="22"/>
  <c r="BG15" i="22"/>
  <c r="BG86" i="22"/>
  <c r="N10" i="22"/>
  <c r="O10" i="22"/>
  <c r="O54" i="22"/>
  <c r="N54" i="22"/>
  <c r="N30" i="22"/>
  <c r="O30" i="22"/>
  <c r="BG39" i="22"/>
  <c r="BJ39" i="22" s="1"/>
  <c r="O79" i="22"/>
  <c r="N79" i="22"/>
  <c r="BG89" i="22"/>
  <c r="BJ89" i="22" s="1"/>
  <c r="N28" i="22"/>
  <c r="O28" i="22"/>
  <c r="BK9" i="22"/>
  <c r="M9" i="22" s="1"/>
  <c r="J9" i="22" s="1"/>
  <c r="BK81" i="22"/>
  <c r="M81" i="22" s="1"/>
  <c r="J81" i="22" s="1"/>
  <c r="BC62" i="22"/>
  <c r="BF62" i="22" s="1"/>
  <c r="AU92" i="22"/>
  <c r="BG25" i="22"/>
  <c r="BJ25" i="22" s="1"/>
  <c r="O58" i="22"/>
  <c r="N58" i="22"/>
  <c r="BK73" i="22"/>
  <c r="M73" i="22" s="1"/>
  <c r="J73" i="22" s="1"/>
  <c r="BC69" i="22"/>
  <c r="BF69" i="22" s="1"/>
  <c r="BG22" i="22"/>
  <c r="BJ22" i="22" s="1"/>
  <c r="BC6" i="22"/>
  <c r="BF6" i="22" s="1"/>
  <c r="N3" i="22"/>
  <c r="O3" i="22"/>
  <c r="BG40" i="22"/>
  <c r="BJ40" i="22" s="1"/>
  <c r="BG12" i="22"/>
  <c r="BC80" i="22"/>
  <c r="BF80" i="22" s="1"/>
  <c r="N52" i="22"/>
  <c r="O52" i="22"/>
  <c r="BK66" i="22"/>
  <c r="M66" i="22" s="1"/>
  <c r="J66" i="22" s="1"/>
  <c r="BG65" i="22"/>
  <c r="N17" i="22"/>
  <c r="O17" i="22"/>
  <c r="BK36" i="22"/>
  <c r="M36" i="22" s="1"/>
  <c r="J36" i="22" s="1"/>
  <c r="AX2" i="30" l="1"/>
  <c r="BA2" i="30" s="1"/>
  <c r="N29" i="26"/>
  <c r="M29" i="26"/>
  <c r="I29" i="26"/>
  <c r="E29" i="32" s="1"/>
  <c r="Q29" i="32" s="1"/>
  <c r="U34" i="32"/>
  <c r="V34" i="32" s="1"/>
  <c r="Y34" i="32" s="1"/>
  <c r="Z34" i="32" s="1"/>
  <c r="AC34" i="32" s="1"/>
  <c r="AD34" i="32" s="1"/>
  <c r="AG34" i="32" s="1"/>
  <c r="AH34" i="32" s="1"/>
  <c r="AK34" i="32" s="1"/>
  <c r="AL34" i="32" s="1"/>
  <c r="AO34" i="32" s="1"/>
  <c r="AP34" i="32" s="1"/>
  <c r="AS34" i="32" s="1"/>
  <c r="L41" i="32"/>
  <c r="M41" i="32" s="1"/>
  <c r="AT8" i="26"/>
  <c r="AW8" i="26" s="1"/>
  <c r="M57" i="30"/>
  <c r="N57" i="30"/>
  <c r="I57" i="30"/>
  <c r="E57" i="26" s="1"/>
  <c r="Q57" i="26" s="1"/>
  <c r="N58" i="32"/>
  <c r="M58" i="32"/>
  <c r="I58" i="32"/>
  <c r="AT26" i="26"/>
  <c r="AW26" i="26" s="1"/>
  <c r="BB45" i="26"/>
  <c r="BE45" i="26" s="1"/>
  <c r="I38" i="26"/>
  <c r="E38" i="32" s="1"/>
  <c r="Q38" i="32" s="1"/>
  <c r="M38" i="26"/>
  <c r="N38" i="26"/>
  <c r="AX18" i="26"/>
  <c r="N53" i="26"/>
  <c r="I53" i="26"/>
  <c r="E53" i="32" s="1"/>
  <c r="Q53" i="32" s="1"/>
  <c r="M53" i="26"/>
  <c r="AP37" i="26"/>
  <c r="AS37" i="26" s="1"/>
  <c r="M28" i="26"/>
  <c r="I28" i="26"/>
  <c r="E28" i="32" s="1"/>
  <c r="Q28" i="32" s="1"/>
  <c r="N28" i="26"/>
  <c r="AX78" i="26"/>
  <c r="BA78" i="26" s="1"/>
  <c r="BF42" i="26"/>
  <c r="BI42" i="26" s="1"/>
  <c r="BJ42" i="26" s="1"/>
  <c r="L42" i="26" s="1"/>
  <c r="BF55" i="26"/>
  <c r="BI55" i="26" s="1"/>
  <c r="BJ55" i="26" s="1"/>
  <c r="L55" i="26" s="1"/>
  <c r="AP11" i="26"/>
  <c r="M68" i="26"/>
  <c r="I68" i="26"/>
  <c r="E68" i="32" s="1"/>
  <c r="Q68" i="32" s="1"/>
  <c r="R68" i="32" s="1"/>
  <c r="U68" i="32" s="1"/>
  <c r="V68" i="32" s="1"/>
  <c r="Y68" i="32" s="1"/>
  <c r="N68" i="26"/>
  <c r="AX23" i="26"/>
  <c r="BA23" i="26" s="1"/>
  <c r="M59" i="26"/>
  <c r="I59" i="26"/>
  <c r="E59" i="32" s="1"/>
  <c r="Q59" i="32" s="1"/>
  <c r="R59" i="32" s="1"/>
  <c r="N59" i="26"/>
  <c r="I76" i="26"/>
  <c r="E76" i="32" s="1"/>
  <c r="Q76" i="32" s="1"/>
  <c r="N76" i="26"/>
  <c r="M76" i="26"/>
  <c r="I44" i="26"/>
  <c r="E44" i="32" s="1"/>
  <c r="Q44" i="32" s="1"/>
  <c r="R44" i="32" s="1"/>
  <c r="N44" i="26"/>
  <c r="M44" i="26"/>
  <c r="V73" i="26"/>
  <c r="Y73" i="26" s="1"/>
  <c r="Z73" i="26" s="1"/>
  <c r="AC73" i="26" s="1"/>
  <c r="AD73" i="26" s="1"/>
  <c r="AG73" i="26" s="1"/>
  <c r="AT54" i="26"/>
  <c r="AW54" i="26" s="1"/>
  <c r="BF49" i="26"/>
  <c r="BI49" i="26" s="1"/>
  <c r="BJ49" i="26" s="1"/>
  <c r="L49" i="26" s="1"/>
  <c r="BB61" i="26"/>
  <c r="BE61" i="26" s="1"/>
  <c r="M5" i="26"/>
  <c r="I5" i="26"/>
  <c r="E5" i="32" s="1"/>
  <c r="Q5" i="32" s="1"/>
  <c r="N5" i="26"/>
  <c r="BF51" i="26"/>
  <c r="BI51" i="26"/>
  <c r="BJ51" i="26" s="1"/>
  <c r="L51" i="26" s="1"/>
  <c r="BF83" i="26"/>
  <c r="BI83" i="26" s="1"/>
  <c r="BJ83" i="26" s="1"/>
  <c r="L83" i="26" s="1"/>
  <c r="AT48" i="26"/>
  <c r="AW48" i="26" s="1"/>
  <c r="BB16" i="26"/>
  <c r="BE16" i="26" s="1"/>
  <c r="N88" i="26"/>
  <c r="M88" i="26"/>
  <c r="I88" i="26"/>
  <c r="E88" i="32" s="1"/>
  <c r="Q88" i="32" s="1"/>
  <c r="R88" i="32" s="1"/>
  <c r="U88" i="32" s="1"/>
  <c r="V88" i="32" s="1"/>
  <c r="Y88" i="32" s="1"/>
  <c r="AX46" i="26"/>
  <c r="BA46" i="26" s="1"/>
  <c r="AT80" i="26"/>
  <c r="AW80" i="26" s="1"/>
  <c r="BB81" i="26"/>
  <c r="BF20" i="26"/>
  <c r="BI20" i="26" s="1"/>
  <c r="BJ20" i="26" s="1"/>
  <c r="BB19" i="26"/>
  <c r="BE19" i="26"/>
  <c r="M3" i="26"/>
  <c r="N3" i="26"/>
  <c r="I3" i="26"/>
  <c r="E3" i="32" s="1"/>
  <c r="Q3" i="32" s="1"/>
  <c r="R3" i="32" s="1"/>
  <c r="Z7" i="32"/>
  <c r="AC7" i="32" s="1"/>
  <c r="BF66" i="26"/>
  <c r="N30" i="26"/>
  <c r="M30" i="26"/>
  <c r="I30" i="26"/>
  <c r="E30" i="32" s="1"/>
  <c r="Q30" i="32" s="1"/>
  <c r="R30" i="32" s="1"/>
  <c r="M85" i="30"/>
  <c r="N85" i="30"/>
  <c r="I85" i="30"/>
  <c r="E85" i="26" s="1"/>
  <c r="Q85" i="26" s="1"/>
  <c r="R85" i="26" s="1"/>
  <c r="U85" i="26" s="1"/>
  <c r="V64" i="32"/>
  <c r="Y64" i="32" s="1"/>
  <c r="Z64" i="32" s="1"/>
  <c r="AC64" i="32" s="1"/>
  <c r="AD64" i="32" s="1"/>
  <c r="AG64" i="32" s="1"/>
  <c r="AH64" i="32" s="1"/>
  <c r="AK64" i="32" s="1"/>
  <c r="AL64" i="32" s="1"/>
  <c r="AO64" i="32" s="1"/>
  <c r="AP64" i="32" s="1"/>
  <c r="AS64" i="32" s="1"/>
  <c r="AT64" i="32" s="1"/>
  <c r="AW64" i="32" s="1"/>
  <c r="AX64" i="32" s="1"/>
  <c r="BA64" i="32" s="1"/>
  <c r="BB64" i="32" s="1"/>
  <c r="BE64" i="32" s="1"/>
  <c r="BF64" i="32" s="1"/>
  <c r="BI64" i="32" s="1"/>
  <c r="BJ64" i="32" s="1"/>
  <c r="AD87" i="26"/>
  <c r="AG87" i="26" s="1"/>
  <c r="AH87" i="26" s="1"/>
  <c r="AK87" i="26" s="1"/>
  <c r="AL87" i="26" s="1"/>
  <c r="AO87" i="26" s="1"/>
  <c r="AT43" i="26"/>
  <c r="AW43" i="26" s="1"/>
  <c r="M74" i="30"/>
  <c r="N74" i="30"/>
  <c r="I74" i="30"/>
  <c r="E74" i="26" s="1"/>
  <c r="Q74" i="26" s="1"/>
  <c r="R74" i="26" s="1"/>
  <c r="BB62" i="26"/>
  <c r="BE62" i="26" s="1"/>
  <c r="AT6" i="26"/>
  <c r="AW6" i="26" s="1"/>
  <c r="R50" i="32"/>
  <c r="U50" i="32" s="1"/>
  <c r="V50" i="32" s="1"/>
  <c r="Y50" i="32" s="1"/>
  <c r="Z50" i="32" s="1"/>
  <c r="AC50" i="32" s="1"/>
  <c r="AD50" i="32" s="1"/>
  <c r="AG50" i="32" s="1"/>
  <c r="AH50" i="32" s="1"/>
  <c r="AK50" i="32" s="1"/>
  <c r="AL50" i="32" s="1"/>
  <c r="AO50" i="32" s="1"/>
  <c r="AP50" i="32" s="1"/>
  <c r="AS50" i="32" s="1"/>
  <c r="AT50" i="32" s="1"/>
  <c r="AW50" i="32" s="1"/>
  <c r="AX50" i="32" s="1"/>
  <c r="BA50" i="32" s="1"/>
  <c r="BB50" i="32" s="1"/>
  <c r="BE50" i="32" s="1"/>
  <c r="BF50" i="32" s="1"/>
  <c r="BI50" i="32" s="1"/>
  <c r="BJ50" i="32" s="1"/>
  <c r="L50" i="32" s="1"/>
  <c r="AH27" i="32"/>
  <c r="AK27" i="32" s="1"/>
  <c r="AL27" i="32" s="1"/>
  <c r="AO27" i="32" s="1"/>
  <c r="AP27" i="32" s="1"/>
  <c r="AS27" i="32" s="1"/>
  <c r="AT27" i="32" s="1"/>
  <c r="AW27" i="32" s="1"/>
  <c r="AX27" i="32" s="1"/>
  <c r="BA27" i="32" s="1"/>
  <c r="BF63" i="26"/>
  <c r="BI63" i="26" s="1"/>
  <c r="BJ63" i="26" s="1"/>
  <c r="AX15" i="26"/>
  <c r="BA15" i="26" s="1"/>
  <c r="BB60" i="26"/>
  <c r="BE60" i="26" s="1"/>
  <c r="BB71" i="26"/>
  <c r="BE71" i="26" s="1"/>
  <c r="BB17" i="26"/>
  <c r="BE17" i="26" s="1"/>
  <c r="AX13" i="26"/>
  <c r="BB2" i="30"/>
  <c r="BB91" i="30" s="1"/>
  <c r="BA91" i="30"/>
  <c r="BE2" i="30"/>
  <c r="N79" i="26"/>
  <c r="M79" i="26"/>
  <c r="I79" i="26"/>
  <c r="E79" i="32" s="1"/>
  <c r="Q79" i="32" s="1"/>
  <c r="R79" i="32" s="1"/>
  <c r="U79" i="32" s="1"/>
  <c r="V79" i="32" s="1"/>
  <c r="Y79" i="32" s="1"/>
  <c r="Z79" i="32" s="1"/>
  <c r="AC79" i="32" s="1"/>
  <c r="AD79" i="32" s="1"/>
  <c r="AG79" i="32" s="1"/>
  <c r="AH79" i="32" s="1"/>
  <c r="AK79" i="32" s="1"/>
  <c r="AL79" i="32" s="1"/>
  <c r="AO79" i="32" s="1"/>
  <c r="AP79" i="32" s="1"/>
  <c r="AS79" i="32" s="1"/>
  <c r="AT79" i="32" s="1"/>
  <c r="AW79" i="32" s="1"/>
  <c r="AX79" i="32" s="1"/>
  <c r="BA79" i="32" s="1"/>
  <c r="BB79" i="32" s="1"/>
  <c r="BE79" i="32" s="1"/>
  <c r="BF79" i="32" s="1"/>
  <c r="BI79" i="32" s="1"/>
  <c r="BJ79" i="32" s="1"/>
  <c r="L79" i="32" s="1"/>
  <c r="BF65" i="26"/>
  <c r="BI65" i="26" s="1"/>
  <c r="BJ65" i="26" s="1"/>
  <c r="L65" i="26" s="1"/>
  <c r="AT75" i="26"/>
  <c r="AW75" i="26" s="1"/>
  <c r="BF24" i="26"/>
  <c r="BI24" i="26" s="1"/>
  <c r="BJ24" i="26" s="1"/>
  <c r="L24" i="26" s="1"/>
  <c r="AX32" i="26"/>
  <c r="BA32" i="26" s="1"/>
  <c r="BB33" i="26"/>
  <c r="BE33" i="26" s="1"/>
  <c r="BF72" i="26"/>
  <c r="BI72" i="26" s="1"/>
  <c r="BJ72" i="26" s="1"/>
  <c r="L72" i="26" s="1"/>
  <c r="AX4" i="26"/>
  <c r="BA4" i="26" s="1"/>
  <c r="AX10" i="26"/>
  <c r="BA10" i="26" s="1"/>
  <c r="R90" i="26"/>
  <c r="U90" i="26" s="1"/>
  <c r="V90" i="26" s="1"/>
  <c r="Y90" i="26" s="1"/>
  <c r="Z90" i="26" s="1"/>
  <c r="AC90" i="26" s="1"/>
  <c r="AD90" i="26" s="1"/>
  <c r="AG90" i="26" s="1"/>
  <c r="AH90" i="26" s="1"/>
  <c r="AK90" i="26" s="1"/>
  <c r="AL90" i="26" s="1"/>
  <c r="AO90" i="26" s="1"/>
  <c r="AP90" i="26" s="1"/>
  <c r="AS90" i="26" s="1"/>
  <c r="AT82" i="26"/>
  <c r="U52" i="32"/>
  <c r="V52" i="32" s="1"/>
  <c r="Y52" i="32" s="1"/>
  <c r="Z52" i="32" s="1"/>
  <c r="AC52" i="32" s="1"/>
  <c r="AD52" i="32" s="1"/>
  <c r="AG52" i="32" s="1"/>
  <c r="AH52" i="32" s="1"/>
  <c r="AK52" i="32" s="1"/>
  <c r="AL52" i="32" s="1"/>
  <c r="AO52" i="32" s="1"/>
  <c r="AP52" i="32" s="1"/>
  <c r="AS52" i="32" s="1"/>
  <c r="AT52" i="32" s="1"/>
  <c r="AW52" i="32" s="1"/>
  <c r="AX52" i="32" s="1"/>
  <c r="BA52" i="32" s="1"/>
  <c r="BB52" i="32" s="1"/>
  <c r="BE52" i="32" s="1"/>
  <c r="BF52" i="32" s="1"/>
  <c r="BI52" i="32" s="1"/>
  <c r="BJ52" i="32" s="1"/>
  <c r="L86" i="32"/>
  <c r="U14" i="32"/>
  <c r="V14" i="32" s="1"/>
  <c r="Y14" i="32" s="1"/>
  <c r="Z14" i="32" s="1"/>
  <c r="AC14" i="32" s="1"/>
  <c r="AD14" i="32" s="1"/>
  <c r="AG14" i="32" s="1"/>
  <c r="AL56" i="26"/>
  <c r="AO56" i="26" s="1"/>
  <c r="AP56" i="26" s="1"/>
  <c r="AS56" i="26" s="1"/>
  <c r="V84" i="26"/>
  <c r="Z25" i="26"/>
  <c r="AC25" i="26"/>
  <c r="AD47" i="26"/>
  <c r="AG47" i="26" s="1"/>
  <c r="BB69" i="26"/>
  <c r="BE69" i="26" s="1"/>
  <c r="Z9" i="26"/>
  <c r="AC9" i="26"/>
  <c r="AW22" i="26"/>
  <c r="Y35" i="26"/>
  <c r="Z35" i="26" s="1"/>
  <c r="AC35" i="26" s="1"/>
  <c r="AD35" i="26" s="1"/>
  <c r="AG35" i="26" s="1"/>
  <c r="U39" i="32"/>
  <c r="V39" i="32" s="1"/>
  <c r="Y39" i="32" s="1"/>
  <c r="Z39" i="32" s="1"/>
  <c r="AC39" i="32" s="1"/>
  <c r="BI77" i="26"/>
  <c r="BJ77" i="26" s="1"/>
  <c r="L77" i="26" s="1"/>
  <c r="AW12" i="26"/>
  <c r="AX91" i="30"/>
  <c r="R40" i="32"/>
  <c r="U40" i="32" s="1"/>
  <c r="V40" i="32" s="1"/>
  <c r="Y40" i="32" s="1"/>
  <c r="BI67" i="26"/>
  <c r="BJ67" i="26" s="1"/>
  <c r="L67" i="26" s="1"/>
  <c r="BA70" i="26"/>
  <c r="AC89" i="26"/>
  <c r="AD89" i="26" s="1"/>
  <c r="AG89" i="26" s="1"/>
  <c r="V21" i="26"/>
  <c r="Y21" i="26" s="1"/>
  <c r="Z21" i="26" s="1"/>
  <c r="AC21" i="26" s="1"/>
  <c r="AD21" i="26" s="1"/>
  <c r="AG21" i="26" s="1"/>
  <c r="R31" i="32"/>
  <c r="N14" i="22"/>
  <c r="N61" i="22"/>
  <c r="O71" i="22"/>
  <c r="O85" i="22"/>
  <c r="O7" i="22"/>
  <c r="E17" i="18"/>
  <c r="R17" i="18" s="1"/>
  <c r="S17" i="18" s="1"/>
  <c r="W88" i="18"/>
  <c r="Z88" i="18" s="1"/>
  <c r="W29" i="18"/>
  <c r="E3" i="18"/>
  <c r="R3" i="18" s="1"/>
  <c r="S3" i="18" s="1"/>
  <c r="V3" i="18" s="1"/>
  <c r="W3" i="18" s="1"/>
  <c r="Z3" i="18" s="1"/>
  <c r="AA3" i="18" s="1"/>
  <c r="AD3" i="18" s="1"/>
  <c r="AE3" i="18" s="1"/>
  <c r="AH3" i="18" s="1"/>
  <c r="AI3" i="18" s="1"/>
  <c r="AL3" i="18" s="1"/>
  <c r="AM3" i="18" s="1"/>
  <c r="AP3" i="18" s="1"/>
  <c r="AQ3" i="18" s="1"/>
  <c r="AT3" i="18" s="1"/>
  <c r="W35" i="18"/>
  <c r="Z35" i="18" s="1"/>
  <c r="AM5" i="18"/>
  <c r="AP5" i="18" s="1"/>
  <c r="AA50" i="18"/>
  <c r="AD50" i="18" s="1"/>
  <c r="AE50" i="18" s="1"/>
  <c r="AH50" i="18" s="1"/>
  <c r="AH11" i="18"/>
  <c r="AL37" i="18"/>
  <c r="AM37" i="18" s="1"/>
  <c r="AP37" i="18" s="1"/>
  <c r="AQ37" i="18" s="1"/>
  <c r="AT37" i="18" s="1"/>
  <c r="W60" i="18"/>
  <c r="Z60" i="18" s="1"/>
  <c r="AD19" i="18"/>
  <c r="AE19" i="18" s="1"/>
  <c r="AH19" i="18" s="1"/>
  <c r="E76" i="18"/>
  <c r="R76" i="18" s="1"/>
  <c r="S53" i="18"/>
  <c r="V53" i="18" s="1"/>
  <c r="W13" i="18"/>
  <c r="Z13" i="18" s="1"/>
  <c r="AA13" i="18" s="1"/>
  <c r="AD13" i="18" s="1"/>
  <c r="V8" i="18"/>
  <c r="W8" i="18" s="1"/>
  <c r="Z8" i="18" s="1"/>
  <c r="E58" i="18"/>
  <c r="R58" i="18" s="1"/>
  <c r="S58" i="18" s="1"/>
  <c r="E28" i="18"/>
  <c r="R28" i="18" s="1"/>
  <c r="E26" i="18"/>
  <c r="R26" i="18" s="1"/>
  <c r="E46" i="18"/>
  <c r="R46" i="18" s="1"/>
  <c r="S47" i="18"/>
  <c r="V47" i="18" s="1"/>
  <c r="W23" i="18"/>
  <c r="Z23" i="18" s="1"/>
  <c r="AE56" i="18"/>
  <c r="AH56" i="18" s="1"/>
  <c r="AE16" i="18"/>
  <c r="AH16" i="18" s="1"/>
  <c r="AI16" i="18" s="1"/>
  <c r="AL16" i="18" s="1"/>
  <c r="AM16" i="18" s="1"/>
  <c r="AP16" i="18" s="1"/>
  <c r="AQ16" i="18" s="1"/>
  <c r="AT16" i="18" s="1"/>
  <c r="AU16" i="18" s="1"/>
  <c r="AX16" i="18" s="1"/>
  <c r="E90" i="18"/>
  <c r="R90" i="18" s="1"/>
  <c r="S90" i="18" s="1"/>
  <c r="V90" i="18" s="1"/>
  <c r="AI18" i="18"/>
  <c r="AL18" i="18" s="1"/>
  <c r="AA82" i="18"/>
  <c r="AD82" i="18" s="1"/>
  <c r="AE82" i="18" s="1"/>
  <c r="AH82" i="18" s="1"/>
  <c r="AI82" i="18" s="1"/>
  <c r="AL82" i="18" s="1"/>
  <c r="S20" i="18"/>
  <c r="V20" i="18" s="1"/>
  <c r="V67" i="18"/>
  <c r="W67" i="18" s="1"/>
  <c r="Z67" i="18" s="1"/>
  <c r="E30" i="18"/>
  <c r="R30" i="18" s="1"/>
  <c r="E21" i="18"/>
  <c r="R21" i="18" s="1"/>
  <c r="S21" i="18" s="1"/>
  <c r="V21" i="18" s="1"/>
  <c r="W21" i="18" s="1"/>
  <c r="Z21" i="18" s="1"/>
  <c r="S74" i="18"/>
  <c r="V74" i="18" s="1"/>
  <c r="E33" i="18"/>
  <c r="R33" i="18" s="1"/>
  <c r="S33" i="18" s="1"/>
  <c r="E52" i="18"/>
  <c r="R52" i="18" s="1"/>
  <c r="E54" i="18"/>
  <c r="R54" i="18" s="1"/>
  <c r="S54" i="18" s="1"/>
  <c r="V54" i="18" s="1"/>
  <c r="E72" i="18"/>
  <c r="R72" i="18" s="1"/>
  <c r="W32" i="18"/>
  <c r="Z32" i="18" s="1"/>
  <c r="AA32" i="18" s="1"/>
  <c r="AD32" i="18" s="1"/>
  <c r="V83" i="18"/>
  <c r="V59" i="18"/>
  <c r="W59" i="18" s="1"/>
  <c r="Z59" i="18" s="1"/>
  <c r="AA59" i="18" s="1"/>
  <c r="AD59" i="18" s="1"/>
  <c r="AE59" i="18" s="1"/>
  <c r="AH59" i="18" s="1"/>
  <c r="AA51" i="18"/>
  <c r="AD51" i="18" s="1"/>
  <c r="E10" i="18"/>
  <c r="R10" i="18" s="1"/>
  <c r="V27" i="18"/>
  <c r="W27" i="18" s="1"/>
  <c r="Z27" i="18" s="1"/>
  <c r="AA27" i="18" s="1"/>
  <c r="AD27" i="18" s="1"/>
  <c r="E79" i="18"/>
  <c r="R79" i="18" s="1"/>
  <c r="S79" i="18" s="1"/>
  <c r="E41" i="18"/>
  <c r="R41" i="18" s="1"/>
  <c r="AA4" i="18"/>
  <c r="AD4" i="18" s="1"/>
  <c r="AE4" i="18" s="1"/>
  <c r="AH4" i="18" s="1"/>
  <c r="AI4" i="18" s="1"/>
  <c r="AL4" i="18" s="1"/>
  <c r="S49" i="18"/>
  <c r="V49" i="18" s="1"/>
  <c r="S45" i="18"/>
  <c r="V45" i="18" s="1"/>
  <c r="W45" i="18" s="1"/>
  <c r="Z45" i="18" s="1"/>
  <c r="AA45" i="18" s="1"/>
  <c r="AD45" i="18" s="1"/>
  <c r="E24" i="18"/>
  <c r="R24" i="18" s="1"/>
  <c r="S24" i="18" s="1"/>
  <c r="E34" i="18"/>
  <c r="R34" i="18" s="1"/>
  <c r="AE64" i="18"/>
  <c r="AH64" i="18" s="1"/>
  <c r="S43" i="18"/>
  <c r="V43" i="18" s="1"/>
  <c r="V55" i="18"/>
  <c r="W55" i="18" s="1"/>
  <c r="Z55" i="18" s="1"/>
  <c r="BJ65" i="22"/>
  <c r="BK65" i="22" s="1"/>
  <c r="M65" i="22" s="1"/>
  <c r="J65" i="22" s="1"/>
  <c r="N7" i="22"/>
  <c r="BJ2" i="22"/>
  <c r="BK2" i="22" s="1"/>
  <c r="M2" i="22" s="1"/>
  <c r="J2" i="22" s="1"/>
  <c r="BK89" i="22"/>
  <c r="M89" i="22" s="1"/>
  <c r="J89" i="22" s="1"/>
  <c r="BJ86" i="22"/>
  <c r="BK86" i="22" s="1"/>
  <c r="M86" i="22" s="1"/>
  <c r="J86" i="22" s="1"/>
  <c r="N84" i="22"/>
  <c r="O84" i="22"/>
  <c r="BK75" i="22"/>
  <c r="M75" i="22" s="1"/>
  <c r="J75" i="22" s="1"/>
  <c r="N76" i="22"/>
  <c r="O76" i="22"/>
  <c r="N68" i="22"/>
  <c r="O68" i="22"/>
  <c r="N48" i="22"/>
  <c r="O48" i="22"/>
  <c r="BK42" i="22"/>
  <c r="M42" i="22" s="1"/>
  <c r="J42" i="22" s="1"/>
  <c r="N31" i="22"/>
  <c r="O31" i="22"/>
  <c r="BJ15" i="22"/>
  <c r="BK15" i="22" s="1"/>
  <c r="M15" i="22" s="1"/>
  <c r="J15" i="22" s="1"/>
  <c r="O14" i="22"/>
  <c r="BJ12" i="22"/>
  <c r="BK12" i="22" s="1"/>
  <c r="M12" i="22" s="1"/>
  <c r="J12" i="22" s="1"/>
  <c r="N85" i="22"/>
  <c r="O38" i="22"/>
  <c r="N38" i="22"/>
  <c r="BK22" i="22"/>
  <c r="M22" i="22" s="1"/>
  <c r="J22" i="22" s="1"/>
  <c r="N71" i="22"/>
  <c r="O61" i="22"/>
  <c r="N73" i="22"/>
  <c r="O73" i="22"/>
  <c r="O81" i="22"/>
  <c r="N81" i="22"/>
  <c r="BG69" i="22"/>
  <c r="BJ69" i="22" s="1"/>
  <c r="N66" i="22"/>
  <c r="O66" i="22"/>
  <c r="O9" i="22"/>
  <c r="N9" i="22"/>
  <c r="AY78" i="22"/>
  <c r="BB78" i="22" s="1"/>
  <c r="N57" i="22"/>
  <c r="O57" i="22"/>
  <c r="BG62" i="22"/>
  <c r="BJ62" i="22" s="1"/>
  <c r="O36" i="22"/>
  <c r="N36" i="22"/>
  <c r="BK39" i="22"/>
  <c r="M39" i="22" s="1"/>
  <c r="J39" i="22" s="1"/>
  <c r="AY70" i="22"/>
  <c r="BB70" i="22" s="1"/>
  <c r="AX92" i="22"/>
  <c r="N77" i="22"/>
  <c r="O77" i="22"/>
  <c r="BK40" i="22"/>
  <c r="M40" i="22" s="1"/>
  <c r="J40" i="22" s="1"/>
  <c r="BG6" i="22"/>
  <c r="BJ6" i="22" s="1"/>
  <c r="BG87" i="22"/>
  <c r="BG63" i="22"/>
  <c r="N44" i="22"/>
  <c r="O44" i="22"/>
  <c r="BK25" i="22"/>
  <c r="AX8" i="26" l="1"/>
  <c r="BA8" i="26" s="1"/>
  <c r="L52" i="32"/>
  <c r="I52" i="32" s="1"/>
  <c r="I41" i="32"/>
  <c r="N41" i="32"/>
  <c r="AT34" i="32"/>
  <c r="AW34" i="32" s="1"/>
  <c r="AX34" i="32" s="1"/>
  <c r="BA34" i="32" s="1"/>
  <c r="BB34" i="32" s="1"/>
  <c r="BE34" i="32" s="1"/>
  <c r="BF34" i="32" s="1"/>
  <c r="BI34" i="32" s="1"/>
  <c r="BJ34" i="32" s="1"/>
  <c r="R29" i="32"/>
  <c r="U29" i="32"/>
  <c r="V29" i="32" s="1"/>
  <c r="Y29" i="32" s="1"/>
  <c r="Z29" i="32" s="1"/>
  <c r="AC29" i="32" s="1"/>
  <c r="AD29" i="32" s="1"/>
  <c r="AG29" i="32" s="1"/>
  <c r="AH29" i="32" s="1"/>
  <c r="AK29" i="32" s="1"/>
  <c r="AL29" i="32" s="1"/>
  <c r="AO29" i="32" s="1"/>
  <c r="BB10" i="26"/>
  <c r="BE10" i="26" s="1"/>
  <c r="N72" i="26"/>
  <c r="M72" i="26"/>
  <c r="I72" i="26"/>
  <c r="E72" i="32" s="1"/>
  <c r="Q72" i="32" s="1"/>
  <c r="R72" i="32" s="1"/>
  <c r="U72" i="32" s="1"/>
  <c r="V72" i="32" s="1"/>
  <c r="Y72" i="32" s="1"/>
  <c r="Z72" i="32" s="1"/>
  <c r="AC72" i="32" s="1"/>
  <c r="BB32" i="26"/>
  <c r="BE32" i="26" s="1"/>
  <c r="AX75" i="26"/>
  <c r="BA75" i="26" s="1"/>
  <c r="N50" i="32"/>
  <c r="I50" i="32"/>
  <c r="M50" i="32"/>
  <c r="BF62" i="26"/>
  <c r="BI62" i="26" s="1"/>
  <c r="BJ62" i="26" s="1"/>
  <c r="AD7" i="32"/>
  <c r="AG7" i="32" s="1"/>
  <c r="AH7" i="32" s="1"/>
  <c r="AK7" i="32" s="1"/>
  <c r="AL7" i="32" s="1"/>
  <c r="AO7" i="32" s="1"/>
  <c r="AP7" i="32" s="1"/>
  <c r="AS7" i="32" s="1"/>
  <c r="AT7" i="32" s="1"/>
  <c r="AW7" i="32" s="1"/>
  <c r="AX7" i="32" s="1"/>
  <c r="BA7" i="32" s="1"/>
  <c r="BB7" i="32" s="1"/>
  <c r="BE7" i="32" s="1"/>
  <c r="BF7" i="32" s="1"/>
  <c r="BI7" i="32" s="1"/>
  <c r="BJ7" i="32" s="1"/>
  <c r="BB46" i="26"/>
  <c r="BE46" i="26" s="1"/>
  <c r="N49" i="26"/>
  <c r="M49" i="26"/>
  <c r="I49" i="26"/>
  <c r="E49" i="32" s="1"/>
  <c r="Q49" i="32" s="1"/>
  <c r="AH73" i="26"/>
  <c r="AK73" i="26" s="1"/>
  <c r="AL73" i="26" s="1"/>
  <c r="AO73" i="26" s="1"/>
  <c r="AP73" i="26" s="1"/>
  <c r="AS73" i="26" s="1"/>
  <c r="N55" i="26"/>
  <c r="I55" i="26"/>
  <c r="E55" i="32" s="1"/>
  <c r="Q55" i="32" s="1"/>
  <c r="R55" i="32" s="1"/>
  <c r="M55" i="26"/>
  <c r="BB78" i="26"/>
  <c r="BE78" i="26" s="1"/>
  <c r="AH21" i="26"/>
  <c r="AK21" i="26" s="1"/>
  <c r="AL21" i="26" s="1"/>
  <c r="AO21" i="26" s="1"/>
  <c r="AP21" i="26" s="1"/>
  <c r="AS21" i="26" s="1"/>
  <c r="Z40" i="32"/>
  <c r="AC40" i="32" s="1"/>
  <c r="AD40" i="32" s="1"/>
  <c r="AG40" i="32" s="1"/>
  <c r="AH40" i="32" s="1"/>
  <c r="AK40" i="32" s="1"/>
  <c r="AT90" i="26"/>
  <c r="AW90" i="26" s="1"/>
  <c r="BB4" i="26"/>
  <c r="BE4" i="26" s="1"/>
  <c r="BF33" i="26"/>
  <c r="BI33" i="26" s="1"/>
  <c r="BJ33" i="26" s="1"/>
  <c r="L33" i="26" s="1"/>
  <c r="M24" i="26"/>
  <c r="N24" i="26"/>
  <c r="I24" i="26"/>
  <c r="E24" i="32" s="1"/>
  <c r="Q24" i="32" s="1"/>
  <c r="N65" i="26"/>
  <c r="I65" i="26"/>
  <c r="E65" i="32" s="1"/>
  <c r="Q65" i="32" s="1"/>
  <c r="R65" i="32" s="1"/>
  <c r="U65" i="32" s="1"/>
  <c r="V65" i="32" s="1"/>
  <c r="Y65" i="32" s="1"/>
  <c r="Z65" i="32" s="1"/>
  <c r="AC65" i="32" s="1"/>
  <c r="AD65" i="32" s="1"/>
  <c r="AG65" i="32" s="1"/>
  <c r="AH65" i="32" s="1"/>
  <c r="AK65" i="32" s="1"/>
  <c r="AL65" i="32" s="1"/>
  <c r="AO65" i="32" s="1"/>
  <c r="AP65" i="32" s="1"/>
  <c r="AS65" i="32" s="1"/>
  <c r="AT65" i="32" s="1"/>
  <c r="AW65" i="32" s="1"/>
  <c r="AX65" i="32" s="1"/>
  <c r="BA65" i="32" s="1"/>
  <c r="BB65" i="32" s="1"/>
  <c r="BE65" i="32" s="1"/>
  <c r="BF65" i="32" s="1"/>
  <c r="BI65" i="32" s="1"/>
  <c r="BJ65" i="32" s="1"/>
  <c r="L65" i="32" s="1"/>
  <c r="M65" i="26"/>
  <c r="AX6" i="26"/>
  <c r="BA6" i="26" s="1"/>
  <c r="AX80" i="26"/>
  <c r="BA80" i="26" s="1"/>
  <c r="BF61" i="26"/>
  <c r="BI61" i="26" s="1"/>
  <c r="BJ61" i="26" s="1"/>
  <c r="L61" i="26" s="1"/>
  <c r="AX54" i="26"/>
  <c r="BA54" i="26" s="1"/>
  <c r="N42" i="26"/>
  <c r="M42" i="26"/>
  <c r="I42" i="26"/>
  <c r="E42" i="32" s="1"/>
  <c r="Q42" i="32" s="1"/>
  <c r="BB70" i="26"/>
  <c r="BE70" i="26" s="1"/>
  <c r="AX12" i="26"/>
  <c r="BA12" i="26"/>
  <c r="AX22" i="26"/>
  <c r="BA22" i="26" s="1"/>
  <c r="AD9" i="26"/>
  <c r="AG9" i="26" s="1"/>
  <c r="BF69" i="26"/>
  <c r="BI69" i="26"/>
  <c r="BJ69" i="26" s="1"/>
  <c r="AH47" i="26"/>
  <c r="AK47" i="26" s="1"/>
  <c r="AL47" i="26" s="1"/>
  <c r="AO47" i="26" s="1"/>
  <c r="AP47" i="26" s="1"/>
  <c r="AS47" i="26" s="1"/>
  <c r="AD25" i="26"/>
  <c r="AG25" i="26" s="1"/>
  <c r="AT56" i="26"/>
  <c r="AW56" i="26" s="1"/>
  <c r="AH14" i="32"/>
  <c r="AK14" i="32" s="1"/>
  <c r="AL14" i="32" s="1"/>
  <c r="AO14" i="32" s="1"/>
  <c r="AP14" i="32" s="1"/>
  <c r="AS14" i="32" s="1"/>
  <c r="AT14" i="32" s="1"/>
  <c r="AW14" i="32" s="1"/>
  <c r="AX14" i="32" s="1"/>
  <c r="BA14" i="32" s="1"/>
  <c r="BB14" i="32" s="1"/>
  <c r="BE14" i="32" s="1"/>
  <c r="BF14" i="32" s="1"/>
  <c r="BI14" i="32" s="1"/>
  <c r="BJ14" i="32" s="1"/>
  <c r="N52" i="32"/>
  <c r="M52" i="32"/>
  <c r="I67" i="26"/>
  <c r="E67" i="32" s="1"/>
  <c r="Q67" i="32" s="1"/>
  <c r="R67" i="32" s="1"/>
  <c r="U67" i="32" s="1"/>
  <c r="M67" i="26"/>
  <c r="N67" i="26"/>
  <c r="BE91" i="30"/>
  <c r="BF2" i="30"/>
  <c r="BI2" i="30" s="1"/>
  <c r="BF17" i="26"/>
  <c r="BI17" i="26" s="1"/>
  <c r="BJ17" i="26" s="1"/>
  <c r="BF71" i="26"/>
  <c r="BI71" i="26" s="1"/>
  <c r="BJ71" i="26" s="1"/>
  <c r="BF60" i="26"/>
  <c r="BI60" i="26" s="1"/>
  <c r="BJ60" i="26" s="1"/>
  <c r="BB15" i="26"/>
  <c r="BE15" i="26"/>
  <c r="BB27" i="32"/>
  <c r="BE27" i="32" s="1"/>
  <c r="BF27" i="32" s="1"/>
  <c r="BI27" i="32" s="1"/>
  <c r="BJ27" i="32" s="1"/>
  <c r="I77" i="26"/>
  <c r="E77" i="32" s="1"/>
  <c r="Q77" i="32" s="1"/>
  <c r="R77" i="32" s="1"/>
  <c r="U77" i="32" s="1"/>
  <c r="V77" i="32" s="1"/>
  <c r="Y77" i="32" s="1"/>
  <c r="M77" i="26"/>
  <c r="N77" i="26"/>
  <c r="AX43" i="26"/>
  <c r="AP87" i="26"/>
  <c r="U30" i="32"/>
  <c r="V30" i="32" s="1"/>
  <c r="Y30" i="32" s="1"/>
  <c r="Z30" i="32" s="1"/>
  <c r="AC30" i="32" s="1"/>
  <c r="AD30" i="32" s="1"/>
  <c r="AG30" i="32" s="1"/>
  <c r="AH30" i="32" s="1"/>
  <c r="AK30" i="32" s="1"/>
  <c r="AL30" i="32" s="1"/>
  <c r="AO30" i="32" s="1"/>
  <c r="AP30" i="32" s="1"/>
  <c r="AS30" i="32" s="1"/>
  <c r="AT30" i="32" s="1"/>
  <c r="AW30" i="32" s="1"/>
  <c r="AX30" i="32" s="1"/>
  <c r="BA30" i="32" s="1"/>
  <c r="BB30" i="32" s="1"/>
  <c r="BE30" i="32" s="1"/>
  <c r="BF30" i="32" s="1"/>
  <c r="BI30" i="32" s="1"/>
  <c r="BJ30" i="32" s="1"/>
  <c r="BF19" i="26"/>
  <c r="BI19" i="26" s="1"/>
  <c r="BJ19" i="26" s="1"/>
  <c r="L19" i="26" s="1"/>
  <c r="BF16" i="26"/>
  <c r="BI16" i="26" s="1"/>
  <c r="BJ16" i="26" s="1"/>
  <c r="AX48" i="26"/>
  <c r="BA48" i="26" s="1"/>
  <c r="M83" i="26"/>
  <c r="N83" i="26"/>
  <c r="I83" i="26"/>
  <c r="E83" i="32" s="1"/>
  <c r="Q83" i="32" s="1"/>
  <c r="R83" i="32" s="1"/>
  <c r="I51" i="26"/>
  <c r="E51" i="32" s="1"/>
  <c r="Q51" i="32" s="1"/>
  <c r="R51" i="32" s="1"/>
  <c r="U51" i="32" s="1"/>
  <c r="V51" i="32" s="1"/>
  <c r="Y51" i="32" s="1"/>
  <c r="Z51" i="32" s="1"/>
  <c r="AC51" i="32" s="1"/>
  <c r="AD51" i="32" s="1"/>
  <c r="AG51" i="32" s="1"/>
  <c r="M51" i="26"/>
  <c r="N51" i="26"/>
  <c r="R76" i="32"/>
  <c r="U76" i="32" s="1"/>
  <c r="U59" i="32"/>
  <c r="V59" i="32" s="1"/>
  <c r="Y59" i="32" s="1"/>
  <c r="Z59" i="32" s="1"/>
  <c r="AC59" i="32" s="1"/>
  <c r="AD59" i="32" s="1"/>
  <c r="AG59" i="32" s="1"/>
  <c r="AH59" i="32" s="1"/>
  <c r="AK59" i="32" s="1"/>
  <c r="BB23" i="26"/>
  <c r="BE23" i="26" s="1"/>
  <c r="R28" i="32"/>
  <c r="U28" i="32" s="1"/>
  <c r="V28" i="32" s="1"/>
  <c r="Y28" i="32" s="1"/>
  <c r="Z28" i="32" s="1"/>
  <c r="AC28" i="32" s="1"/>
  <c r="AD28" i="32" s="1"/>
  <c r="AG28" i="32" s="1"/>
  <c r="AH28" i="32" s="1"/>
  <c r="AK28" i="32" s="1"/>
  <c r="AT37" i="26"/>
  <c r="AW37" i="26" s="1"/>
  <c r="BF45" i="26"/>
  <c r="BI45" i="26" s="1"/>
  <c r="BJ45" i="26" s="1"/>
  <c r="L45" i="26" s="1"/>
  <c r="AX26" i="26"/>
  <c r="BA26" i="26" s="1"/>
  <c r="U31" i="32"/>
  <c r="V31" i="32" s="1"/>
  <c r="Y31" i="32" s="1"/>
  <c r="AH89" i="26"/>
  <c r="AD39" i="32"/>
  <c r="AG39" i="32" s="1"/>
  <c r="AH39" i="32" s="1"/>
  <c r="AK39" i="32" s="1"/>
  <c r="AL39" i="32" s="1"/>
  <c r="AO39" i="32" s="1"/>
  <c r="AP39" i="32" s="1"/>
  <c r="AS39" i="32" s="1"/>
  <c r="AT39" i="32" s="1"/>
  <c r="AW39" i="32" s="1"/>
  <c r="AX39" i="32" s="1"/>
  <c r="BA39" i="32" s="1"/>
  <c r="BB39" i="32" s="1"/>
  <c r="BE39" i="32" s="1"/>
  <c r="BF39" i="32" s="1"/>
  <c r="BI39" i="32" s="1"/>
  <c r="BJ39" i="32" s="1"/>
  <c r="AH35" i="26"/>
  <c r="AK35" i="26" s="1"/>
  <c r="L69" i="26"/>
  <c r="Y84" i="26"/>
  <c r="Z84" i="26" s="1"/>
  <c r="AC84" i="26" s="1"/>
  <c r="AD84" i="26" s="1"/>
  <c r="AG84" i="26" s="1"/>
  <c r="AH84" i="26" s="1"/>
  <c r="AK84" i="26" s="1"/>
  <c r="I86" i="32"/>
  <c r="M86" i="32"/>
  <c r="N86" i="32"/>
  <c r="AW82" i="26"/>
  <c r="N79" i="32"/>
  <c r="I79" i="32"/>
  <c r="M79" i="32"/>
  <c r="BA13" i="26"/>
  <c r="L63" i="26"/>
  <c r="U74" i="26"/>
  <c r="V74" i="26" s="1"/>
  <c r="Y74" i="26" s="1"/>
  <c r="Z74" i="26" s="1"/>
  <c r="AC74" i="26" s="1"/>
  <c r="L64" i="32"/>
  <c r="V85" i="26"/>
  <c r="Y85" i="26" s="1"/>
  <c r="Z85" i="26" s="1"/>
  <c r="AC85" i="26" s="1"/>
  <c r="AD85" i="26" s="1"/>
  <c r="AG85" i="26" s="1"/>
  <c r="AH85" i="26" s="1"/>
  <c r="AK85" i="26" s="1"/>
  <c r="BI66" i="26"/>
  <c r="BJ66" i="26" s="1"/>
  <c r="L66" i="26" s="1"/>
  <c r="U3" i="32"/>
  <c r="V3" i="32" s="1"/>
  <c r="Y3" i="32" s="1"/>
  <c r="L20" i="26"/>
  <c r="BE81" i="26"/>
  <c r="Z88" i="32"/>
  <c r="AC88" i="32" s="1"/>
  <c r="AD88" i="32" s="1"/>
  <c r="AG88" i="32" s="1"/>
  <c r="AH88" i="32" s="1"/>
  <c r="AK88" i="32" s="1"/>
  <c r="AL88" i="32" s="1"/>
  <c r="AO88" i="32" s="1"/>
  <c r="AP88" i="32" s="1"/>
  <c r="AS88" i="32" s="1"/>
  <c r="R5" i="32"/>
  <c r="U44" i="32"/>
  <c r="Z68" i="32"/>
  <c r="AC68" i="32" s="1"/>
  <c r="AD68" i="32" s="1"/>
  <c r="AG68" i="32" s="1"/>
  <c r="AH68" i="32" s="1"/>
  <c r="AK68" i="32" s="1"/>
  <c r="AL68" i="32" s="1"/>
  <c r="AO68" i="32" s="1"/>
  <c r="AP68" i="32" s="1"/>
  <c r="AS68" i="32" s="1"/>
  <c r="AT68" i="32" s="1"/>
  <c r="AW68" i="32" s="1"/>
  <c r="AX68" i="32" s="1"/>
  <c r="BA68" i="32" s="1"/>
  <c r="BB68" i="32" s="1"/>
  <c r="BE68" i="32" s="1"/>
  <c r="BF68" i="32" s="1"/>
  <c r="BI68" i="32" s="1"/>
  <c r="BJ68" i="32" s="1"/>
  <c r="L68" i="32" s="1"/>
  <c r="AS11" i="26"/>
  <c r="R53" i="32"/>
  <c r="U53" i="32" s="1"/>
  <c r="V53" i="32" s="1"/>
  <c r="Y53" i="32" s="1"/>
  <c r="Z53" i="32" s="1"/>
  <c r="AC53" i="32" s="1"/>
  <c r="AD53" i="32" s="1"/>
  <c r="AG53" i="32" s="1"/>
  <c r="AH53" i="32" s="1"/>
  <c r="AK53" i="32" s="1"/>
  <c r="AL53" i="32" s="1"/>
  <c r="AO53" i="32" s="1"/>
  <c r="AP53" i="32" s="1"/>
  <c r="AS53" i="32" s="1"/>
  <c r="BA18" i="26"/>
  <c r="R38" i="32"/>
  <c r="U38" i="32" s="1"/>
  <c r="V38" i="32" s="1"/>
  <c r="Y38" i="32" s="1"/>
  <c r="Z38" i="32" s="1"/>
  <c r="AC38" i="32" s="1"/>
  <c r="AD38" i="32" s="1"/>
  <c r="AG38" i="32" s="1"/>
  <c r="AH38" i="32" s="1"/>
  <c r="AK38" i="32" s="1"/>
  <c r="AL38" i="32" s="1"/>
  <c r="AO38" i="32" s="1"/>
  <c r="AP38" i="32" s="1"/>
  <c r="AS38" i="32" s="1"/>
  <c r="AT38" i="32" s="1"/>
  <c r="AW38" i="32" s="1"/>
  <c r="AX38" i="32" s="1"/>
  <c r="BA38" i="32" s="1"/>
  <c r="BB38" i="32" s="1"/>
  <c r="BE38" i="32" s="1"/>
  <c r="BF38" i="32" s="1"/>
  <c r="BI38" i="32" s="1"/>
  <c r="BJ38" i="32" s="1"/>
  <c r="L38" i="32" s="1"/>
  <c r="R57" i="26"/>
  <c r="U57" i="26" s="1"/>
  <c r="E2" i="18"/>
  <c r="N89" i="22"/>
  <c r="O2" i="22"/>
  <c r="Z29" i="18"/>
  <c r="AA29" i="18" s="1"/>
  <c r="AD29" i="18" s="1"/>
  <c r="AA35" i="18"/>
  <c r="AD35" i="18" s="1"/>
  <c r="AE35" i="18" s="1"/>
  <c r="AH35" i="18" s="1"/>
  <c r="AA88" i="18"/>
  <c r="AD88" i="18" s="1"/>
  <c r="AU3" i="18"/>
  <c r="AX3" i="18" s="1"/>
  <c r="AY3" i="18" s="1"/>
  <c r="BB3" i="18" s="1"/>
  <c r="BC3" i="18" s="1"/>
  <c r="BF3" i="18" s="1"/>
  <c r="BG3" i="18" s="1"/>
  <c r="BJ3" i="18" s="1"/>
  <c r="BK3" i="18" s="1"/>
  <c r="M3" i="18" s="1"/>
  <c r="J3" i="18" s="1"/>
  <c r="V17" i="18"/>
  <c r="W74" i="18"/>
  <c r="Z74" i="18" s="1"/>
  <c r="AA74" i="18" s="1"/>
  <c r="AD74" i="18" s="1"/>
  <c r="AE74" i="18" s="1"/>
  <c r="AH74" i="18" s="1"/>
  <c r="AM18" i="18"/>
  <c r="AP18" i="18" s="1"/>
  <c r="AQ18" i="18" s="1"/>
  <c r="AT18" i="18" s="1"/>
  <c r="AU18" i="18" s="1"/>
  <c r="AX18" i="18" s="1"/>
  <c r="AY18" i="18" s="1"/>
  <c r="BB18" i="18" s="1"/>
  <c r="BC18" i="18" s="1"/>
  <c r="BF18" i="18" s="1"/>
  <c r="AA60" i="18"/>
  <c r="AD60" i="18" s="1"/>
  <c r="AY16" i="18"/>
  <c r="BB16" i="18" s="1"/>
  <c r="W43" i="18"/>
  <c r="Z43" i="18" s="1"/>
  <c r="AA43" i="18" s="1"/>
  <c r="AD43" i="18" s="1"/>
  <c r="W20" i="18"/>
  <c r="Z20" i="18" s="1"/>
  <c r="AA20" i="18" s="1"/>
  <c r="AD20" i="18" s="1"/>
  <c r="E75" i="18"/>
  <c r="R75" i="18" s="1"/>
  <c r="S75" i="18" s="1"/>
  <c r="S34" i="18"/>
  <c r="V34" i="18" s="1"/>
  <c r="W34" i="18" s="1"/>
  <c r="Z34" i="18" s="1"/>
  <c r="E9" i="18"/>
  <c r="R9" i="18" s="1"/>
  <c r="S9" i="18" s="1"/>
  <c r="E71" i="18"/>
  <c r="R71" i="18" s="1"/>
  <c r="S71" i="18" s="1"/>
  <c r="V71" i="18" s="1"/>
  <c r="V33" i="18"/>
  <c r="W90" i="18"/>
  <c r="Z90" i="18" s="1"/>
  <c r="W47" i="18"/>
  <c r="Z47" i="18" s="1"/>
  <c r="V58" i="18"/>
  <c r="W58" i="18" s="1"/>
  <c r="Z58" i="18" s="1"/>
  <c r="E77" i="18"/>
  <c r="R77" i="18" s="1"/>
  <c r="E81" i="18"/>
  <c r="R81" i="18" s="1"/>
  <c r="S81" i="18" s="1"/>
  <c r="V81" i="18" s="1"/>
  <c r="E14" i="18"/>
  <c r="R14" i="18" s="1"/>
  <c r="E84" i="18"/>
  <c r="R84" i="18" s="1"/>
  <c r="S84" i="18" s="1"/>
  <c r="V24" i="18"/>
  <c r="W24" i="18" s="1"/>
  <c r="Z24" i="18" s="1"/>
  <c r="S41" i="18"/>
  <c r="V41" i="18" s="1"/>
  <c r="AE51" i="18"/>
  <c r="AH51" i="18" s="1"/>
  <c r="AI51" i="18" s="1"/>
  <c r="AL51" i="18" s="1"/>
  <c r="AM51" i="18" s="1"/>
  <c r="AP51" i="18" s="1"/>
  <c r="AQ51" i="18" s="1"/>
  <c r="AT51" i="18" s="1"/>
  <c r="AA67" i="18"/>
  <c r="AD67" i="18" s="1"/>
  <c r="S76" i="18"/>
  <c r="V76" i="18" s="1"/>
  <c r="W76" i="18" s="1"/>
  <c r="Z76" i="18" s="1"/>
  <c r="AU37" i="18"/>
  <c r="AX37" i="18" s="1"/>
  <c r="E36" i="18"/>
  <c r="R36" i="18" s="1"/>
  <c r="E38" i="18"/>
  <c r="R38" i="18" s="1"/>
  <c r="S72" i="18"/>
  <c r="V72" i="18" s="1"/>
  <c r="W72" i="18" s="1"/>
  <c r="Z72" i="18" s="1"/>
  <c r="S46" i="18"/>
  <c r="V46" i="18" s="1"/>
  <c r="V79" i="18"/>
  <c r="AA8" i="18"/>
  <c r="AD8" i="18" s="1"/>
  <c r="AI11" i="18"/>
  <c r="E73" i="18"/>
  <c r="R73" i="18" s="1"/>
  <c r="E68" i="18"/>
  <c r="R68" i="18" s="1"/>
  <c r="E86" i="18"/>
  <c r="R86" i="18" s="1"/>
  <c r="AE45" i="18"/>
  <c r="AH45" i="18" s="1"/>
  <c r="AI45" i="18" s="1"/>
  <c r="AL45" i="18" s="1"/>
  <c r="E44" i="18"/>
  <c r="R44" i="18" s="1"/>
  <c r="E31" i="18"/>
  <c r="R31" i="18" s="1"/>
  <c r="S31" i="18" s="1"/>
  <c r="AI59" i="18"/>
  <c r="AL59" i="18" s="1"/>
  <c r="W54" i="18"/>
  <c r="Z54" i="18" s="1"/>
  <c r="AA21" i="18"/>
  <c r="AD21" i="18" s="1"/>
  <c r="AE21" i="18" s="1"/>
  <c r="AH21" i="18" s="1"/>
  <c r="AM82" i="18"/>
  <c r="AP82" i="18" s="1"/>
  <c r="AI56" i="18"/>
  <c r="AL56" i="18" s="1"/>
  <c r="AM56" i="18" s="1"/>
  <c r="AP56" i="18" s="1"/>
  <c r="S26" i="18"/>
  <c r="V26" i="18" s="1"/>
  <c r="W26" i="18" s="1"/>
  <c r="Z26" i="18" s="1"/>
  <c r="AA26" i="18" s="1"/>
  <c r="AD26" i="18" s="1"/>
  <c r="AE13" i="18"/>
  <c r="AH13" i="18" s="1"/>
  <c r="AI19" i="18"/>
  <c r="AL19" i="18" s="1"/>
  <c r="AI50" i="18"/>
  <c r="AL50" i="18" s="1"/>
  <c r="AM50" i="18" s="1"/>
  <c r="AP50" i="18" s="1"/>
  <c r="AQ50" i="18" s="1"/>
  <c r="AT50" i="18" s="1"/>
  <c r="E57" i="18"/>
  <c r="R57" i="18" s="1"/>
  <c r="S57" i="18" s="1"/>
  <c r="E66" i="18"/>
  <c r="R66" i="18" s="1"/>
  <c r="E85" i="18"/>
  <c r="R85" i="18" s="1"/>
  <c r="S85" i="18" s="1"/>
  <c r="V85" i="18" s="1"/>
  <c r="W85" i="18" s="1"/>
  <c r="Z85" i="18" s="1"/>
  <c r="AA85" i="18" s="1"/>
  <c r="AD85" i="18" s="1"/>
  <c r="AE85" i="18" s="1"/>
  <c r="AH85" i="18" s="1"/>
  <c r="AI85" i="18" s="1"/>
  <c r="AL85" i="18" s="1"/>
  <c r="AI64" i="18"/>
  <c r="AL64" i="18" s="1"/>
  <c r="W49" i="18"/>
  <c r="Z49" i="18" s="1"/>
  <c r="AA49" i="18" s="1"/>
  <c r="AD49" i="18" s="1"/>
  <c r="AE49" i="18" s="1"/>
  <c r="AH49" i="18" s="1"/>
  <c r="AI49" i="18" s="1"/>
  <c r="AL49" i="18" s="1"/>
  <c r="AM49" i="18" s="1"/>
  <c r="AP49" i="18" s="1"/>
  <c r="E61" i="18"/>
  <c r="R61" i="18" s="1"/>
  <c r="S61" i="18" s="1"/>
  <c r="V61" i="18" s="1"/>
  <c r="E7" i="18"/>
  <c r="R7" i="18" s="1"/>
  <c r="AE27" i="18"/>
  <c r="W83" i="18"/>
  <c r="Z83" i="18" s="1"/>
  <c r="S52" i="18"/>
  <c r="V52" i="18" s="1"/>
  <c r="W52" i="18" s="1"/>
  <c r="Z52" i="18" s="1"/>
  <c r="AA52" i="18" s="1"/>
  <c r="AD52" i="18" s="1"/>
  <c r="AE52" i="18" s="1"/>
  <c r="AH52" i="18" s="1"/>
  <c r="AI52" i="18" s="1"/>
  <c r="AL52" i="18" s="1"/>
  <c r="AM52" i="18" s="1"/>
  <c r="AP52" i="18" s="1"/>
  <c r="AQ52" i="18" s="1"/>
  <c r="AT52" i="18" s="1"/>
  <c r="AU52" i="18" s="1"/>
  <c r="AX52" i="18" s="1"/>
  <c r="S30" i="18"/>
  <c r="V30" i="18" s="1"/>
  <c r="W30" i="18" s="1"/>
  <c r="Z30" i="18" s="1"/>
  <c r="S28" i="18"/>
  <c r="V28" i="18" s="1"/>
  <c r="E48" i="18"/>
  <c r="R48" i="18" s="1"/>
  <c r="S48" i="18" s="1"/>
  <c r="AM4" i="18"/>
  <c r="AP4" i="18" s="1"/>
  <c r="S10" i="18"/>
  <c r="V10" i="18" s="1"/>
  <c r="W10" i="18" s="1"/>
  <c r="Z10" i="18" s="1"/>
  <c r="AE32" i="18"/>
  <c r="AH32" i="18" s="1"/>
  <c r="AI32" i="18" s="1"/>
  <c r="AA23" i="18"/>
  <c r="AD23" i="18" s="1"/>
  <c r="AE23" i="18" s="1"/>
  <c r="AH23" i="18" s="1"/>
  <c r="AI23" i="18" s="1"/>
  <c r="AL23" i="18" s="1"/>
  <c r="W53" i="18"/>
  <c r="Z53" i="18" s="1"/>
  <c r="AA53" i="18" s="1"/>
  <c r="AD53" i="18" s="1"/>
  <c r="AQ5" i="18"/>
  <c r="AT5" i="18" s="1"/>
  <c r="N2" i="22"/>
  <c r="BJ87" i="22"/>
  <c r="BK87" i="22" s="1"/>
  <c r="M87" i="22" s="1"/>
  <c r="J87" i="22" s="1"/>
  <c r="N75" i="22"/>
  <c r="O75" i="22"/>
  <c r="BK69" i="22"/>
  <c r="M69" i="22" s="1"/>
  <c r="J69" i="22" s="1"/>
  <c r="BJ63" i="22"/>
  <c r="BK63" i="22" s="1"/>
  <c r="M63" i="22" s="1"/>
  <c r="J63" i="22" s="1"/>
  <c r="N42" i="22"/>
  <c r="O42" i="22"/>
  <c r="N22" i="22"/>
  <c r="O22" i="22"/>
  <c r="O89" i="22"/>
  <c r="N86" i="22"/>
  <c r="O86" i="22"/>
  <c r="BC70" i="22"/>
  <c r="BF70" i="22" s="1"/>
  <c r="BB92" i="22"/>
  <c r="N39" i="22"/>
  <c r="O39" i="22"/>
  <c r="BC78" i="22"/>
  <c r="BF78" i="22" s="1"/>
  <c r="AA55" i="18"/>
  <c r="AD55" i="18" s="1"/>
  <c r="N40" i="22"/>
  <c r="O40" i="22"/>
  <c r="BK62" i="22"/>
  <c r="M62" i="22" s="1"/>
  <c r="J62" i="22" s="1"/>
  <c r="O15" i="22"/>
  <c r="N15" i="22"/>
  <c r="AY92" i="22"/>
  <c r="BG80" i="22"/>
  <c r="O65" i="22"/>
  <c r="N65" i="22"/>
  <c r="N12" i="22"/>
  <c r="O12" i="22"/>
  <c r="M25" i="22"/>
  <c r="J25" i="22" s="1"/>
  <c r="BB8" i="26" l="1"/>
  <c r="BE8" i="26"/>
  <c r="AP29" i="32"/>
  <c r="AS29" i="32" s="1"/>
  <c r="AT29" i="32" s="1"/>
  <c r="AW29" i="32" s="1"/>
  <c r="L34" i="32"/>
  <c r="V57" i="26"/>
  <c r="Y57" i="26" s="1"/>
  <c r="Z57" i="26" s="1"/>
  <c r="AC57" i="26" s="1"/>
  <c r="AD57" i="26" s="1"/>
  <c r="AG57" i="26" s="1"/>
  <c r="AL85" i="26"/>
  <c r="AO85" i="26" s="1"/>
  <c r="AP85" i="26" s="1"/>
  <c r="AS85" i="26" s="1"/>
  <c r="AL28" i="32"/>
  <c r="AO28" i="32" s="1"/>
  <c r="AP28" i="32" s="1"/>
  <c r="AS28" i="32" s="1"/>
  <c r="AT28" i="32" s="1"/>
  <c r="AW28" i="32" s="1"/>
  <c r="AX28" i="32" s="1"/>
  <c r="BA28" i="32" s="1"/>
  <c r="BB28" i="32" s="1"/>
  <c r="BE28" i="32" s="1"/>
  <c r="BF28" i="32" s="1"/>
  <c r="BI28" i="32" s="1"/>
  <c r="BJ28" i="32" s="1"/>
  <c r="L28" i="32" s="1"/>
  <c r="M19" i="26"/>
  <c r="I19" i="26"/>
  <c r="E19" i="32" s="1"/>
  <c r="Q19" i="32" s="1"/>
  <c r="N19" i="26"/>
  <c r="AX56" i="26"/>
  <c r="AL40" i="32"/>
  <c r="AO40" i="32" s="1"/>
  <c r="AP40" i="32" s="1"/>
  <c r="AS40" i="32" s="1"/>
  <c r="AT40" i="32" s="1"/>
  <c r="AW40" i="32" s="1"/>
  <c r="AX40" i="32" s="1"/>
  <c r="BA40" i="32" s="1"/>
  <c r="BB40" i="32" s="1"/>
  <c r="BE40" i="32" s="1"/>
  <c r="BF40" i="32" s="1"/>
  <c r="BI40" i="32" s="1"/>
  <c r="BJ40" i="32" s="1"/>
  <c r="L40" i="32" s="1"/>
  <c r="AT73" i="26"/>
  <c r="AW73" i="26" s="1"/>
  <c r="BB75" i="26"/>
  <c r="BE75" i="26" s="1"/>
  <c r="AT88" i="32"/>
  <c r="AW88" i="32" s="1"/>
  <c r="AX88" i="32" s="1"/>
  <c r="BA88" i="32" s="1"/>
  <c r="BB88" i="32" s="1"/>
  <c r="BE88" i="32" s="1"/>
  <c r="I66" i="26"/>
  <c r="E66" i="32" s="1"/>
  <c r="Q66" i="32" s="1"/>
  <c r="R66" i="32" s="1"/>
  <c r="U66" i="32" s="1"/>
  <c r="V66" i="32" s="1"/>
  <c r="Y66" i="32" s="1"/>
  <c r="Z66" i="32" s="1"/>
  <c r="AC66" i="32" s="1"/>
  <c r="AD66" i="32" s="1"/>
  <c r="AG66" i="32" s="1"/>
  <c r="AH66" i="32" s="1"/>
  <c r="AK66" i="32" s="1"/>
  <c r="AL66" i="32" s="1"/>
  <c r="AO66" i="32" s="1"/>
  <c r="AP66" i="32" s="1"/>
  <c r="AS66" i="32" s="1"/>
  <c r="AT66" i="32" s="1"/>
  <c r="AW66" i="32" s="1"/>
  <c r="AX66" i="32" s="1"/>
  <c r="BA66" i="32" s="1"/>
  <c r="M66" i="26"/>
  <c r="N66" i="26"/>
  <c r="AX37" i="26"/>
  <c r="BA37" i="26"/>
  <c r="BF32" i="26"/>
  <c r="BI32" i="26" s="1"/>
  <c r="BJ32" i="26" s="1"/>
  <c r="L32" i="26" s="1"/>
  <c r="M38" i="32"/>
  <c r="N38" i="32"/>
  <c r="I38" i="32"/>
  <c r="AT53" i="32"/>
  <c r="AW53" i="32" s="1"/>
  <c r="AT11" i="26"/>
  <c r="M68" i="32"/>
  <c r="I68" i="32"/>
  <c r="N68" i="32"/>
  <c r="V44" i="32"/>
  <c r="Y44" i="32"/>
  <c r="Z44" i="32" s="1"/>
  <c r="AC44" i="32" s="1"/>
  <c r="AD44" i="32" s="1"/>
  <c r="AG44" i="32" s="1"/>
  <c r="I20" i="26"/>
  <c r="E20" i="32" s="1"/>
  <c r="Q20" i="32" s="1"/>
  <c r="R20" i="32" s="1"/>
  <c r="M20" i="26"/>
  <c r="N20" i="26"/>
  <c r="N64" i="32"/>
  <c r="I64" i="32"/>
  <c r="M64" i="32"/>
  <c r="AD74" i="26"/>
  <c r="AG74" i="26" s="1"/>
  <c r="AH74" i="26" s="1"/>
  <c r="AK74" i="26" s="1"/>
  <c r="AL74" i="26" s="1"/>
  <c r="AO74" i="26" s="1"/>
  <c r="AP74" i="26" s="1"/>
  <c r="AS74" i="26" s="1"/>
  <c r="I69" i="26"/>
  <c r="E69" i="32" s="1"/>
  <c r="Q69" i="32" s="1"/>
  <c r="M69" i="26"/>
  <c r="N69" i="26"/>
  <c r="AL35" i="26"/>
  <c r="AO35" i="26" s="1"/>
  <c r="AP35" i="26" s="1"/>
  <c r="AS35" i="26" s="1"/>
  <c r="I33" i="26"/>
  <c r="E33" i="32" s="1"/>
  <c r="Q33" i="32" s="1"/>
  <c r="N33" i="26"/>
  <c r="M33" i="26"/>
  <c r="BB26" i="26"/>
  <c r="BE26" i="26"/>
  <c r="M45" i="26"/>
  <c r="I45" i="26"/>
  <c r="E45" i="32" s="1"/>
  <c r="Q45" i="32" s="1"/>
  <c r="R45" i="32" s="1"/>
  <c r="U45" i="32" s="1"/>
  <c r="V45" i="32" s="1"/>
  <c r="Y45" i="32" s="1"/>
  <c r="Z45" i="32" s="1"/>
  <c r="AC45" i="32" s="1"/>
  <c r="AD45" i="32" s="1"/>
  <c r="AG45" i="32" s="1"/>
  <c r="AH45" i="32" s="1"/>
  <c r="AK45" i="32" s="1"/>
  <c r="AL45" i="32" s="1"/>
  <c r="AO45" i="32" s="1"/>
  <c r="AP45" i="32" s="1"/>
  <c r="AS45" i="32" s="1"/>
  <c r="AT45" i="32" s="1"/>
  <c r="AW45" i="32" s="1"/>
  <c r="AX45" i="32" s="1"/>
  <c r="BA45" i="32" s="1"/>
  <c r="BB45" i="32" s="1"/>
  <c r="BE45" i="32" s="1"/>
  <c r="BF45" i="32" s="1"/>
  <c r="BI45" i="32" s="1"/>
  <c r="BJ45" i="32" s="1"/>
  <c r="L45" i="32" s="1"/>
  <c r="N45" i="26"/>
  <c r="BF23" i="26"/>
  <c r="BI23" i="26" s="1"/>
  <c r="BJ23" i="26" s="1"/>
  <c r="L23" i="26" s="1"/>
  <c r="V76" i="32"/>
  <c r="Y76" i="32" s="1"/>
  <c r="Z76" i="32" s="1"/>
  <c r="AC76" i="32" s="1"/>
  <c r="AD76" i="32" s="1"/>
  <c r="AG76" i="32" s="1"/>
  <c r="AH76" i="32" s="1"/>
  <c r="AK76" i="32" s="1"/>
  <c r="AL76" i="32" s="1"/>
  <c r="AO76" i="32" s="1"/>
  <c r="AP76" i="32" s="1"/>
  <c r="AS76" i="32" s="1"/>
  <c r="AT76" i="32" s="1"/>
  <c r="AW76" i="32" s="1"/>
  <c r="AX76" i="32" s="1"/>
  <c r="BA76" i="32" s="1"/>
  <c r="BB76" i="32" s="1"/>
  <c r="BE76" i="32" s="1"/>
  <c r="AH51" i="32"/>
  <c r="AK51" i="32" s="1"/>
  <c r="AL51" i="32" s="1"/>
  <c r="AO51" i="32" s="1"/>
  <c r="AP51" i="32" s="1"/>
  <c r="AS51" i="32" s="1"/>
  <c r="AT51" i="32" s="1"/>
  <c r="AW51" i="32" s="1"/>
  <c r="AX51" i="32" s="1"/>
  <c r="BA51" i="32" s="1"/>
  <c r="BB51" i="32" s="1"/>
  <c r="BE51" i="32" s="1"/>
  <c r="BF51" i="32" s="1"/>
  <c r="BI51" i="32" s="1"/>
  <c r="BJ51" i="32" s="1"/>
  <c r="L51" i="32" s="1"/>
  <c r="BB48" i="26"/>
  <c r="BE48" i="26" s="1"/>
  <c r="BF15" i="26"/>
  <c r="BJ2" i="30"/>
  <c r="BJ91" i="30" s="1"/>
  <c r="BI91" i="30"/>
  <c r="AH25" i="26"/>
  <c r="AT47" i="26"/>
  <c r="AW47" i="26" s="1"/>
  <c r="AH9" i="26"/>
  <c r="BB22" i="26"/>
  <c r="BE22" i="26" s="1"/>
  <c r="BB12" i="26"/>
  <c r="BE12" i="26" s="1"/>
  <c r="BF70" i="26"/>
  <c r="BI70" i="26" s="1"/>
  <c r="BJ70" i="26" s="1"/>
  <c r="L70" i="26" s="1"/>
  <c r="BB54" i="26"/>
  <c r="BE54" i="26" s="1"/>
  <c r="M61" i="26"/>
  <c r="N61" i="26"/>
  <c r="I61" i="26"/>
  <c r="E61" i="32" s="1"/>
  <c r="Q61" i="32" s="1"/>
  <c r="R61" i="32" s="1"/>
  <c r="U61" i="32" s="1"/>
  <c r="V61" i="32" s="1"/>
  <c r="Y61" i="32" s="1"/>
  <c r="BB80" i="26"/>
  <c r="BE80" i="26" s="1"/>
  <c r="BB6" i="26"/>
  <c r="BE6" i="26"/>
  <c r="BF4" i="26"/>
  <c r="BI4" i="26" s="1"/>
  <c r="BJ4" i="26" s="1"/>
  <c r="L4" i="26" s="1"/>
  <c r="AX90" i="26"/>
  <c r="BA90" i="26"/>
  <c r="AT21" i="26"/>
  <c r="AW21" i="26"/>
  <c r="BF78" i="26"/>
  <c r="BI78" i="26"/>
  <c r="BJ78" i="26" s="1"/>
  <c r="L78" i="26" s="1"/>
  <c r="BF46" i="26"/>
  <c r="BI46" i="26" s="1"/>
  <c r="BJ46" i="26" s="1"/>
  <c r="BF10" i="26"/>
  <c r="BI10" i="26" s="1"/>
  <c r="BJ10" i="26" s="1"/>
  <c r="L10" i="26" s="1"/>
  <c r="BB18" i="26"/>
  <c r="BE18" i="26" s="1"/>
  <c r="U5" i="32"/>
  <c r="V5" i="32" s="1"/>
  <c r="Y5" i="32" s="1"/>
  <c r="Z5" i="32" s="1"/>
  <c r="AC5" i="32" s="1"/>
  <c r="AD5" i="32" s="1"/>
  <c r="AG5" i="32" s="1"/>
  <c r="AH5" i="32" s="1"/>
  <c r="AK5" i="32" s="1"/>
  <c r="AL5" i="32" s="1"/>
  <c r="AO5" i="32" s="1"/>
  <c r="AP5" i="32" s="1"/>
  <c r="AS5" i="32" s="1"/>
  <c r="AT5" i="32" s="1"/>
  <c r="AW5" i="32" s="1"/>
  <c r="BF81" i="26"/>
  <c r="BI81" i="26" s="1"/>
  <c r="BJ81" i="26" s="1"/>
  <c r="Z3" i="32"/>
  <c r="AC3" i="32" s="1"/>
  <c r="AD3" i="32" s="1"/>
  <c r="AG3" i="32" s="1"/>
  <c r="AH3" i="32" s="1"/>
  <c r="AK3" i="32" s="1"/>
  <c r="AL3" i="32" s="1"/>
  <c r="AO3" i="32" s="1"/>
  <c r="N63" i="26"/>
  <c r="M63" i="26"/>
  <c r="I63" i="26"/>
  <c r="E63" i="32" s="1"/>
  <c r="Q63" i="32" s="1"/>
  <c r="BB13" i="26"/>
  <c r="BE13" i="26" s="1"/>
  <c r="AX82" i="26"/>
  <c r="BA82" i="26" s="1"/>
  <c r="AL84" i="26"/>
  <c r="AO84" i="26" s="1"/>
  <c r="L7" i="32"/>
  <c r="L39" i="32"/>
  <c r="AK89" i="26"/>
  <c r="Z31" i="32"/>
  <c r="AL59" i="32"/>
  <c r="U83" i="32"/>
  <c r="V83" i="32" s="1"/>
  <c r="Y83" i="32" s="1"/>
  <c r="L16" i="26"/>
  <c r="L14" i="32"/>
  <c r="L30" i="32"/>
  <c r="AS87" i="26"/>
  <c r="BA43" i="26"/>
  <c r="Z77" i="32"/>
  <c r="AC77" i="32" s="1"/>
  <c r="L27" i="32"/>
  <c r="L60" i="26"/>
  <c r="L71" i="26"/>
  <c r="L17" i="26"/>
  <c r="BF91" i="30"/>
  <c r="V67" i="32"/>
  <c r="Y67" i="32" s="1"/>
  <c r="Z67" i="32" s="1"/>
  <c r="AC67" i="32" s="1"/>
  <c r="R42" i="32"/>
  <c r="U42" i="32" s="1"/>
  <c r="V42" i="32" s="1"/>
  <c r="Y42" i="32" s="1"/>
  <c r="Z42" i="32" s="1"/>
  <c r="AC42" i="32" s="1"/>
  <c r="AD42" i="32" s="1"/>
  <c r="AG42" i="32" s="1"/>
  <c r="AH42" i="32" s="1"/>
  <c r="AK42" i="32" s="1"/>
  <c r="AL42" i="32" s="1"/>
  <c r="AO42" i="32" s="1"/>
  <c r="N65" i="32"/>
  <c r="M65" i="32"/>
  <c r="I65" i="32"/>
  <c r="R24" i="32"/>
  <c r="U55" i="32"/>
  <c r="V55" i="32" s="1"/>
  <c r="Y55" i="32" s="1"/>
  <c r="Z55" i="32" s="1"/>
  <c r="AC55" i="32" s="1"/>
  <c r="R49" i="32"/>
  <c r="L62" i="26"/>
  <c r="AD72" i="32"/>
  <c r="AG72" i="32" s="1"/>
  <c r="AH72" i="32" s="1"/>
  <c r="AK72" i="32" s="1"/>
  <c r="AL72" i="32" s="1"/>
  <c r="AO72" i="32" s="1"/>
  <c r="AP72" i="32" s="1"/>
  <c r="AS72" i="32" s="1"/>
  <c r="AT72" i="32" s="1"/>
  <c r="AW72" i="32" s="1"/>
  <c r="AX72" i="32" s="1"/>
  <c r="BA72" i="32" s="1"/>
  <c r="BB72" i="32" s="1"/>
  <c r="BE72" i="32" s="1"/>
  <c r="BF72" i="32" s="1"/>
  <c r="BI72" i="32" s="1"/>
  <c r="BJ72" i="32" s="1"/>
  <c r="L72" i="32" s="1"/>
  <c r="O69" i="22"/>
  <c r="N3" i="18"/>
  <c r="O3" i="18"/>
  <c r="AE88" i="18"/>
  <c r="AH88" i="18" s="1"/>
  <c r="AI35" i="18"/>
  <c r="AL35" i="18" s="1"/>
  <c r="AM35" i="18" s="1"/>
  <c r="W17" i="18"/>
  <c r="Z17" i="18" s="1"/>
  <c r="AA17" i="18" s="1"/>
  <c r="AD17" i="18" s="1"/>
  <c r="AE17" i="18" s="1"/>
  <c r="AH17" i="18" s="1"/>
  <c r="AE29" i="18"/>
  <c r="AH29" i="18" s="1"/>
  <c r="AI29" i="18" s="1"/>
  <c r="AL29" i="18" s="1"/>
  <c r="AE26" i="18"/>
  <c r="AH26" i="18" s="1"/>
  <c r="AL32" i="18"/>
  <c r="AM32" i="18" s="1"/>
  <c r="AP32" i="18" s="1"/>
  <c r="W46" i="18"/>
  <c r="AA90" i="18"/>
  <c r="AD90" i="18" s="1"/>
  <c r="AE90" i="18" s="1"/>
  <c r="AH90" i="18" s="1"/>
  <c r="AI21" i="18"/>
  <c r="AL21" i="18" s="1"/>
  <c r="AM21" i="18" s="1"/>
  <c r="AP21" i="18" s="1"/>
  <c r="AQ21" i="18" s="1"/>
  <c r="AT21" i="18" s="1"/>
  <c r="AI74" i="18"/>
  <c r="AL74" i="18" s="1"/>
  <c r="AM74" i="18" s="1"/>
  <c r="AP74" i="18" s="1"/>
  <c r="E12" i="18"/>
  <c r="R12" i="18" s="1"/>
  <c r="S12" i="18" s="1"/>
  <c r="E39" i="18"/>
  <c r="R39" i="18" s="1"/>
  <c r="S39" i="18" s="1"/>
  <c r="AU5" i="18"/>
  <c r="AX5" i="18" s="1"/>
  <c r="AY5" i="18" s="1"/>
  <c r="BB5" i="18" s="1"/>
  <c r="BC5" i="18" s="1"/>
  <c r="BF5" i="18" s="1"/>
  <c r="AA10" i="18"/>
  <c r="AD10" i="18" s="1"/>
  <c r="AE10" i="18" s="1"/>
  <c r="AH10" i="18" s="1"/>
  <c r="AI10" i="18" s="1"/>
  <c r="AL10" i="18" s="1"/>
  <c r="AQ49" i="18"/>
  <c r="AT49" i="18" s="1"/>
  <c r="W79" i="18"/>
  <c r="Z79" i="18" s="1"/>
  <c r="AE67" i="18"/>
  <c r="AH67" i="18" s="1"/>
  <c r="BC16" i="18"/>
  <c r="BF16" i="18" s="1"/>
  <c r="E65" i="18"/>
  <c r="R65" i="18" s="1"/>
  <c r="S65" i="18" s="1"/>
  <c r="E22" i="18"/>
  <c r="R22" i="18" s="1"/>
  <c r="AH27" i="18"/>
  <c r="AI27" i="18" s="1"/>
  <c r="AL27" i="18" s="1"/>
  <c r="AM27" i="18" s="1"/>
  <c r="AP27" i="18" s="1"/>
  <c r="V57" i="18"/>
  <c r="AL11" i="18"/>
  <c r="S36" i="18"/>
  <c r="V36" i="18" s="1"/>
  <c r="V84" i="18"/>
  <c r="W84" i="18" s="1"/>
  <c r="Z84" i="18" s="1"/>
  <c r="AA84" i="18" s="1"/>
  <c r="AD84" i="18" s="1"/>
  <c r="AE84" i="18" s="1"/>
  <c r="AH84" i="18" s="1"/>
  <c r="W33" i="18"/>
  <c r="Z33" i="18" s="1"/>
  <c r="AA33" i="18" s="1"/>
  <c r="AD33" i="18" s="1"/>
  <c r="AE33" i="18" s="1"/>
  <c r="AH33" i="18" s="1"/>
  <c r="V75" i="18"/>
  <c r="AA30" i="18"/>
  <c r="AM45" i="18"/>
  <c r="AP45" i="18" s="1"/>
  <c r="E40" i="18"/>
  <c r="R40" i="18" s="1"/>
  <c r="S40" i="18" s="1"/>
  <c r="AQ56" i="18"/>
  <c r="AT56" i="18" s="1"/>
  <c r="AY37" i="18"/>
  <c r="BB37" i="18" s="1"/>
  <c r="S14" i="18"/>
  <c r="V14" i="18" s="1"/>
  <c r="AA58" i="18"/>
  <c r="W71" i="18"/>
  <c r="Z71" i="18" s="1"/>
  <c r="AE20" i="18"/>
  <c r="AH20" i="18" s="1"/>
  <c r="AM23" i="18"/>
  <c r="V48" i="18"/>
  <c r="W48" i="18" s="1"/>
  <c r="Z48" i="18" s="1"/>
  <c r="AA48" i="18" s="1"/>
  <c r="AD48" i="18" s="1"/>
  <c r="AE48" i="18" s="1"/>
  <c r="AH48" i="18" s="1"/>
  <c r="AY52" i="18"/>
  <c r="BB52" i="18" s="1"/>
  <c r="W61" i="18"/>
  <c r="Z61" i="18" s="1"/>
  <c r="AA61" i="18" s="1"/>
  <c r="AD61" i="18" s="1"/>
  <c r="AE8" i="18"/>
  <c r="AH8" i="18" s="1"/>
  <c r="AA72" i="18"/>
  <c r="AD72" i="18" s="1"/>
  <c r="W41" i="18"/>
  <c r="AA47" i="18"/>
  <c r="BG18" i="18"/>
  <c r="BJ18" i="18" s="1"/>
  <c r="BK18" i="18" s="1"/>
  <c r="M18" i="18" s="1"/>
  <c r="J18" i="18" s="1"/>
  <c r="AQ4" i="18"/>
  <c r="AT4" i="18" s="1"/>
  <c r="AA54" i="18"/>
  <c r="AD54" i="18" s="1"/>
  <c r="AE54" i="18" s="1"/>
  <c r="AH54" i="18" s="1"/>
  <c r="AM59" i="18"/>
  <c r="AP59" i="18" s="1"/>
  <c r="AM85" i="18"/>
  <c r="AP85" i="18" s="1"/>
  <c r="AM19" i="18"/>
  <c r="AP19" i="18" s="1"/>
  <c r="AQ19" i="18" s="1"/>
  <c r="AT19" i="18" s="1"/>
  <c r="AQ82" i="18"/>
  <c r="AT82" i="18" s="1"/>
  <c r="AU82" i="18" s="1"/>
  <c r="AX82" i="18" s="1"/>
  <c r="AY82" i="18" s="1"/>
  <c r="BB82" i="18" s="1"/>
  <c r="BC82" i="18" s="1"/>
  <c r="BF82" i="18" s="1"/>
  <c r="BG82" i="18" s="1"/>
  <c r="BJ82" i="18" s="1"/>
  <c r="BK82" i="18" s="1"/>
  <c r="V31" i="18"/>
  <c r="S68" i="18"/>
  <c r="V68" i="18" s="1"/>
  <c r="W68" i="18" s="1"/>
  <c r="Z68" i="18" s="1"/>
  <c r="AA76" i="18"/>
  <c r="AD76" i="18" s="1"/>
  <c r="W81" i="18"/>
  <c r="Z81" i="18" s="1"/>
  <c r="V9" i="18"/>
  <c r="AE43" i="18"/>
  <c r="AH43" i="18" s="1"/>
  <c r="S7" i="18"/>
  <c r="V7" i="18" s="1"/>
  <c r="AU51" i="18"/>
  <c r="AX51" i="18" s="1"/>
  <c r="AE60" i="18"/>
  <c r="AH60" i="18" s="1"/>
  <c r="AU50" i="18"/>
  <c r="AX50" i="18" s="1"/>
  <c r="AY50" i="18" s="1"/>
  <c r="BB50" i="18" s="1"/>
  <c r="S86" i="18"/>
  <c r="V86" i="18" s="1"/>
  <c r="E42" i="18"/>
  <c r="R42" i="18" s="1"/>
  <c r="E15" i="18"/>
  <c r="R15" i="18" s="1"/>
  <c r="E89" i="18"/>
  <c r="R89" i="18" s="1"/>
  <c r="S89" i="18" s="1"/>
  <c r="AE53" i="18"/>
  <c r="AH53" i="18" s="1"/>
  <c r="AI53" i="18" s="1"/>
  <c r="AL53" i="18" s="1"/>
  <c r="AM64" i="18"/>
  <c r="AP64" i="18" s="1"/>
  <c r="AQ64" i="18" s="1"/>
  <c r="AT64" i="18" s="1"/>
  <c r="W28" i="18"/>
  <c r="Z28" i="18" s="1"/>
  <c r="AA28" i="18" s="1"/>
  <c r="AD28" i="18" s="1"/>
  <c r="AA83" i="18"/>
  <c r="AD83" i="18" s="1"/>
  <c r="AE83" i="18" s="1"/>
  <c r="AH83" i="18" s="1"/>
  <c r="AI83" i="18" s="1"/>
  <c r="AL83" i="18" s="1"/>
  <c r="AM83" i="18" s="1"/>
  <c r="AP83" i="18" s="1"/>
  <c r="AQ83" i="18" s="1"/>
  <c r="AT83" i="18" s="1"/>
  <c r="AU83" i="18" s="1"/>
  <c r="AX83" i="18" s="1"/>
  <c r="S66" i="18"/>
  <c r="V66" i="18" s="1"/>
  <c r="W66" i="18" s="1"/>
  <c r="Z66" i="18" s="1"/>
  <c r="AA66" i="18" s="1"/>
  <c r="AD66" i="18" s="1"/>
  <c r="AI13" i="18"/>
  <c r="AL13" i="18" s="1"/>
  <c r="AM13" i="18" s="1"/>
  <c r="AP13" i="18" s="1"/>
  <c r="AQ13" i="18" s="1"/>
  <c r="AT13" i="18" s="1"/>
  <c r="AU13" i="18" s="1"/>
  <c r="AX13" i="18" s="1"/>
  <c r="S44" i="18"/>
  <c r="V44" i="18" s="1"/>
  <c r="W44" i="18" s="1"/>
  <c r="Z44" i="18" s="1"/>
  <c r="S73" i="18"/>
  <c r="V73" i="18" s="1"/>
  <c r="W73" i="18" s="1"/>
  <c r="Z73" i="18" s="1"/>
  <c r="S38" i="18"/>
  <c r="V38" i="18" s="1"/>
  <c r="AA24" i="18"/>
  <c r="AD24" i="18" s="1"/>
  <c r="AE24" i="18" s="1"/>
  <c r="AH24" i="18" s="1"/>
  <c r="S77" i="18"/>
  <c r="V77" i="18" s="1"/>
  <c r="W77" i="18" s="1"/>
  <c r="Z77" i="18" s="1"/>
  <c r="AA34" i="18"/>
  <c r="AD34" i="18" s="1"/>
  <c r="BJ80" i="22"/>
  <c r="BK80" i="22" s="1"/>
  <c r="M80" i="22" s="1"/>
  <c r="J80" i="22" s="1"/>
  <c r="N69" i="22"/>
  <c r="N62" i="22"/>
  <c r="O62" i="22"/>
  <c r="AE55" i="18"/>
  <c r="AH55" i="18" s="1"/>
  <c r="BG78" i="22"/>
  <c r="BJ78" i="22" s="1"/>
  <c r="BK6" i="22"/>
  <c r="O87" i="22"/>
  <c r="N87" i="22"/>
  <c r="O63" i="22"/>
  <c r="N63" i="22"/>
  <c r="BG70" i="22"/>
  <c r="BJ70" i="22" s="1"/>
  <c r="BF92" i="22"/>
  <c r="BC92" i="22"/>
  <c r="N25" i="22"/>
  <c r="O25" i="22"/>
  <c r="AX29" i="32" l="1"/>
  <c r="BA29" i="32" s="1"/>
  <c r="I34" i="32"/>
  <c r="N34" i="32"/>
  <c r="M34" i="32"/>
  <c r="L46" i="26"/>
  <c r="BF8" i="26"/>
  <c r="BI8" i="26"/>
  <c r="BJ8" i="26" s="1"/>
  <c r="L8" i="26" s="1"/>
  <c r="AD67" i="32"/>
  <c r="AG67" i="32" s="1"/>
  <c r="AH67" i="32" s="1"/>
  <c r="AK67" i="32" s="1"/>
  <c r="AL67" i="32" s="1"/>
  <c r="AO67" i="32" s="1"/>
  <c r="AD77" i="32"/>
  <c r="AG77" i="32" s="1"/>
  <c r="AH77" i="32" s="1"/>
  <c r="AK77" i="32" s="1"/>
  <c r="AL77" i="32" s="1"/>
  <c r="AO77" i="32" s="1"/>
  <c r="AP77" i="32" s="1"/>
  <c r="AS77" i="32" s="1"/>
  <c r="AT77" i="32" s="1"/>
  <c r="AW77" i="32" s="1"/>
  <c r="AX77" i="32" s="1"/>
  <c r="BA77" i="32" s="1"/>
  <c r="BB77" i="32" s="1"/>
  <c r="BE77" i="32" s="1"/>
  <c r="BF77" i="32" s="1"/>
  <c r="BI77" i="32" s="1"/>
  <c r="BJ77" i="32" s="1"/>
  <c r="L77" i="32" s="1"/>
  <c r="I70" i="26"/>
  <c r="E70" i="32" s="1"/>
  <c r="Q70" i="32" s="1"/>
  <c r="M70" i="26"/>
  <c r="N70" i="26"/>
  <c r="BF22" i="26"/>
  <c r="AX47" i="26"/>
  <c r="BA47" i="26" s="1"/>
  <c r="N51" i="32"/>
  <c r="M51" i="32"/>
  <c r="I51" i="32"/>
  <c r="M23" i="26"/>
  <c r="N23" i="26"/>
  <c r="I23" i="26"/>
  <c r="E23" i="32" s="1"/>
  <c r="Q23" i="32" s="1"/>
  <c r="AT74" i="26"/>
  <c r="AW74" i="26" s="1"/>
  <c r="BF75" i="26"/>
  <c r="BI75" i="26" s="1"/>
  <c r="BJ75" i="26" s="1"/>
  <c r="L75" i="26" s="1"/>
  <c r="N40" i="32"/>
  <c r="M40" i="32"/>
  <c r="I40" i="32"/>
  <c r="I72" i="32"/>
  <c r="M72" i="32"/>
  <c r="N72" i="32"/>
  <c r="BF54" i="26"/>
  <c r="BI54" i="26" s="1"/>
  <c r="BJ54" i="26" s="1"/>
  <c r="L54" i="26" s="1"/>
  <c r="BF12" i="26"/>
  <c r="BI12" i="26" s="1"/>
  <c r="BJ12" i="26" s="1"/>
  <c r="BF48" i="26"/>
  <c r="BF76" i="32"/>
  <c r="BI76" i="32" s="1"/>
  <c r="BJ76" i="32" s="1"/>
  <c r="L76" i="32" s="1"/>
  <c r="BF88" i="32"/>
  <c r="BI88" i="32" s="1"/>
  <c r="BJ88" i="32" s="1"/>
  <c r="L88" i="32" s="1"/>
  <c r="AX73" i="26"/>
  <c r="BA73" i="26" s="1"/>
  <c r="M46" i="26"/>
  <c r="N46" i="26"/>
  <c r="I46" i="26"/>
  <c r="E46" i="32" s="1"/>
  <c r="Q46" i="32" s="1"/>
  <c r="AD55" i="32"/>
  <c r="AG55" i="32" s="1"/>
  <c r="AH55" i="32" s="1"/>
  <c r="AP42" i="32"/>
  <c r="AS42" i="32"/>
  <c r="AT42" i="32" s="1"/>
  <c r="AW42" i="32" s="1"/>
  <c r="AX42" i="32" s="1"/>
  <c r="BA42" i="32" s="1"/>
  <c r="BB42" i="32" s="1"/>
  <c r="BE42" i="32" s="1"/>
  <c r="BF42" i="32" s="1"/>
  <c r="BI42" i="32" s="1"/>
  <c r="BJ42" i="32" s="1"/>
  <c r="I71" i="26"/>
  <c r="E71" i="32" s="1"/>
  <c r="Q71" i="32" s="1"/>
  <c r="M71" i="26"/>
  <c r="N71" i="26"/>
  <c r="M27" i="32"/>
  <c r="I27" i="32"/>
  <c r="N27" i="32"/>
  <c r="AT87" i="26"/>
  <c r="AW87" i="26" s="1"/>
  <c r="I14" i="32"/>
  <c r="N14" i="32"/>
  <c r="M14" i="32"/>
  <c r="Z83" i="32"/>
  <c r="AC83" i="32" s="1"/>
  <c r="AD83" i="32" s="1"/>
  <c r="N39" i="32"/>
  <c r="M39" i="32"/>
  <c r="I39" i="32"/>
  <c r="AP84" i="26"/>
  <c r="AS84" i="26" s="1"/>
  <c r="BB82" i="26"/>
  <c r="BE82" i="26" s="1"/>
  <c r="BF13" i="26"/>
  <c r="BI13" i="26" s="1"/>
  <c r="BJ13" i="26" s="1"/>
  <c r="L13" i="26" s="1"/>
  <c r="R63" i="32"/>
  <c r="U63" i="32" s="1"/>
  <c r="V63" i="32" s="1"/>
  <c r="Y63" i="32" s="1"/>
  <c r="Z63" i="32" s="1"/>
  <c r="AC63" i="32" s="1"/>
  <c r="AD63" i="32" s="1"/>
  <c r="AG63" i="32" s="1"/>
  <c r="AH63" i="32" s="1"/>
  <c r="AK63" i="32" s="1"/>
  <c r="AL63" i="32" s="1"/>
  <c r="AO63" i="32" s="1"/>
  <c r="AP63" i="32" s="1"/>
  <c r="AS63" i="32" s="1"/>
  <c r="AT63" i="32" s="1"/>
  <c r="AW63" i="32" s="1"/>
  <c r="AX63" i="32" s="1"/>
  <c r="BA63" i="32" s="1"/>
  <c r="BB63" i="32" s="1"/>
  <c r="BE63" i="32" s="1"/>
  <c r="BF63" i="32" s="1"/>
  <c r="BI63" i="32" s="1"/>
  <c r="BJ63" i="32" s="1"/>
  <c r="AP3" i="32"/>
  <c r="AS3" i="32"/>
  <c r="AT3" i="32" s="1"/>
  <c r="AW3" i="32" s="1"/>
  <c r="AX3" i="32" s="1"/>
  <c r="BA3" i="32" s="1"/>
  <c r="BB3" i="32" s="1"/>
  <c r="BE3" i="32" s="1"/>
  <c r="BF3" i="32" s="1"/>
  <c r="BI3" i="32" s="1"/>
  <c r="BJ3" i="32" s="1"/>
  <c r="AX5" i="32"/>
  <c r="BA5" i="32" s="1"/>
  <c r="BB5" i="32" s="1"/>
  <c r="BE5" i="32" s="1"/>
  <c r="BF5" i="32" s="1"/>
  <c r="BI5" i="32" s="1"/>
  <c r="BJ5" i="32" s="1"/>
  <c r="BF18" i="26"/>
  <c r="BI18" i="26" s="1"/>
  <c r="BJ18" i="26" s="1"/>
  <c r="L18" i="26" s="1"/>
  <c r="M10" i="26"/>
  <c r="I10" i="26"/>
  <c r="E10" i="32" s="1"/>
  <c r="Q10" i="32" s="1"/>
  <c r="N10" i="26"/>
  <c r="N78" i="26"/>
  <c r="I78" i="26"/>
  <c r="E78" i="32" s="1"/>
  <c r="Q78" i="32" s="1"/>
  <c r="R78" i="32" s="1"/>
  <c r="U78" i="32" s="1"/>
  <c r="V78" i="32" s="1"/>
  <c r="Y78" i="32" s="1"/>
  <c r="Z78" i="32" s="1"/>
  <c r="AC78" i="32" s="1"/>
  <c r="AD78" i="32" s="1"/>
  <c r="AG78" i="32" s="1"/>
  <c r="AH78" i="32" s="1"/>
  <c r="AK78" i="32" s="1"/>
  <c r="AL78" i="32" s="1"/>
  <c r="AO78" i="32" s="1"/>
  <c r="AP78" i="32" s="1"/>
  <c r="AS78" i="32" s="1"/>
  <c r="AT78" i="32" s="1"/>
  <c r="AW78" i="32" s="1"/>
  <c r="AX78" i="32" s="1"/>
  <c r="BA78" i="32" s="1"/>
  <c r="BB78" i="32" s="1"/>
  <c r="BE78" i="32" s="1"/>
  <c r="M78" i="26"/>
  <c r="AX21" i="26"/>
  <c r="BA21" i="26"/>
  <c r="BB90" i="26"/>
  <c r="BE90" i="26"/>
  <c r="I4" i="26"/>
  <c r="E4" i="32" s="1"/>
  <c r="Q4" i="32" s="1"/>
  <c r="M4" i="26"/>
  <c r="N4" i="26"/>
  <c r="BF6" i="26"/>
  <c r="BI6" i="26" s="1"/>
  <c r="BJ6" i="26" s="1"/>
  <c r="L6" i="26" s="1"/>
  <c r="BF80" i="26"/>
  <c r="BI80" i="26" s="1"/>
  <c r="BJ80" i="26" s="1"/>
  <c r="L80" i="26" s="1"/>
  <c r="Z61" i="32"/>
  <c r="AC61" i="32" s="1"/>
  <c r="I45" i="32"/>
  <c r="N45" i="32"/>
  <c r="M45" i="32"/>
  <c r="BF26" i="26"/>
  <c r="BI26" i="26" s="1"/>
  <c r="BJ26" i="26" s="1"/>
  <c r="L26" i="26" s="1"/>
  <c r="AT35" i="26"/>
  <c r="AW35" i="26" s="1"/>
  <c r="R69" i="32"/>
  <c r="U20" i="32"/>
  <c r="V20" i="32" s="1"/>
  <c r="Y20" i="32" s="1"/>
  <c r="Z20" i="32" s="1"/>
  <c r="AC20" i="32" s="1"/>
  <c r="AD20" i="32" s="1"/>
  <c r="AG20" i="32" s="1"/>
  <c r="AH20" i="32" s="1"/>
  <c r="AK20" i="32" s="1"/>
  <c r="AH44" i="32"/>
  <c r="AK44" i="32" s="1"/>
  <c r="AX53" i="32"/>
  <c r="BA53" i="32" s="1"/>
  <c r="BB53" i="32" s="1"/>
  <c r="BE53" i="32" s="1"/>
  <c r="BF53" i="32" s="1"/>
  <c r="BI53" i="32" s="1"/>
  <c r="BJ53" i="32" s="1"/>
  <c r="I32" i="26"/>
  <c r="E32" i="32" s="1"/>
  <c r="Q32" i="32" s="1"/>
  <c r="N32" i="26"/>
  <c r="M32" i="26"/>
  <c r="BB37" i="26"/>
  <c r="BE37" i="26" s="1"/>
  <c r="BB66" i="32"/>
  <c r="BE66" i="32" s="1"/>
  <c r="BF66" i="32" s="1"/>
  <c r="BI66" i="32" s="1"/>
  <c r="BJ66" i="32" s="1"/>
  <c r="L66" i="32" s="1"/>
  <c r="R19" i="32"/>
  <c r="U19" i="32" s="1"/>
  <c r="V19" i="32" s="1"/>
  <c r="Y19" i="32" s="1"/>
  <c r="Z19" i="32" s="1"/>
  <c r="AC19" i="32" s="1"/>
  <c r="AD19" i="32" s="1"/>
  <c r="AG19" i="32" s="1"/>
  <c r="AH19" i="32" s="1"/>
  <c r="AK19" i="32" s="1"/>
  <c r="AL19" i="32" s="1"/>
  <c r="AO19" i="32" s="1"/>
  <c r="N28" i="32"/>
  <c r="M28" i="32"/>
  <c r="I28" i="32"/>
  <c r="AT85" i="26"/>
  <c r="AW85" i="26" s="1"/>
  <c r="AH57" i="26"/>
  <c r="AK57" i="26" s="1"/>
  <c r="M62" i="26"/>
  <c r="N62" i="26"/>
  <c r="I62" i="26"/>
  <c r="E62" i="32" s="1"/>
  <c r="Q62" i="32" s="1"/>
  <c r="U49" i="32"/>
  <c r="V49" i="32" s="1"/>
  <c r="Y49" i="32" s="1"/>
  <c r="U24" i="32"/>
  <c r="L2" i="30"/>
  <c r="M17" i="26"/>
  <c r="I17" i="26"/>
  <c r="E17" i="32" s="1"/>
  <c r="Q17" i="32" s="1"/>
  <c r="R17" i="32" s="1"/>
  <c r="U17" i="32" s="1"/>
  <c r="N17" i="26"/>
  <c r="N60" i="26"/>
  <c r="M60" i="26"/>
  <c r="I60" i="26"/>
  <c r="E60" i="32" s="1"/>
  <c r="Q60" i="32" s="1"/>
  <c r="R60" i="32" s="1"/>
  <c r="U60" i="32" s="1"/>
  <c r="V60" i="32" s="1"/>
  <c r="Y60" i="32" s="1"/>
  <c r="Z60" i="32" s="1"/>
  <c r="AC60" i="32" s="1"/>
  <c r="AD60" i="32" s="1"/>
  <c r="AG60" i="32" s="1"/>
  <c r="AH60" i="32" s="1"/>
  <c r="AK60" i="32" s="1"/>
  <c r="AL60" i="32" s="1"/>
  <c r="AO60" i="32" s="1"/>
  <c r="AP60" i="32" s="1"/>
  <c r="AS60" i="32" s="1"/>
  <c r="AT60" i="32" s="1"/>
  <c r="AW60" i="32" s="1"/>
  <c r="AX60" i="32" s="1"/>
  <c r="BA60" i="32" s="1"/>
  <c r="BB60" i="32" s="1"/>
  <c r="BE60" i="32" s="1"/>
  <c r="BF60" i="32" s="1"/>
  <c r="BI60" i="32" s="1"/>
  <c r="BJ60" i="32" s="1"/>
  <c r="L60" i="32" s="1"/>
  <c r="BB43" i="26"/>
  <c r="I30" i="32"/>
  <c r="M30" i="32"/>
  <c r="N30" i="32"/>
  <c r="N16" i="26"/>
  <c r="I16" i="26"/>
  <c r="E16" i="32" s="1"/>
  <c r="Q16" i="32" s="1"/>
  <c r="R16" i="32" s="1"/>
  <c r="U16" i="32" s="1"/>
  <c r="V16" i="32" s="1"/>
  <c r="Y16" i="32" s="1"/>
  <c r="Z16" i="32" s="1"/>
  <c r="AC16" i="32" s="1"/>
  <c r="AD16" i="32" s="1"/>
  <c r="AG16" i="32" s="1"/>
  <c r="AH16" i="32" s="1"/>
  <c r="AK16" i="32" s="1"/>
  <c r="AL16" i="32" s="1"/>
  <c r="AO16" i="32" s="1"/>
  <c r="AP16" i="32" s="1"/>
  <c r="AS16" i="32" s="1"/>
  <c r="AT16" i="32" s="1"/>
  <c r="AW16" i="32" s="1"/>
  <c r="AX16" i="32" s="1"/>
  <c r="BA16" i="32" s="1"/>
  <c r="BB16" i="32" s="1"/>
  <c r="BE16" i="32" s="1"/>
  <c r="BF16" i="32" s="1"/>
  <c r="BI16" i="32" s="1"/>
  <c r="BJ16" i="32" s="1"/>
  <c r="L16" i="32" s="1"/>
  <c r="M16" i="26"/>
  <c r="AO59" i="32"/>
  <c r="AC31" i="32"/>
  <c r="AD31" i="32" s="1"/>
  <c r="AG31" i="32" s="1"/>
  <c r="AH31" i="32" s="1"/>
  <c r="AK31" i="32" s="1"/>
  <c r="AL89" i="26"/>
  <c r="AO89" i="26" s="1"/>
  <c r="AP89" i="26" s="1"/>
  <c r="AS89" i="26" s="1"/>
  <c r="M7" i="32"/>
  <c r="I7" i="32"/>
  <c r="N7" i="32"/>
  <c r="L81" i="26"/>
  <c r="AK9" i="26"/>
  <c r="AL9" i="26" s="1"/>
  <c r="AO9" i="26" s="1"/>
  <c r="AP9" i="26" s="1"/>
  <c r="AS9" i="26" s="1"/>
  <c r="AK25" i="26"/>
  <c r="BI15" i="26"/>
  <c r="BJ15" i="26" s="1"/>
  <c r="L15" i="26" s="1"/>
  <c r="R33" i="32"/>
  <c r="U33" i="32" s="1"/>
  <c r="V33" i="32" s="1"/>
  <c r="Y33" i="32" s="1"/>
  <c r="Z33" i="32" s="1"/>
  <c r="AC33" i="32" s="1"/>
  <c r="AD33" i="32" s="1"/>
  <c r="AG33" i="32" s="1"/>
  <c r="AW11" i="26"/>
  <c r="BA56" i="26"/>
  <c r="AP35" i="18"/>
  <c r="AI17" i="18"/>
  <c r="AL17" i="18" s="1"/>
  <c r="AM29" i="18"/>
  <c r="AP29" i="18" s="1"/>
  <c r="AI88" i="18"/>
  <c r="AL88" i="18" s="1"/>
  <c r="AM88" i="18" s="1"/>
  <c r="AP88" i="18" s="1"/>
  <c r="E62" i="18"/>
  <c r="R62" i="18" s="1"/>
  <c r="AY51" i="18"/>
  <c r="BB51" i="18" s="1"/>
  <c r="BC51" i="18" s="1"/>
  <c r="BF51" i="18" s="1"/>
  <c r="BG51" i="18" s="1"/>
  <c r="BJ51" i="18" s="1"/>
  <c r="BK51" i="18" s="1"/>
  <c r="M51" i="18" s="1"/>
  <c r="J51" i="18" s="1"/>
  <c r="N18" i="18"/>
  <c r="O18" i="18"/>
  <c r="BC37" i="18"/>
  <c r="BF37" i="18" s="1"/>
  <c r="W7" i="18"/>
  <c r="Z7" i="18" s="1"/>
  <c r="AA7" i="18" s="1"/>
  <c r="AD7" i="18" s="1"/>
  <c r="AU56" i="18"/>
  <c r="AX56" i="18" s="1"/>
  <c r="AU21" i="18"/>
  <c r="AX21" i="18" s="1"/>
  <c r="AI43" i="18"/>
  <c r="AL43" i="18" s="1"/>
  <c r="AM43" i="18" s="1"/>
  <c r="AP43" i="18" s="1"/>
  <c r="AQ43" i="18" s="1"/>
  <c r="AT43" i="18" s="1"/>
  <c r="W36" i="18"/>
  <c r="Z36" i="18" s="1"/>
  <c r="AA36" i="18" s="1"/>
  <c r="AA81" i="18"/>
  <c r="AD81" i="18" s="1"/>
  <c r="AI20" i="18"/>
  <c r="AL20" i="18" s="1"/>
  <c r="AM53" i="18"/>
  <c r="AP53" i="18" s="1"/>
  <c r="AQ53" i="18" s="1"/>
  <c r="AT53" i="18" s="1"/>
  <c r="W86" i="18"/>
  <c r="Z86" i="18" s="1"/>
  <c r="AA86" i="18" s="1"/>
  <c r="AD86" i="18" s="1"/>
  <c r="AE86" i="18" s="1"/>
  <c r="AH86" i="18" s="1"/>
  <c r="AI8" i="18"/>
  <c r="AL8" i="18" s="1"/>
  <c r="AA71" i="18"/>
  <c r="AD71" i="18" s="1"/>
  <c r="AE71" i="18" s="1"/>
  <c r="AH71" i="18" s="1"/>
  <c r="AI71" i="18" s="1"/>
  <c r="AL71" i="18" s="1"/>
  <c r="BC50" i="18"/>
  <c r="BF50" i="18" s="1"/>
  <c r="AE61" i="18"/>
  <c r="AH61" i="18" s="1"/>
  <c r="AI60" i="18"/>
  <c r="AL60" i="18" s="1"/>
  <c r="AM60" i="18" s="1"/>
  <c r="AP60" i="18" s="1"/>
  <c r="AU4" i="18"/>
  <c r="AX4" i="18" s="1"/>
  <c r="BC52" i="18"/>
  <c r="BF52" i="18" s="1"/>
  <c r="W14" i="18"/>
  <c r="Z14" i="18" s="1"/>
  <c r="AA14" i="18" s="1"/>
  <c r="AD14" i="18" s="1"/>
  <c r="AE14" i="18" s="1"/>
  <c r="AH14" i="18" s="1"/>
  <c r="AI14" i="18" s="1"/>
  <c r="AL14" i="18" s="1"/>
  <c r="AI26" i="18"/>
  <c r="AL26" i="18" s="1"/>
  <c r="AA73" i="18"/>
  <c r="AD73" i="18" s="1"/>
  <c r="AE73" i="18" s="1"/>
  <c r="AH73" i="18" s="1"/>
  <c r="AA68" i="18"/>
  <c r="AD68" i="18" s="1"/>
  <c r="AI54" i="18"/>
  <c r="AL54" i="18" s="1"/>
  <c r="V40" i="18"/>
  <c r="W40" i="18" s="1"/>
  <c r="Z40" i="18" s="1"/>
  <c r="AI33" i="18"/>
  <c r="AL33" i="18" s="1"/>
  <c r="V65" i="18"/>
  <c r="W65" i="18" s="1"/>
  <c r="Z65" i="18" s="1"/>
  <c r="AA65" i="18" s="1"/>
  <c r="AD65" i="18" s="1"/>
  <c r="AE65" i="18" s="1"/>
  <c r="AH65" i="18" s="1"/>
  <c r="AA79" i="18"/>
  <c r="AD79" i="18" s="1"/>
  <c r="AM10" i="18"/>
  <c r="AP10" i="18" s="1"/>
  <c r="E69" i="18"/>
  <c r="R69" i="18" s="1"/>
  <c r="Z41" i="18"/>
  <c r="AA41" i="18" s="1"/>
  <c r="AD41" i="18" s="1"/>
  <c r="AE41" i="18" s="1"/>
  <c r="AH41" i="18" s="1"/>
  <c r="W57" i="18"/>
  <c r="Z57" i="18" s="1"/>
  <c r="AA57" i="18" s="1"/>
  <c r="AD57" i="18" s="1"/>
  <c r="Z46" i="18"/>
  <c r="AA46" i="18" s="1"/>
  <c r="AD46" i="18" s="1"/>
  <c r="AY83" i="18"/>
  <c r="BB83" i="18" s="1"/>
  <c r="AA77" i="18"/>
  <c r="AD77" i="18" s="1"/>
  <c r="AA44" i="18"/>
  <c r="AD44" i="18" s="1"/>
  <c r="AE28" i="18"/>
  <c r="AH28" i="18" s="1"/>
  <c r="AI28" i="18" s="1"/>
  <c r="AL28" i="18" s="1"/>
  <c r="V89" i="18"/>
  <c r="W89" i="18" s="1"/>
  <c r="Z89" i="18" s="1"/>
  <c r="AA89" i="18" s="1"/>
  <c r="AD89" i="18" s="1"/>
  <c r="AE89" i="18" s="1"/>
  <c r="AH89" i="18" s="1"/>
  <c r="W9" i="18"/>
  <c r="Z9" i="18" s="1"/>
  <c r="AA9" i="18" s="1"/>
  <c r="AD9" i="18" s="1"/>
  <c r="AE9" i="18" s="1"/>
  <c r="AH9" i="18" s="1"/>
  <c r="AQ45" i="18"/>
  <c r="AT45" i="18" s="1"/>
  <c r="AQ27" i="18"/>
  <c r="AT27" i="18" s="1"/>
  <c r="BG16" i="18"/>
  <c r="BG5" i="18"/>
  <c r="BJ5" i="18" s="1"/>
  <c r="BK5" i="18" s="1"/>
  <c r="M5" i="18" s="1"/>
  <c r="J5" i="18" s="1"/>
  <c r="AQ74" i="18"/>
  <c r="E25" i="18"/>
  <c r="R25" i="18" s="1"/>
  <c r="AE34" i="18"/>
  <c r="AH34" i="18" s="1"/>
  <c r="AQ85" i="18"/>
  <c r="AT85" i="18" s="1"/>
  <c r="R2" i="18"/>
  <c r="W31" i="18"/>
  <c r="Z31" i="18" s="1"/>
  <c r="AA31" i="18" s="1"/>
  <c r="AD31" i="18" s="1"/>
  <c r="AI84" i="18"/>
  <c r="AL84" i="18" s="1"/>
  <c r="AQ32" i="18"/>
  <c r="AT32" i="18" s="1"/>
  <c r="AU32" i="18" s="1"/>
  <c r="AX32" i="18" s="1"/>
  <c r="AI24" i="18"/>
  <c r="AY13" i="18"/>
  <c r="BB13" i="18" s="1"/>
  <c r="S15" i="18"/>
  <c r="V15" i="18" s="1"/>
  <c r="AE72" i="18"/>
  <c r="AH72" i="18" s="1"/>
  <c r="AI67" i="18"/>
  <c r="AL67" i="18" s="1"/>
  <c r="AM67" i="18" s="1"/>
  <c r="AP67" i="18" s="1"/>
  <c r="AU49" i="18"/>
  <c r="AX49" i="18" s="1"/>
  <c r="V39" i="18"/>
  <c r="E63" i="18"/>
  <c r="R63" i="18" s="1"/>
  <c r="S63" i="18" s="1"/>
  <c r="V63" i="18" s="1"/>
  <c r="W63" i="18" s="1"/>
  <c r="Z63" i="18" s="1"/>
  <c r="M82" i="18"/>
  <c r="J82" i="18" s="1"/>
  <c r="AD30" i="18"/>
  <c r="W38" i="18"/>
  <c r="Z38" i="18" s="1"/>
  <c r="AE66" i="18"/>
  <c r="AH66" i="18" s="1"/>
  <c r="AI66" i="18" s="1"/>
  <c r="AU64" i="18"/>
  <c r="AX64" i="18" s="1"/>
  <c r="AY64" i="18" s="1"/>
  <c r="BB64" i="18" s="1"/>
  <c r="AE76" i="18"/>
  <c r="AH76" i="18" s="1"/>
  <c r="AI76" i="18" s="1"/>
  <c r="AL76" i="18" s="1"/>
  <c r="AM76" i="18" s="1"/>
  <c r="AP76" i="18" s="1"/>
  <c r="AQ76" i="18" s="1"/>
  <c r="AT76" i="18" s="1"/>
  <c r="AU76" i="18" s="1"/>
  <c r="AX76" i="18" s="1"/>
  <c r="AU19" i="18"/>
  <c r="AX19" i="18" s="1"/>
  <c r="AQ59" i="18"/>
  <c r="AT59" i="18" s="1"/>
  <c r="AI48" i="18"/>
  <c r="S22" i="18"/>
  <c r="V22" i="18" s="1"/>
  <c r="V12" i="18"/>
  <c r="AI90" i="18"/>
  <c r="AL90" i="18" s="1"/>
  <c r="AM90" i="18" s="1"/>
  <c r="AP90" i="18" s="1"/>
  <c r="AQ90" i="18" s="1"/>
  <c r="AT90" i="18" s="1"/>
  <c r="AU90" i="18" s="1"/>
  <c r="AX90" i="18" s="1"/>
  <c r="E87" i="18"/>
  <c r="R87" i="18" s="1"/>
  <c r="S87" i="18" s="1"/>
  <c r="V87" i="18" s="1"/>
  <c r="S42" i="18"/>
  <c r="V42" i="18" s="1"/>
  <c r="AD47" i="18"/>
  <c r="AP23" i="18"/>
  <c r="AD58" i="18"/>
  <c r="W75" i="18"/>
  <c r="Z75" i="18" s="1"/>
  <c r="AA75" i="18" s="1"/>
  <c r="AD75" i="18" s="1"/>
  <c r="AE75" i="18" s="1"/>
  <c r="AH75" i="18" s="1"/>
  <c r="AM11" i="18"/>
  <c r="BK78" i="22"/>
  <c r="M78" i="22" s="1"/>
  <c r="J78" i="22" s="1"/>
  <c r="O80" i="22"/>
  <c r="N80" i="22"/>
  <c r="BG92" i="22"/>
  <c r="AI55" i="18"/>
  <c r="AL55" i="18" s="1"/>
  <c r="M6" i="22"/>
  <c r="J6" i="22" s="1"/>
  <c r="D28" i="15"/>
  <c r="L42" i="32" l="1"/>
  <c r="M8" i="26"/>
  <c r="I8" i="26"/>
  <c r="E8" i="32" s="1"/>
  <c r="Q8" i="32" s="1"/>
  <c r="N8" i="26"/>
  <c r="AK55" i="32"/>
  <c r="AL55" i="32" s="1"/>
  <c r="AO55" i="32" s="1"/>
  <c r="AP55" i="32" s="1"/>
  <c r="AS55" i="32" s="1"/>
  <c r="AT55" i="32" s="1"/>
  <c r="AW55" i="32" s="1"/>
  <c r="AX55" i="32" s="1"/>
  <c r="BA55" i="32" s="1"/>
  <c r="BB55" i="32" s="1"/>
  <c r="BE55" i="32" s="1"/>
  <c r="BF55" i="32" s="1"/>
  <c r="BI55" i="32" s="1"/>
  <c r="BJ55" i="32" s="1"/>
  <c r="BB29" i="32"/>
  <c r="BE29" i="32" s="1"/>
  <c r="BF29" i="32" s="1"/>
  <c r="BI29" i="32" s="1"/>
  <c r="BJ29" i="32" s="1"/>
  <c r="AX85" i="26"/>
  <c r="BA85" i="26"/>
  <c r="BF37" i="26"/>
  <c r="BI37" i="26" s="1"/>
  <c r="BJ37" i="26" s="1"/>
  <c r="L37" i="26" s="1"/>
  <c r="AX35" i="26"/>
  <c r="BA35" i="26" s="1"/>
  <c r="AD61" i="32"/>
  <c r="AG61" i="32" s="1"/>
  <c r="AH61" i="32" s="1"/>
  <c r="AK61" i="32" s="1"/>
  <c r="N6" i="26"/>
  <c r="M6" i="26"/>
  <c r="I6" i="26"/>
  <c r="E6" i="32" s="1"/>
  <c r="Q6" i="32" s="1"/>
  <c r="R6" i="32" s="1"/>
  <c r="U6" i="32" s="1"/>
  <c r="V6" i="32" s="1"/>
  <c r="Y6" i="32" s="1"/>
  <c r="Z6" i="32" s="1"/>
  <c r="AC6" i="32" s="1"/>
  <c r="AD6" i="32" s="1"/>
  <c r="AG6" i="32" s="1"/>
  <c r="AH6" i="32" s="1"/>
  <c r="AK6" i="32" s="1"/>
  <c r="AL6" i="32" s="1"/>
  <c r="AO6" i="32" s="1"/>
  <c r="AP6" i="32" s="1"/>
  <c r="AS6" i="32" s="1"/>
  <c r="AT6" i="32" s="1"/>
  <c r="AW6" i="32" s="1"/>
  <c r="AX6" i="32" s="1"/>
  <c r="BA6" i="32" s="1"/>
  <c r="BB6" i="32" s="1"/>
  <c r="BE6" i="32" s="1"/>
  <c r="BF6" i="32" s="1"/>
  <c r="BI6" i="32" s="1"/>
  <c r="BJ6" i="32" s="1"/>
  <c r="L6" i="32" s="1"/>
  <c r="M18" i="26"/>
  <c r="I18" i="26"/>
  <c r="E18" i="32" s="1"/>
  <c r="Q18" i="32" s="1"/>
  <c r="R18" i="32" s="1"/>
  <c r="U18" i="32" s="1"/>
  <c r="V18" i="32" s="1"/>
  <c r="Y18" i="32" s="1"/>
  <c r="Z18" i="32" s="1"/>
  <c r="AC18" i="32" s="1"/>
  <c r="AD18" i="32" s="1"/>
  <c r="AG18" i="32" s="1"/>
  <c r="AH18" i="32" s="1"/>
  <c r="AK18" i="32" s="1"/>
  <c r="AL18" i="32" s="1"/>
  <c r="AO18" i="32" s="1"/>
  <c r="AP18" i="32" s="1"/>
  <c r="AS18" i="32" s="1"/>
  <c r="AT18" i="32" s="1"/>
  <c r="AW18" i="32" s="1"/>
  <c r="AX18" i="32" s="1"/>
  <c r="BA18" i="32" s="1"/>
  <c r="BB18" i="32" s="1"/>
  <c r="BE18" i="32" s="1"/>
  <c r="BF18" i="32" s="1"/>
  <c r="BI18" i="32" s="1"/>
  <c r="BJ18" i="32" s="1"/>
  <c r="L18" i="32" s="1"/>
  <c r="N18" i="26"/>
  <c r="M13" i="26"/>
  <c r="I13" i="26"/>
  <c r="E13" i="32" s="1"/>
  <c r="Q13" i="32" s="1"/>
  <c r="N13" i="26"/>
  <c r="BB73" i="26"/>
  <c r="BE73" i="26" s="1"/>
  <c r="I76" i="32"/>
  <c r="M76" i="32"/>
  <c r="N76" i="32"/>
  <c r="M75" i="26"/>
  <c r="N75" i="26"/>
  <c r="I75" i="26"/>
  <c r="E75" i="32" s="1"/>
  <c r="Q75" i="32" s="1"/>
  <c r="BB47" i="26"/>
  <c r="AL57" i="26"/>
  <c r="AO57" i="26" s="1"/>
  <c r="AP57" i="26" s="1"/>
  <c r="AS57" i="26" s="1"/>
  <c r="N26" i="26"/>
  <c r="I26" i="26"/>
  <c r="E26" i="32" s="1"/>
  <c r="Q26" i="32" s="1"/>
  <c r="R26" i="32" s="1"/>
  <c r="M26" i="26"/>
  <c r="N80" i="26"/>
  <c r="M80" i="26"/>
  <c r="I80" i="26"/>
  <c r="E80" i="32" s="1"/>
  <c r="Q80" i="32" s="1"/>
  <c r="R80" i="32" s="1"/>
  <c r="U80" i="32" s="1"/>
  <c r="V80" i="32" s="1"/>
  <c r="Y80" i="32" s="1"/>
  <c r="Z80" i="32" s="1"/>
  <c r="AC80" i="32" s="1"/>
  <c r="AD80" i="32" s="1"/>
  <c r="AG80" i="32" s="1"/>
  <c r="AH80" i="32" s="1"/>
  <c r="AK80" i="32" s="1"/>
  <c r="AL80" i="32" s="1"/>
  <c r="AO80" i="32" s="1"/>
  <c r="AP80" i="32" s="1"/>
  <c r="AS80" i="32" s="1"/>
  <c r="AT80" i="32" s="1"/>
  <c r="AW80" i="32" s="1"/>
  <c r="AX80" i="32" s="1"/>
  <c r="BA80" i="32" s="1"/>
  <c r="BB80" i="32" s="1"/>
  <c r="BE80" i="32" s="1"/>
  <c r="BF80" i="32" s="1"/>
  <c r="BI80" i="32" s="1"/>
  <c r="BJ80" i="32" s="1"/>
  <c r="L80" i="32" s="1"/>
  <c r="AG83" i="32"/>
  <c r="AH83" i="32" s="1"/>
  <c r="AK83" i="32" s="1"/>
  <c r="AL83" i="32" s="1"/>
  <c r="AO83" i="32" s="1"/>
  <c r="AP83" i="32" s="1"/>
  <c r="AS83" i="32" s="1"/>
  <c r="M88" i="32"/>
  <c r="N88" i="32"/>
  <c r="I88" i="32"/>
  <c r="M54" i="26"/>
  <c r="N54" i="26"/>
  <c r="I54" i="26"/>
  <c r="E54" i="32" s="1"/>
  <c r="Q54" i="32" s="1"/>
  <c r="AX74" i="26"/>
  <c r="BB56" i="26"/>
  <c r="AH33" i="32"/>
  <c r="AK33" i="32" s="1"/>
  <c r="AL25" i="26"/>
  <c r="N81" i="26"/>
  <c r="M81" i="26"/>
  <c r="I81" i="26"/>
  <c r="E81" i="32" s="1"/>
  <c r="Q81" i="32" s="1"/>
  <c r="R81" i="32" s="1"/>
  <c r="U81" i="32" s="1"/>
  <c r="V81" i="32" s="1"/>
  <c r="Y81" i="32" s="1"/>
  <c r="Z81" i="32" s="1"/>
  <c r="AC81" i="32" s="1"/>
  <c r="AD81" i="32" s="1"/>
  <c r="AG81" i="32" s="1"/>
  <c r="AH81" i="32" s="1"/>
  <c r="AK81" i="32" s="1"/>
  <c r="AL81" i="32" s="1"/>
  <c r="AO81" i="32" s="1"/>
  <c r="AP81" i="32" s="1"/>
  <c r="AS81" i="32" s="1"/>
  <c r="AT81" i="32" s="1"/>
  <c r="AW81" i="32" s="1"/>
  <c r="AX81" i="32" s="1"/>
  <c r="BA81" i="32" s="1"/>
  <c r="BB81" i="32" s="1"/>
  <c r="BE81" i="32" s="1"/>
  <c r="BF81" i="32" s="1"/>
  <c r="BI81" i="32" s="1"/>
  <c r="BJ81" i="32" s="1"/>
  <c r="L81" i="32" s="1"/>
  <c r="AT89" i="26"/>
  <c r="AW89" i="26" s="1"/>
  <c r="AL31" i="32"/>
  <c r="AO31" i="32" s="1"/>
  <c r="AP31" i="32" s="1"/>
  <c r="AS31" i="32" s="1"/>
  <c r="AT31" i="32" s="1"/>
  <c r="AW31" i="32" s="1"/>
  <c r="M16" i="32"/>
  <c r="I16" i="32"/>
  <c r="N16" i="32"/>
  <c r="I42" i="32"/>
  <c r="M42" i="32"/>
  <c r="N42" i="32"/>
  <c r="R62" i="32"/>
  <c r="U62" i="32" s="1"/>
  <c r="V62" i="32" s="1"/>
  <c r="Y62" i="32" s="1"/>
  <c r="Z62" i="32" s="1"/>
  <c r="AC62" i="32" s="1"/>
  <c r="AD62" i="32" s="1"/>
  <c r="AG62" i="32" s="1"/>
  <c r="AP19" i="32"/>
  <c r="AS19" i="32"/>
  <c r="AT19" i="32" s="1"/>
  <c r="AW19" i="32" s="1"/>
  <c r="AX19" i="32" s="1"/>
  <c r="BA19" i="32" s="1"/>
  <c r="BB19" i="32" s="1"/>
  <c r="BE19" i="32" s="1"/>
  <c r="BF19" i="32" s="1"/>
  <c r="BI19" i="32" s="1"/>
  <c r="BJ19" i="32" s="1"/>
  <c r="N66" i="32"/>
  <c r="I66" i="32"/>
  <c r="M66" i="32"/>
  <c r="AL44" i="32"/>
  <c r="AO44" i="32" s="1"/>
  <c r="AP44" i="32" s="1"/>
  <c r="AS44" i="32" s="1"/>
  <c r="AT44" i="32" s="1"/>
  <c r="AW44" i="32" s="1"/>
  <c r="AX44" i="32" s="1"/>
  <c r="BA44" i="32" s="1"/>
  <c r="BB44" i="32" s="1"/>
  <c r="BE44" i="32" s="1"/>
  <c r="BF44" i="32" s="1"/>
  <c r="BI44" i="32" s="1"/>
  <c r="BJ44" i="32" s="1"/>
  <c r="AL20" i="32"/>
  <c r="AO20" i="32" s="1"/>
  <c r="AP20" i="32" s="1"/>
  <c r="AS20" i="32" s="1"/>
  <c r="AT20" i="32" s="1"/>
  <c r="AW20" i="32" s="1"/>
  <c r="AX20" i="32" s="1"/>
  <c r="BA20" i="32" s="1"/>
  <c r="BB20" i="32" s="1"/>
  <c r="BE20" i="32" s="1"/>
  <c r="BF20" i="32" s="1"/>
  <c r="BI20" i="32" s="1"/>
  <c r="BJ20" i="32" s="1"/>
  <c r="I15" i="26"/>
  <c r="E15" i="32" s="1"/>
  <c r="Q15" i="32" s="1"/>
  <c r="R15" i="32" s="1"/>
  <c r="U15" i="32" s="1"/>
  <c r="V15" i="32" s="1"/>
  <c r="Y15" i="32" s="1"/>
  <c r="Z15" i="32" s="1"/>
  <c r="AC15" i="32" s="1"/>
  <c r="AD15" i="32" s="1"/>
  <c r="AG15" i="32" s="1"/>
  <c r="AH15" i="32" s="1"/>
  <c r="AK15" i="32" s="1"/>
  <c r="AL15" i="32" s="1"/>
  <c r="AO15" i="32" s="1"/>
  <c r="AP15" i="32" s="1"/>
  <c r="AS15" i="32" s="1"/>
  <c r="AT15" i="32" s="1"/>
  <c r="AW15" i="32" s="1"/>
  <c r="AX15" i="32" s="1"/>
  <c r="BA15" i="32" s="1"/>
  <c r="BB15" i="32" s="1"/>
  <c r="BE15" i="32" s="1"/>
  <c r="BF15" i="32" s="1"/>
  <c r="BI15" i="32" s="1"/>
  <c r="BJ15" i="32" s="1"/>
  <c r="L15" i="32" s="1"/>
  <c r="M15" i="26"/>
  <c r="N15" i="26"/>
  <c r="BF90" i="26"/>
  <c r="BI90" i="26" s="1"/>
  <c r="BJ90" i="26" s="1"/>
  <c r="L90" i="26" s="1"/>
  <c r="BB21" i="26"/>
  <c r="BE21" i="26" s="1"/>
  <c r="R10" i="32"/>
  <c r="BF82" i="26"/>
  <c r="AT84" i="26"/>
  <c r="AW84" i="26" s="1"/>
  <c r="AX87" i="26"/>
  <c r="BA87" i="26" s="1"/>
  <c r="R46" i="32"/>
  <c r="M77" i="32"/>
  <c r="I77" i="32"/>
  <c r="N77" i="32"/>
  <c r="AP67" i="32"/>
  <c r="AS67" i="32" s="1"/>
  <c r="AT67" i="32" s="1"/>
  <c r="AW67" i="32" s="1"/>
  <c r="AX67" i="32" s="1"/>
  <c r="BA67" i="32" s="1"/>
  <c r="AX11" i="26"/>
  <c r="BA11" i="26"/>
  <c r="L5" i="32"/>
  <c r="AT9" i="26"/>
  <c r="L3" i="32"/>
  <c r="AP59" i="32"/>
  <c r="BE43" i="26"/>
  <c r="N60" i="32"/>
  <c r="M60" i="32"/>
  <c r="I60" i="32"/>
  <c r="V17" i="32"/>
  <c r="Y17" i="32" s="1"/>
  <c r="Z17" i="32" s="1"/>
  <c r="AC17" i="32" s="1"/>
  <c r="AD17" i="32" s="1"/>
  <c r="AG17" i="32" s="1"/>
  <c r="AH17" i="32" s="1"/>
  <c r="AK17" i="32" s="1"/>
  <c r="AL17" i="32" s="1"/>
  <c r="AO17" i="32" s="1"/>
  <c r="AP17" i="32" s="1"/>
  <c r="AS17" i="32" s="1"/>
  <c r="AT17" i="32" s="1"/>
  <c r="AW17" i="32" s="1"/>
  <c r="AX17" i="32" s="1"/>
  <c r="BA17" i="32" s="1"/>
  <c r="BB17" i="32" s="1"/>
  <c r="BE17" i="32" s="1"/>
  <c r="BF17" i="32" s="1"/>
  <c r="BI17" i="32" s="1"/>
  <c r="BJ17" i="32" s="1"/>
  <c r="L17" i="32" s="1"/>
  <c r="I2" i="30"/>
  <c r="L91" i="30"/>
  <c r="N2" i="30"/>
  <c r="N91" i="30" s="1"/>
  <c r="M2" i="30"/>
  <c r="M91" i="30" s="1"/>
  <c r="L12" i="26"/>
  <c r="V24" i="32"/>
  <c r="Y24" i="32"/>
  <c r="Z24" i="32" s="1"/>
  <c r="AC24" i="32" s="1"/>
  <c r="AD24" i="32" s="1"/>
  <c r="AG24" i="32" s="1"/>
  <c r="AH24" i="32" s="1"/>
  <c r="AK24" i="32" s="1"/>
  <c r="AL24" i="32" s="1"/>
  <c r="AO24" i="32" s="1"/>
  <c r="Z49" i="32"/>
  <c r="AC49" i="32" s="1"/>
  <c r="AD49" i="32" s="1"/>
  <c r="AG49" i="32" s="1"/>
  <c r="AH49" i="32" s="1"/>
  <c r="AK49" i="32" s="1"/>
  <c r="AL49" i="32" s="1"/>
  <c r="AO49" i="32" s="1"/>
  <c r="AP49" i="32" s="1"/>
  <c r="AS49" i="32" s="1"/>
  <c r="AT49" i="32" s="1"/>
  <c r="AW49" i="32" s="1"/>
  <c r="AX49" i="32" s="1"/>
  <c r="BA49" i="32" s="1"/>
  <c r="BB49" i="32" s="1"/>
  <c r="BE49" i="32" s="1"/>
  <c r="BF49" i="32" s="1"/>
  <c r="BI49" i="32" s="1"/>
  <c r="BJ49" i="32" s="1"/>
  <c r="R32" i="32"/>
  <c r="L53" i="32"/>
  <c r="U69" i="32"/>
  <c r="V69" i="32" s="1"/>
  <c r="Y69" i="32" s="1"/>
  <c r="Z69" i="32" s="1"/>
  <c r="AC69" i="32" s="1"/>
  <c r="AD69" i="32" s="1"/>
  <c r="AG69" i="32" s="1"/>
  <c r="AH69" i="32" s="1"/>
  <c r="AK69" i="32" s="1"/>
  <c r="R4" i="32"/>
  <c r="U4" i="32" s="1"/>
  <c r="V4" i="32" s="1"/>
  <c r="Y4" i="32" s="1"/>
  <c r="Z4" i="32" s="1"/>
  <c r="AC4" i="32" s="1"/>
  <c r="BF78" i="32"/>
  <c r="BI78" i="32"/>
  <c r="BJ78" i="32" s="1"/>
  <c r="L78" i="32" s="1"/>
  <c r="L63" i="32"/>
  <c r="R71" i="32"/>
  <c r="U71" i="32"/>
  <c r="V71" i="32" s="1"/>
  <c r="Y71" i="32" s="1"/>
  <c r="Z71" i="32" s="1"/>
  <c r="AC71" i="32" s="1"/>
  <c r="AD71" i="32" s="1"/>
  <c r="AG71" i="32" s="1"/>
  <c r="BI48" i="26"/>
  <c r="BJ48" i="26" s="1"/>
  <c r="L48" i="26" s="1"/>
  <c r="R23" i="32"/>
  <c r="U23" i="32" s="1"/>
  <c r="V23" i="32" s="1"/>
  <c r="Y23" i="32" s="1"/>
  <c r="Z23" i="32" s="1"/>
  <c r="AC23" i="32" s="1"/>
  <c r="AD23" i="32" s="1"/>
  <c r="AG23" i="32" s="1"/>
  <c r="AH23" i="32" s="1"/>
  <c r="AK23" i="32" s="1"/>
  <c r="AL23" i="32" s="1"/>
  <c r="AO23" i="32" s="1"/>
  <c r="AP23" i="32" s="1"/>
  <c r="AS23" i="32" s="1"/>
  <c r="AT23" i="32" s="1"/>
  <c r="AW23" i="32" s="1"/>
  <c r="AX23" i="32" s="1"/>
  <c r="BA23" i="32" s="1"/>
  <c r="BB23" i="32" s="1"/>
  <c r="BE23" i="32" s="1"/>
  <c r="BF23" i="32" s="1"/>
  <c r="BI23" i="32" s="1"/>
  <c r="BJ23" i="32" s="1"/>
  <c r="L23" i="32" s="1"/>
  <c r="BI22" i="26"/>
  <c r="BJ22" i="26" s="1"/>
  <c r="L22" i="26" s="1"/>
  <c r="R70" i="32"/>
  <c r="AQ88" i="18"/>
  <c r="AT88" i="18" s="1"/>
  <c r="AU88" i="18" s="1"/>
  <c r="AX88" i="18" s="1"/>
  <c r="S62" i="18"/>
  <c r="V62" i="18" s="1"/>
  <c r="AQ29" i="18"/>
  <c r="AT29" i="18" s="1"/>
  <c r="AM17" i="18"/>
  <c r="AP17" i="18" s="1"/>
  <c r="AQ35" i="18"/>
  <c r="AT35" i="18" s="1"/>
  <c r="BJ16" i="18"/>
  <c r="BK16" i="18" s="1"/>
  <c r="M16" i="18" s="1"/>
  <c r="J16" i="18" s="1"/>
  <c r="W22" i="18"/>
  <c r="Z22" i="18" s="1"/>
  <c r="AI34" i="18"/>
  <c r="AL34" i="18" s="1"/>
  <c r="AU27" i="18"/>
  <c r="AX27" i="18" s="1"/>
  <c r="AE81" i="18"/>
  <c r="AH81" i="18" s="1"/>
  <c r="AU45" i="18"/>
  <c r="AX45" i="18" s="1"/>
  <c r="AE77" i="18"/>
  <c r="AH77" i="18" s="1"/>
  <c r="BG50" i="18"/>
  <c r="BJ50" i="18" s="1"/>
  <c r="BK50" i="18" s="1"/>
  <c r="M50" i="18" s="1"/>
  <c r="J50" i="18" s="1"/>
  <c r="AD36" i="18"/>
  <c r="AE36" i="18" s="1"/>
  <c r="AH36" i="18" s="1"/>
  <c r="AI36" i="18" s="1"/>
  <c r="AL36" i="18" s="1"/>
  <c r="AU59" i="18"/>
  <c r="AX59" i="18" s="1"/>
  <c r="AY59" i="18" s="1"/>
  <c r="AI72" i="18"/>
  <c r="AL72" i="18" s="1"/>
  <c r="BC83" i="18"/>
  <c r="BF83" i="18" s="1"/>
  <c r="AU43" i="18"/>
  <c r="AX43" i="18" s="1"/>
  <c r="AY19" i="18"/>
  <c r="BB19" i="18" s="1"/>
  <c r="AM71" i="18"/>
  <c r="AP71" i="18" s="1"/>
  <c r="AY21" i="18"/>
  <c r="BB21" i="18" s="1"/>
  <c r="BC21" i="18" s="1"/>
  <c r="BF21" i="18" s="1"/>
  <c r="BG21" i="18" s="1"/>
  <c r="BJ21" i="18" s="1"/>
  <c r="BK21" i="18" s="1"/>
  <c r="M21" i="18" s="1"/>
  <c r="J21" i="18" s="1"/>
  <c r="AE79" i="18"/>
  <c r="AH79" i="18" s="1"/>
  <c r="AM8" i="18"/>
  <c r="AP8" i="18" s="1"/>
  <c r="AY56" i="18"/>
  <c r="BB56" i="18" s="1"/>
  <c r="BC64" i="18"/>
  <c r="BF64" i="18" s="1"/>
  <c r="AE31" i="18"/>
  <c r="AH31" i="18" s="1"/>
  <c r="AI86" i="18"/>
  <c r="AL86" i="18" s="1"/>
  <c r="AY76" i="18"/>
  <c r="BB76" i="18" s="1"/>
  <c r="AY90" i="18"/>
  <c r="BB90" i="18" s="1"/>
  <c r="AL66" i="18"/>
  <c r="AM66" i="18" s="1"/>
  <c r="AP66" i="18" s="1"/>
  <c r="AQ66" i="18" s="1"/>
  <c r="AT66" i="18" s="1"/>
  <c r="AU66" i="18" s="1"/>
  <c r="AX66" i="18" s="1"/>
  <c r="AY66" i="18" s="1"/>
  <c r="BB66" i="18" s="1"/>
  <c r="BC66" i="18" s="1"/>
  <c r="BF66" i="18" s="1"/>
  <c r="BG66" i="18" s="1"/>
  <c r="BJ66" i="18" s="1"/>
  <c r="BK66" i="18" s="1"/>
  <c r="AM33" i="18"/>
  <c r="AP33" i="18" s="1"/>
  <c r="AQ33" i="18" s="1"/>
  <c r="AT33" i="18" s="1"/>
  <c r="AU33" i="18" s="1"/>
  <c r="AX33" i="18" s="1"/>
  <c r="AQ60" i="18"/>
  <c r="AT60" i="18" s="1"/>
  <c r="AU60" i="18" s="1"/>
  <c r="AX60" i="18" s="1"/>
  <c r="AU53" i="18"/>
  <c r="AX53" i="18" s="1"/>
  <c r="AU85" i="18"/>
  <c r="AX85" i="18" s="1"/>
  <c r="AY85" i="18" s="1"/>
  <c r="BB85" i="18" s="1"/>
  <c r="AM20" i="18"/>
  <c r="AP20" i="18" s="1"/>
  <c r="AQ20" i="18" s="1"/>
  <c r="AT20" i="18" s="1"/>
  <c r="AI75" i="18"/>
  <c r="W15" i="18"/>
  <c r="Z15" i="18" s="1"/>
  <c r="AI73" i="18"/>
  <c r="AL73" i="18" s="1"/>
  <c r="AM73" i="18" s="1"/>
  <c r="AP73" i="18" s="1"/>
  <c r="AQ73" i="18" s="1"/>
  <c r="AT73" i="18" s="1"/>
  <c r="AU73" i="18" s="1"/>
  <c r="AX73" i="18" s="1"/>
  <c r="AY73" i="18" s="1"/>
  <c r="BB73" i="18" s="1"/>
  <c r="AY4" i="18"/>
  <c r="BB4" i="18" s="1"/>
  <c r="BG37" i="18"/>
  <c r="BJ37" i="18" s="1"/>
  <c r="BK37" i="18" s="1"/>
  <c r="W87" i="18"/>
  <c r="Z87" i="18" s="1"/>
  <c r="W39" i="18"/>
  <c r="Z39" i="18" s="1"/>
  <c r="AE46" i="18"/>
  <c r="AH46" i="18" s="1"/>
  <c r="AE58" i="18"/>
  <c r="AH58" i="18" s="1"/>
  <c r="AI58" i="18" s="1"/>
  <c r="AL58" i="18" s="1"/>
  <c r="AE30" i="18"/>
  <c r="AY49" i="18"/>
  <c r="BB49" i="18" s="1"/>
  <c r="BC49" i="18" s="1"/>
  <c r="BF49" i="18" s="1"/>
  <c r="BC13" i="18"/>
  <c r="AM84" i="18"/>
  <c r="AP84" i="18" s="1"/>
  <c r="AQ84" i="18" s="1"/>
  <c r="AT84" i="18" s="1"/>
  <c r="AU84" i="18" s="1"/>
  <c r="AX84" i="18" s="1"/>
  <c r="O5" i="18"/>
  <c r="N5" i="18"/>
  <c r="AI9" i="18"/>
  <c r="AL9" i="18" s="1"/>
  <c r="AM9" i="18" s="1"/>
  <c r="AP9" i="18" s="1"/>
  <c r="AQ9" i="18" s="1"/>
  <c r="AT9" i="18" s="1"/>
  <c r="AU9" i="18" s="1"/>
  <c r="AX9" i="18" s="1"/>
  <c r="AY9" i="18" s="1"/>
  <c r="BB9" i="18" s="1"/>
  <c r="AE44" i="18"/>
  <c r="AH44" i="18" s="1"/>
  <c r="AE57" i="18"/>
  <c r="AH57" i="18" s="1"/>
  <c r="AQ10" i="18"/>
  <c r="AT10" i="18" s="1"/>
  <c r="AA40" i="18"/>
  <c r="AD40" i="18" s="1"/>
  <c r="AM26" i="18"/>
  <c r="AP26" i="18" s="1"/>
  <c r="AQ26" i="18" s="1"/>
  <c r="AT26" i="18" s="1"/>
  <c r="AU26" i="18" s="1"/>
  <c r="AX26" i="18" s="1"/>
  <c r="AA38" i="18"/>
  <c r="AD38" i="18" s="1"/>
  <c r="S2" i="18"/>
  <c r="AM28" i="18"/>
  <c r="AP28" i="18" s="1"/>
  <c r="AQ28" i="18" s="1"/>
  <c r="AT28" i="18" s="1"/>
  <c r="E80" i="18"/>
  <c r="R80" i="18" s="1"/>
  <c r="S80" i="18" s="1"/>
  <c r="V80" i="18" s="1"/>
  <c r="W80" i="18" s="1"/>
  <c r="Z80" i="18" s="1"/>
  <c r="AA80" i="18" s="1"/>
  <c r="AD80" i="18" s="1"/>
  <c r="AE80" i="18" s="1"/>
  <c r="AH80" i="18" s="1"/>
  <c r="AI80" i="18" s="1"/>
  <c r="AL80" i="18" s="1"/>
  <c r="AM80" i="18" s="1"/>
  <c r="AP80" i="18" s="1"/>
  <c r="AQ23" i="18"/>
  <c r="AT23" i="18" s="1"/>
  <c r="AL48" i="18"/>
  <c r="AE47" i="18"/>
  <c r="AH47" i="18" s="1"/>
  <c r="O82" i="18"/>
  <c r="N82" i="18"/>
  <c r="AQ67" i="18"/>
  <c r="AT67" i="18" s="1"/>
  <c r="AU67" i="18" s="1"/>
  <c r="AX67" i="18" s="1"/>
  <c r="AY67" i="18" s="1"/>
  <c r="BB67" i="18" s="1"/>
  <c r="AM54" i="18"/>
  <c r="AP54" i="18" s="1"/>
  <c r="AM14" i="18"/>
  <c r="AP14" i="18" s="1"/>
  <c r="AE7" i="18"/>
  <c r="AH7" i="18" s="1"/>
  <c r="E78" i="18"/>
  <c r="R78" i="18" s="1"/>
  <c r="AA63" i="18"/>
  <c r="AD63" i="18" s="1"/>
  <c r="AL24" i="18"/>
  <c r="AM24" i="18" s="1"/>
  <c r="AP24" i="18" s="1"/>
  <c r="AI89" i="18"/>
  <c r="AI41" i="18"/>
  <c r="AL41" i="18" s="1"/>
  <c r="W42" i="18"/>
  <c r="Z42" i="18" s="1"/>
  <c r="W12" i="18"/>
  <c r="Z12" i="18" s="1"/>
  <c r="AY32" i="18"/>
  <c r="BB32" i="18" s="1"/>
  <c r="BC32" i="18" s="1"/>
  <c r="BF32" i="18" s="1"/>
  <c r="AI65" i="18"/>
  <c r="AL65" i="18" s="1"/>
  <c r="AE68" i="18"/>
  <c r="AH68" i="18" s="1"/>
  <c r="AI68" i="18" s="1"/>
  <c r="AL68" i="18" s="1"/>
  <c r="BG52" i="18"/>
  <c r="BJ52" i="18" s="1"/>
  <c r="BK52" i="18" s="1"/>
  <c r="M52" i="18" s="1"/>
  <c r="J52" i="18" s="1"/>
  <c r="AI61" i="18"/>
  <c r="AL61" i="18" s="1"/>
  <c r="AM61" i="18" s="1"/>
  <c r="AP61" i="18" s="1"/>
  <c r="O51" i="18"/>
  <c r="N51" i="18"/>
  <c r="AP11" i="18"/>
  <c r="AQ11" i="18" s="1"/>
  <c r="AT11" i="18" s="1"/>
  <c r="AU11" i="18" s="1"/>
  <c r="AX11" i="18" s="1"/>
  <c r="AY11" i="18" s="1"/>
  <c r="BB11" i="18" s="1"/>
  <c r="AT74" i="18"/>
  <c r="AU74" i="18" s="1"/>
  <c r="AX74" i="18" s="1"/>
  <c r="S69" i="18"/>
  <c r="V69" i="18" s="1"/>
  <c r="W69" i="18" s="1"/>
  <c r="Z69" i="18" s="1"/>
  <c r="AA69" i="18" s="1"/>
  <c r="AD69" i="18" s="1"/>
  <c r="AE69" i="18" s="1"/>
  <c r="AH69" i="18" s="1"/>
  <c r="N78" i="22"/>
  <c r="O78" i="22"/>
  <c r="N6" i="22"/>
  <c r="O6" i="22"/>
  <c r="BK70" i="22"/>
  <c r="BJ92" i="22"/>
  <c r="AM55" i="18"/>
  <c r="AP55" i="18" s="1"/>
  <c r="S25" i="18"/>
  <c r="L29" i="32" l="1"/>
  <c r="L55" i="32"/>
  <c r="R8" i="32"/>
  <c r="U8" i="32"/>
  <c r="V8" i="32" s="1"/>
  <c r="Y8" i="32" s="1"/>
  <c r="N48" i="26"/>
  <c r="M48" i="26"/>
  <c r="I48" i="26"/>
  <c r="E48" i="32" s="1"/>
  <c r="Q48" i="32" s="1"/>
  <c r="R48" i="32" s="1"/>
  <c r="U48" i="32" s="1"/>
  <c r="V48" i="32" s="1"/>
  <c r="Y48" i="32" s="1"/>
  <c r="Z48" i="32" s="1"/>
  <c r="AC48" i="32" s="1"/>
  <c r="AD48" i="32" s="1"/>
  <c r="AG48" i="32" s="1"/>
  <c r="AH48" i="32" s="1"/>
  <c r="AK48" i="32" s="1"/>
  <c r="AL48" i="32" s="1"/>
  <c r="AO48" i="32" s="1"/>
  <c r="AP48" i="32" s="1"/>
  <c r="AS48" i="32" s="1"/>
  <c r="AT48" i="32" s="1"/>
  <c r="AW48" i="32" s="1"/>
  <c r="AD4" i="32"/>
  <c r="AG4" i="32" s="1"/>
  <c r="AH4" i="32" s="1"/>
  <c r="AK4" i="32" s="1"/>
  <c r="AL4" i="32" s="1"/>
  <c r="AO4" i="32" s="1"/>
  <c r="BB87" i="26"/>
  <c r="BF21" i="26"/>
  <c r="BI21" i="26" s="1"/>
  <c r="BJ21" i="26" s="1"/>
  <c r="L21" i="26" s="1"/>
  <c r="AX31" i="32"/>
  <c r="BA31" i="32" s="1"/>
  <c r="BB31" i="32" s="1"/>
  <c r="N22" i="26"/>
  <c r="M22" i="26"/>
  <c r="I22" i="26"/>
  <c r="E22" i="32" s="1"/>
  <c r="Q22" i="32" s="1"/>
  <c r="R22" i="32" s="1"/>
  <c r="U22" i="32" s="1"/>
  <c r="M17" i="32"/>
  <c r="I17" i="32"/>
  <c r="N17" i="32"/>
  <c r="AX84" i="26"/>
  <c r="N90" i="26"/>
  <c r="I90" i="26"/>
  <c r="E90" i="32" s="1"/>
  <c r="Q90" i="32" s="1"/>
  <c r="M90" i="26"/>
  <c r="AL33" i="32"/>
  <c r="AO33" i="32" s="1"/>
  <c r="AP33" i="32" s="1"/>
  <c r="AS33" i="32" s="1"/>
  <c r="AT33" i="32" s="1"/>
  <c r="AW33" i="32" s="1"/>
  <c r="AX33" i="32" s="1"/>
  <c r="BA33" i="32" s="1"/>
  <c r="BB33" i="32" s="1"/>
  <c r="BE33" i="32" s="1"/>
  <c r="AT57" i="26"/>
  <c r="AW57" i="26"/>
  <c r="BF73" i="26"/>
  <c r="BI73" i="26"/>
  <c r="BJ73" i="26" s="1"/>
  <c r="L73" i="26" s="1"/>
  <c r="I23" i="32"/>
  <c r="M23" i="32"/>
  <c r="N23" i="32"/>
  <c r="AH71" i="32"/>
  <c r="AK71" i="32"/>
  <c r="M78" i="32"/>
  <c r="N78" i="32"/>
  <c r="I78" i="32"/>
  <c r="AL69" i="32"/>
  <c r="AO69" i="32" s="1"/>
  <c r="AP69" i="32" s="1"/>
  <c r="I53" i="32"/>
  <c r="M53" i="32"/>
  <c r="N53" i="32"/>
  <c r="AP24" i="32"/>
  <c r="AS24" i="32" s="1"/>
  <c r="AT24" i="32" s="1"/>
  <c r="AW24" i="32" s="1"/>
  <c r="AX24" i="32" s="1"/>
  <c r="BA24" i="32" s="1"/>
  <c r="BB24" i="32" s="1"/>
  <c r="BE24" i="32" s="1"/>
  <c r="BF24" i="32" s="1"/>
  <c r="BI24" i="32" s="1"/>
  <c r="BJ24" i="32" s="1"/>
  <c r="M12" i="26"/>
  <c r="N12" i="26"/>
  <c r="I12" i="26"/>
  <c r="E12" i="32" s="1"/>
  <c r="Q12" i="32" s="1"/>
  <c r="R12" i="32" s="1"/>
  <c r="E2" i="26"/>
  <c r="Q2" i="26" s="1"/>
  <c r="I91" i="30"/>
  <c r="BF43" i="26"/>
  <c r="I3" i="32"/>
  <c r="M3" i="32"/>
  <c r="N3" i="32"/>
  <c r="BB11" i="26"/>
  <c r="BE11" i="26" s="1"/>
  <c r="BB67" i="32"/>
  <c r="BE67" i="32"/>
  <c r="AH62" i="32"/>
  <c r="AK62" i="32"/>
  <c r="AL62" i="32" s="1"/>
  <c r="AO62" i="32" s="1"/>
  <c r="AX89" i="26"/>
  <c r="BA89" i="26"/>
  <c r="M81" i="32"/>
  <c r="I81" i="32"/>
  <c r="N81" i="32"/>
  <c r="AT83" i="32"/>
  <c r="AW83" i="32" s="1"/>
  <c r="AX83" i="32" s="1"/>
  <c r="BA83" i="32" s="1"/>
  <c r="R13" i="32"/>
  <c r="AL61" i="32"/>
  <c r="AO61" i="32" s="1"/>
  <c r="AP61" i="32" s="1"/>
  <c r="AS61" i="32" s="1"/>
  <c r="BB35" i="26"/>
  <c r="BE35" i="26" s="1"/>
  <c r="M37" i="26"/>
  <c r="I37" i="26"/>
  <c r="E37" i="32" s="1"/>
  <c r="Q37" i="32" s="1"/>
  <c r="R37" i="32" s="1"/>
  <c r="U37" i="32" s="1"/>
  <c r="V37" i="32" s="1"/>
  <c r="Y37" i="32" s="1"/>
  <c r="Z37" i="32" s="1"/>
  <c r="AC37" i="32" s="1"/>
  <c r="AD37" i="32" s="1"/>
  <c r="AG37" i="32" s="1"/>
  <c r="AH37" i="32" s="1"/>
  <c r="AK37" i="32" s="1"/>
  <c r="AL37" i="32" s="1"/>
  <c r="AO37" i="32" s="1"/>
  <c r="AP37" i="32" s="1"/>
  <c r="AS37" i="32" s="1"/>
  <c r="AT37" i="32" s="1"/>
  <c r="AW37" i="32" s="1"/>
  <c r="AX37" i="32" s="1"/>
  <c r="BA37" i="32" s="1"/>
  <c r="N37" i="26"/>
  <c r="BB85" i="26"/>
  <c r="BE85" i="26" s="1"/>
  <c r="U70" i="32"/>
  <c r="V70" i="32" s="1"/>
  <c r="Y70" i="32" s="1"/>
  <c r="L49" i="32"/>
  <c r="N63" i="32"/>
  <c r="I63" i="32"/>
  <c r="M63" i="32"/>
  <c r="L20" i="32"/>
  <c r="U32" i="32"/>
  <c r="L19" i="32"/>
  <c r="AS59" i="32"/>
  <c r="AW9" i="26"/>
  <c r="N5" i="32"/>
  <c r="I5" i="32"/>
  <c r="M5" i="32"/>
  <c r="U46" i="32"/>
  <c r="V46" i="32" s="1"/>
  <c r="Y46" i="32" s="1"/>
  <c r="Z46" i="32" s="1"/>
  <c r="AC46" i="32" s="1"/>
  <c r="AD46" i="32" s="1"/>
  <c r="AG46" i="32" s="1"/>
  <c r="AH46" i="32" s="1"/>
  <c r="AK46" i="32" s="1"/>
  <c r="AL46" i="32" s="1"/>
  <c r="AO46" i="32" s="1"/>
  <c r="AP46" i="32" s="1"/>
  <c r="AS46" i="32" s="1"/>
  <c r="AT46" i="32" s="1"/>
  <c r="AW46" i="32" s="1"/>
  <c r="AX46" i="32" s="1"/>
  <c r="BA46" i="32" s="1"/>
  <c r="BB46" i="32" s="1"/>
  <c r="BE46" i="32" s="1"/>
  <c r="BF46" i="32" s="1"/>
  <c r="BI46" i="32" s="1"/>
  <c r="BJ46" i="32" s="1"/>
  <c r="BI82" i="26"/>
  <c r="BJ82" i="26" s="1"/>
  <c r="L82" i="26" s="1"/>
  <c r="U10" i="32"/>
  <c r="V10" i="32" s="1"/>
  <c r="Y10" i="32" s="1"/>
  <c r="N15" i="32"/>
  <c r="I15" i="32"/>
  <c r="M15" i="32"/>
  <c r="L44" i="32"/>
  <c r="AO25" i="26"/>
  <c r="BE56" i="26"/>
  <c r="BA74" i="26"/>
  <c r="R54" i="32"/>
  <c r="U54" i="32" s="1"/>
  <c r="V54" i="32" s="1"/>
  <c r="Y54" i="32" s="1"/>
  <c r="Z54" i="32" s="1"/>
  <c r="AC54" i="32" s="1"/>
  <c r="AD54" i="32" s="1"/>
  <c r="AG54" i="32" s="1"/>
  <c r="AH54" i="32" s="1"/>
  <c r="AK54" i="32" s="1"/>
  <c r="AL54" i="32" s="1"/>
  <c r="AO54" i="32" s="1"/>
  <c r="AP54" i="32" s="1"/>
  <c r="AS54" i="32" s="1"/>
  <c r="AT54" i="32" s="1"/>
  <c r="AW54" i="32" s="1"/>
  <c r="AX54" i="32" s="1"/>
  <c r="BA54" i="32" s="1"/>
  <c r="BB54" i="32" s="1"/>
  <c r="BE54" i="32" s="1"/>
  <c r="BF54" i="32" s="1"/>
  <c r="BI54" i="32" s="1"/>
  <c r="BJ54" i="32" s="1"/>
  <c r="L54" i="32" s="1"/>
  <c r="I80" i="32"/>
  <c r="M80" i="32"/>
  <c r="N80" i="32"/>
  <c r="U26" i="32"/>
  <c r="V26" i="32" s="1"/>
  <c r="Y26" i="32" s="1"/>
  <c r="BE47" i="26"/>
  <c r="R75" i="32"/>
  <c r="N18" i="32"/>
  <c r="I18" i="32"/>
  <c r="M18" i="32"/>
  <c r="M6" i="32"/>
  <c r="I6" i="32"/>
  <c r="N6" i="32"/>
  <c r="E6" i="15"/>
  <c r="F3" i="19"/>
  <c r="V2" i="18"/>
  <c r="W2" i="18" s="1"/>
  <c r="Z2" i="18" s="1"/>
  <c r="AA2" i="18" s="1"/>
  <c r="AD2" i="18" s="1"/>
  <c r="AY88" i="18"/>
  <c r="BB88" i="18" s="1"/>
  <c r="BC88" i="18" s="1"/>
  <c r="BF88" i="18" s="1"/>
  <c r="AU35" i="18"/>
  <c r="AX35" i="18" s="1"/>
  <c r="AY35" i="18" s="1"/>
  <c r="AU29" i="18"/>
  <c r="AX29" i="18" s="1"/>
  <c r="W62" i="18"/>
  <c r="Z62" i="18" s="1"/>
  <c r="AQ17" i="18"/>
  <c r="AT17" i="18" s="1"/>
  <c r="N16" i="18"/>
  <c r="O16" i="18"/>
  <c r="M66" i="18"/>
  <c r="AU20" i="18"/>
  <c r="AX20" i="18" s="1"/>
  <c r="AY20" i="18" s="1"/>
  <c r="BB20" i="18" s="1"/>
  <c r="AY45" i="18"/>
  <c r="BB45" i="18" s="1"/>
  <c r="BC85" i="18"/>
  <c r="BF85" i="18" s="1"/>
  <c r="BG83" i="18"/>
  <c r="BJ83" i="18" s="1"/>
  <c r="BK83" i="18" s="1"/>
  <c r="AI77" i="18"/>
  <c r="AL77" i="18" s="1"/>
  <c r="AM77" i="18" s="1"/>
  <c r="AP77" i="18" s="1"/>
  <c r="AQ77" i="18" s="1"/>
  <c r="AT77" i="18" s="1"/>
  <c r="AA39" i="18"/>
  <c r="AD39" i="18" s="1"/>
  <c r="AE39" i="18" s="1"/>
  <c r="AH39" i="18" s="1"/>
  <c r="AI39" i="18" s="1"/>
  <c r="AL39" i="18" s="1"/>
  <c r="AQ71" i="18"/>
  <c r="AT71" i="18" s="1"/>
  <c r="AU71" i="18" s="1"/>
  <c r="AX71" i="18" s="1"/>
  <c r="AY71" i="18" s="1"/>
  <c r="BB71" i="18" s="1"/>
  <c r="AQ61" i="18"/>
  <c r="AT61" i="18" s="1"/>
  <c r="AI44" i="18"/>
  <c r="AL44" i="18" s="1"/>
  <c r="BC90" i="18"/>
  <c r="BF90" i="18" s="1"/>
  <c r="BG90" i="18" s="1"/>
  <c r="BJ90" i="18" s="1"/>
  <c r="BK90" i="18" s="1"/>
  <c r="M90" i="18" s="1"/>
  <c r="J90" i="18" s="1"/>
  <c r="BC19" i="18"/>
  <c r="BF19" i="18" s="1"/>
  <c r="BG19" i="18" s="1"/>
  <c r="BJ19" i="18" s="1"/>
  <c r="BK19" i="18" s="1"/>
  <c r="AY27" i="18"/>
  <c r="AI47" i="18"/>
  <c r="AL47" i="18" s="1"/>
  <c r="BG49" i="18"/>
  <c r="BJ49" i="18" s="1"/>
  <c r="BK49" i="18" s="1"/>
  <c r="M49" i="18" s="1"/>
  <c r="J49" i="18" s="1"/>
  <c r="BB59" i="18"/>
  <c r="AM34" i="18"/>
  <c r="AP34" i="18" s="1"/>
  <c r="AM41" i="18"/>
  <c r="AQ14" i="18"/>
  <c r="AT14" i="18" s="1"/>
  <c r="AU14" i="18" s="1"/>
  <c r="AX14" i="18" s="1"/>
  <c r="AY14" i="18" s="1"/>
  <c r="BB14" i="18" s="1"/>
  <c r="BC14" i="18" s="1"/>
  <c r="BF14" i="18" s="1"/>
  <c r="AY53" i="18"/>
  <c r="BB53" i="18" s="1"/>
  <c r="BC53" i="18" s="1"/>
  <c r="BF53" i="18" s="1"/>
  <c r="AQ8" i="18"/>
  <c r="AT8" i="18" s="1"/>
  <c r="AU8" i="18" s="1"/>
  <c r="AX8" i="18" s="1"/>
  <c r="AY8" i="18" s="1"/>
  <c r="BB8" i="18" s="1"/>
  <c r="AQ54" i="18"/>
  <c r="AT54" i="18" s="1"/>
  <c r="AU54" i="18" s="1"/>
  <c r="AX54" i="18" s="1"/>
  <c r="AU23" i="18"/>
  <c r="AX23" i="18" s="1"/>
  <c r="AY23" i="18" s="1"/>
  <c r="BB23" i="18" s="1"/>
  <c r="AM58" i="18"/>
  <c r="AP58" i="18" s="1"/>
  <c r="AQ58" i="18" s="1"/>
  <c r="AT58" i="18" s="1"/>
  <c r="AU58" i="18" s="1"/>
  <c r="AX58" i="18" s="1"/>
  <c r="AY58" i="18" s="1"/>
  <c r="BB58" i="18" s="1"/>
  <c r="AA15" i="18"/>
  <c r="AY60" i="18"/>
  <c r="BB60" i="18" s="1"/>
  <c r="AM86" i="18"/>
  <c r="AP86" i="18" s="1"/>
  <c r="O50" i="18"/>
  <c r="N50" i="18"/>
  <c r="AI69" i="18"/>
  <c r="AM65" i="18"/>
  <c r="AI7" i="18"/>
  <c r="AL7" i="18" s="1"/>
  <c r="AU28" i="18"/>
  <c r="AX28" i="18" s="1"/>
  <c r="AI57" i="18"/>
  <c r="AL57" i="18" s="1"/>
  <c r="AM57" i="18" s="1"/>
  <c r="AP57" i="18" s="1"/>
  <c r="AQ57" i="18" s="1"/>
  <c r="AT57" i="18" s="1"/>
  <c r="BC56" i="18"/>
  <c r="BF56" i="18" s="1"/>
  <c r="BG56" i="18" s="1"/>
  <c r="BJ56" i="18" s="1"/>
  <c r="BK56" i="18" s="1"/>
  <c r="AM36" i="18"/>
  <c r="AP36" i="18" s="1"/>
  <c r="AA42" i="18"/>
  <c r="AD42" i="18" s="1"/>
  <c r="AE42" i="18" s="1"/>
  <c r="AH42" i="18" s="1"/>
  <c r="AM48" i="18"/>
  <c r="AY74" i="18"/>
  <c r="BB74" i="18" s="1"/>
  <c r="BC74" i="18" s="1"/>
  <c r="BF74" i="18" s="1"/>
  <c r="BG74" i="18" s="1"/>
  <c r="BJ74" i="18" s="1"/>
  <c r="BK74" i="18" s="1"/>
  <c r="M37" i="18"/>
  <c r="J37" i="18" s="1"/>
  <c r="BC76" i="18"/>
  <c r="BF76" i="18" s="1"/>
  <c r="BG76" i="18" s="1"/>
  <c r="BJ76" i="18" s="1"/>
  <c r="BK76" i="18" s="1"/>
  <c r="AI81" i="18"/>
  <c r="AL81" i="18" s="1"/>
  <c r="AM81" i="18" s="1"/>
  <c r="AP81" i="18" s="1"/>
  <c r="AQ81" i="18" s="1"/>
  <c r="AT81" i="18" s="1"/>
  <c r="AU81" i="18" s="1"/>
  <c r="AX81" i="18" s="1"/>
  <c r="AY81" i="18" s="1"/>
  <c r="BB81" i="18" s="1"/>
  <c r="BC81" i="18" s="1"/>
  <c r="BF81" i="18" s="1"/>
  <c r="AQ24" i="18"/>
  <c r="AT24" i="18" s="1"/>
  <c r="AY84" i="18"/>
  <c r="BB84" i="18" s="1"/>
  <c r="AY33" i="18"/>
  <c r="BB33" i="18" s="1"/>
  <c r="E6" i="18"/>
  <c r="AY26" i="18"/>
  <c r="BB26" i="18" s="1"/>
  <c r="BF13" i="18"/>
  <c r="AL75" i="18"/>
  <c r="N52" i="18"/>
  <c r="O52" i="18"/>
  <c r="BG32" i="18"/>
  <c r="BJ32" i="18" s="1"/>
  <c r="BK32" i="18" s="1"/>
  <c r="AE63" i="18"/>
  <c r="AH63" i="18" s="1"/>
  <c r="AI63" i="18" s="1"/>
  <c r="AL63" i="18" s="1"/>
  <c r="AE40" i="18"/>
  <c r="AH40" i="18" s="1"/>
  <c r="BC9" i="18"/>
  <c r="BF9" i="18" s="1"/>
  <c r="BG9" i="18" s="1"/>
  <c r="AA87" i="18"/>
  <c r="AD87" i="18" s="1"/>
  <c r="AE87" i="18" s="1"/>
  <c r="AH87" i="18" s="1"/>
  <c r="AI87" i="18" s="1"/>
  <c r="AL87" i="18" s="1"/>
  <c r="AM87" i="18" s="1"/>
  <c r="AP87" i="18" s="1"/>
  <c r="AQ87" i="18" s="1"/>
  <c r="AT87" i="18" s="1"/>
  <c r="AU87" i="18" s="1"/>
  <c r="AX87" i="18" s="1"/>
  <c r="AY87" i="18" s="1"/>
  <c r="BB87" i="18" s="1"/>
  <c r="BC4" i="18"/>
  <c r="BF4" i="18" s="1"/>
  <c r="AI31" i="18"/>
  <c r="AL31" i="18" s="1"/>
  <c r="AI79" i="18"/>
  <c r="AL79" i="18" s="1"/>
  <c r="AY43" i="18"/>
  <c r="BB43" i="18" s="1"/>
  <c r="BC43" i="18" s="1"/>
  <c r="BF43" i="18" s="1"/>
  <c r="AM72" i="18"/>
  <c r="AP72" i="18" s="1"/>
  <c r="AQ72" i="18" s="1"/>
  <c r="AT72" i="18" s="1"/>
  <c r="AU72" i="18" s="1"/>
  <c r="AX72" i="18" s="1"/>
  <c r="BC11" i="18"/>
  <c r="AQ80" i="18"/>
  <c r="AT80" i="18" s="1"/>
  <c r="AA12" i="18"/>
  <c r="AD12" i="18" s="1"/>
  <c r="AM68" i="18"/>
  <c r="AP68" i="18" s="1"/>
  <c r="AQ68" i="18" s="1"/>
  <c r="AT68" i="18" s="1"/>
  <c r="S78" i="18"/>
  <c r="BC67" i="18"/>
  <c r="AE38" i="18"/>
  <c r="AH38" i="18" s="1"/>
  <c r="AI38" i="18" s="1"/>
  <c r="AL38" i="18" s="1"/>
  <c r="AU10" i="18"/>
  <c r="AI46" i="18"/>
  <c r="AL46" i="18" s="1"/>
  <c r="BC73" i="18"/>
  <c r="BF73" i="18" s="1"/>
  <c r="BG64" i="18"/>
  <c r="BJ64" i="18" s="1"/>
  <c r="BK64" i="18" s="1"/>
  <c r="M64" i="18" s="1"/>
  <c r="J64" i="18" s="1"/>
  <c r="O21" i="18"/>
  <c r="N21" i="18"/>
  <c r="AA22" i="18"/>
  <c r="AD22" i="18" s="1"/>
  <c r="AL89" i="18"/>
  <c r="AH30" i="18"/>
  <c r="V25" i="18"/>
  <c r="W25" i="18" s="1"/>
  <c r="AQ55" i="18"/>
  <c r="AT55" i="18" s="1"/>
  <c r="BK92" i="22"/>
  <c r="M70" i="22"/>
  <c r="J70" i="22" s="1"/>
  <c r="Z8" i="32" l="1"/>
  <c r="AC8" i="32"/>
  <c r="AD8" i="32" s="1"/>
  <c r="AG8" i="32" s="1"/>
  <c r="M55" i="32"/>
  <c r="N55" i="32"/>
  <c r="I55" i="32"/>
  <c r="M29" i="32"/>
  <c r="I29" i="32"/>
  <c r="N29" i="32"/>
  <c r="AT61" i="32"/>
  <c r="AW61" i="32" s="1"/>
  <c r="AX61" i="32" s="1"/>
  <c r="BA61" i="32" s="1"/>
  <c r="BB61" i="32" s="1"/>
  <c r="BE61" i="32" s="1"/>
  <c r="BF61" i="32" s="1"/>
  <c r="BI61" i="32" s="1"/>
  <c r="BJ61" i="32" s="1"/>
  <c r="L61" i="32" s="1"/>
  <c r="BB83" i="32"/>
  <c r="BE83" i="32" s="1"/>
  <c r="BF83" i="32" s="1"/>
  <c r="AS69" i="32"/>
  <c r="M21" i="26"/>
  <c r="I21" i="26"/>
  <c r="E21" i="32" s="1"/>
  <c r="Q21" i="32" s="1"/>
  <c r="R21" i="32" s="1"/>
  <c r="U21" i="32" s="1"/>
  <c r="V21" i="32" s="1"/>
  <c r="Y21" i="32" s="1"/>
  <c r="Z21" i="32" s="1"/>
  <c r="AC21" i="32" s="1"/>
  <c r="AD21" i="32" s="1"/>
  <c r="AG21" i="32" s="1"/>
  <c r="N21" i="26"/>
  <c r="BF35" i="26"/>
  <c r="BE31" i="32"/>
  <c r="BF31" i="32" s="1"/>
  <c r="BI31" i="32" s="1"/>
  <c r="BJ31" i="32" s="1"/>
  <c r="M54" i="32"/>
  <c r="N54" i="32"/>
  <c r="I54" i="32"/>
  <c r="BB74" i="26"/>
  <c r="AP25" i="26"/>
  <c r="N44" i="32"/>
  <c r="I44" i="32"/>
  <c r="M44" i="32"/>
  <c r="Z10" i="32"/>
  <c r="AC10" i="32" s="1"/>
  <c r="AD10" i="32" s="1"/>
  <c r="AG10" i="32" s="1"/>
  <c r="AH10" i="32" s="1"/>
  <c r="AK10" i="32" s="1"/>
  <c r="AL10" i="32" s="1"/>
  <c r="AO10" i="32" s="1"/>
  <c r="AP10" i="32" s="1"/>
  <c r="AS10" i="32" s="1"/>
  <c r="AT10" i="32" s="1"/>
  <c r="AW10" i="32" s="1"/>
  <c r="AX10" i="32" s="1"/>
  <c r="BA10" i="32" s="1"/>
  <c r="BB10" i="32" s="1"/>
  <c r="BE10" i="32" s="1"/>
  <c r="BF10" i="32" s="1"/>
  <c r="BI10" i="32" s="1"/>
  <c r="BJ10" i="32" s="1"/>
  <c r="AT59" i="32"/>
  <c r="AW59" i="32"/>
  <c r="AX59" i="32" s="1"/>
  <c r="BA59" i="32" s="1"/>
  <c r="I19" i="32"/>
  <c r="M19" i="32"/>
  <c r="N19" i="32"/>
  <c r="M20" i="32"/>
  <c r="I20" i="32"/>
  <c r="N20" i="32"/>
  <c r="N49" i="32"/>
  <c r="I49" i="32"/>
  <c r="M49" i="32"/>
  <c r="BF85" i="26"/>
  <c r="BI85" i="26" s="1"/>
  <c r="BJ85" i="26" s="1"/>
  <c r="L85" i="26" s="1"/>
  <c r="BB89" i="26"/>
  <c r="BE89" i="26" s="1"/>
  <c r="AP62" i="32"/>
  <c r="AS62" i="32" s="1"/>
  <c r="AT62" i="32" s="1"/>
  <c r="AW62" i="32" s="1"/>
  <c r="AX62" i="32" s="1"/>
  <c r="BA62" i="32" s="1"/>
  <c r="BB62" i="32" s="1"/>
  <c r="BE62" i="32" s="1"/>
  <c r="BF62" i="32" s="1"/>
  <c r="BI62" i="32" s="1"/>
  <c r="BJ62" i="32" s="1"/>
  <c r="M82" i="26"/>
  <c r="N82" i="26"/>
  <c r="I82" i="26"/>
  <c r="E82" i="32" s="1"/>
  <c r="Q82" i="32" s="1"/>
  <c r="R82" i="32" s="1"/>
  <c r="U82" i="32" s="1"/>
  <c r="V82" i="32" s="1"/>
  <c r="Y82" i="32" s="1"/>
  <c r="Z82" i="32" s="1"/>
  <c r="AC82" i="32" s="1"/>
  <c r="AD82" i="32" s="1"/>
  <c r="AG82" i="32" s="1"/>
  <c r="AH82" i="32" s="1"/>
  <c r="AK82" i="32" s="1"/>
  <c r="AL82" i="32" s="1"/>
  <c r="AO82" i="32" s="1"/>
  <c r="AP82" i="32" s="1"/>
  <c r="AS82" i="32" s="1"/>
  <c r="AT82" i="32" s="1"/>
  <c r="AW82" i="32" s="1"/>
  <c r="AX82" i="32" s="1"/>
  <c r="BA82" i="32" s="1"/>
  <c r="BB82" i="32" s="1"/>
  <c r="BE82" i="32" s="1"/>
  <c r="BF82" i="32" s="1"/>
  <c r="BI82" i="32" s="1"/>
  <c r="BJ82" i="32" s="1"/>
  <c r="L82" i="32" s="1"/>
  <c r="BF67" i="32"/>
  <c r="BI67" i="32" s="1"/>
  <c r="BJ67" i="32" s="1"/>
  <c r="L67" i="32" s="1"/>
  <c r="BF11" i="26"/>
  <c r="Q91" i="26"/>
  <c r="R2" i="26"/>
  <c r="U12" i="32"/>
  <c r="V12" i="32" s="1"/>
  <c r="Y12" i="32" s="1"/>
  <c r="Z12" i="32" s="1"/>
  <c r="AC12" i="32" s="1"/>
  <c r="AD12" i="32" s="1"/>
  <c r="AG12" i="32" s="1"/>
  <c r="AH12" i="32" s="1"/>
  <c r="AK12" i="32" s="1"/>
  <c r="AL12" i="32" s="1"/>
  <c r="AO12" i="32" s="1"/>
  <c r="AP12" i="32" s="1"/>
  <c r="AS12" i="32" s="1"/>
  <c r="AT12" i="32" s="1"/>
  <c r="AW12" i="32" s="1"/>
  <c r="AX12" i="32" s="1"/>
  <c r="BA12" i="32" s="1"/>
  <c r="BB12" i="32" s="1"/>
  <c r="BE12" i="32" s="1"/>
  <c r="BF12" i="32" s="1"/>
  <c r="BI12" i="32" s="1"/>
  <c r="BJ12" i="32" s="1"/>
  <c r="AL71" i="32"/>
  <c r="N73" i="26"/>
  <c r="I73" i="26"/>
  <c r="E73" i="32" s="1"/>
  <c r="Q73" i="32" s="1"/>
  <c r="M73" i="26"/>
  <c r="AX57" i="26"/>
  <c r="BA57" i="26" s="1"/>
  <c r="BF33" i="32"/>
  <c r="BI33" i="32" s="1"/>
  <c r="BJ33" i="32" s="1"/>
  <c r="L33" i="32" s="1"/>
  <c r="V22" i="32"/>
  <c r="Y22" i="32" s="1"/>
  <c r="Z22" i="32" s="1"/>
  <c r="AC22" i="32" s="1"/>
  <c r="AP4" i="32"/>
  <c r="AS4" i="32"/>
  <c r="AT4" i="32" s="1"/>
  <c r="AW4" i="32" s="1"/>
  <c r="U75" i="32"/>
  <c r="V75" i="32" s="1"/>
  <c r="Y75" i="32" s="1"/>
  <c r="Z75" i="32" s="1"/>
  <c r="AC75" i="32" s="1"/>
  <c r="AD75" i="32" s="1"/>
  <c r="AG75" i="32" s="1"/>
  <c r="BF47" i="26"/>
  <c r="Z26" i="32"/>
  <c r="BF56" i="26"/>
  <c r="BI56" i="26" s="1"/>
  <c r="BJ56" i="26" s="1"/>
  <c r="AX9" i="26"/>
  <c r="L24" i="32"/>
  <c r="V32" i="32"/>
  <c r="Z70" i="32"/>
  <c r="AC70" i="32" s="1"/>
  <c r="AD70" i="32" s="1"/>
  <c r="BB37" i="32"/>
  <c r="BE37" i="32" s="1"/>
  <c r="BF37" i="32" s="1"/>
  <c r="BI37" i="32" s="1"/>
  <c r="BJ37" i="32" s="1"/>
  <c r="L37" i="32" s="1"/>
  <c r="U13" i="32"/>
  <c r="L46" i="32"/>
  <c r="BI43" i="26"/>
  <c r="BJ43" i="26" s="1"/>
  <c r="L43" i="26" s="1"/>
  <c r="E91" i="26"/>
  <c r="E91" i="32"/>
  <c r="R90" i="32"/>
  <c r="U90" i="32" s="1"/>
  <c r="BA84" i="26"/>
  <c r="BE87" i="26"/>
  <c r="AX48" i="32"/>
  <c r="BA48" i="32" s="1"/>
  <c r="BB48" i="32" s="1"/>
  <c r="BE48" i="32" s="1"/>
  <c r="BF48" i="32" s="1"/>
  <c r="BI48" i="32" s="1"/>
  <c r="BJ48" i="32" s="1"/>
  <c r="L48" i="32" s="1"/>
  <c r="E55" i="15"/>
  <c r="N66" i="18"/>
  <c r="J66" i="18"/>
  <c r="S3" i="19"/>
  <c r="T3" i="19" s="1"/>
  <c r="W3" i="19" s="1"/>
  <c r="X3" i="19" s="1"/>
  <c r="AA3" i="19" s="1"/>
  <c r="AB3" i="19" s="1"/>
  <c r="AE3" i="19" s="1"/>
  <c r="AF3" i="19" s="1"/>
  <c r="N3" i="19" s="1"/>
  <c r="K3" i="19" s="1"/>
  <c r="F52" i="19"/>
  <c r="AA62" i="18"/>
  <c r="AD62" i="18" s="1"/>
  <c r="AY29" i="18"/>
  <c r="BB29" i="18" s="1"/>
  <c r="BB35" i="18"/>
  <c r="BG88" i="18"/>
  <c r="BJ88" i="18" s="1"/>
  <c r="BK88" i="18" s="1"/>
  <c r="M88" i="18" s="1"/>
  <c r="J88" i="18" s="1"/>
  <c r="AU17" i="18"/>
  <c r="AX17" i="18" s="1"/>
  <c r="M56" i="18"/>
  <c r="O66" i="18"/>
  <c r="M32" i="18"/>
  <c r="BG14" i="18"/>
  <c r="BJ14" i="18" s="1"/>
  <c r="BK14" i="18" s="1"/>
  <c r="M14" i="18" s="1"/>
  <c r="J14" i="18" s="1"/>
  <c r="BG85" i="18"/>
  <c r="BJ85" i="18" s="1"/>
  <c r="BK85" i="18" s="1"/>
  <c r="M85" i="18" s="1"/>
  <c r="J85" i="18" s="1"/>
  <c r="AE22" i="18"/>
  <c r="AH22" i="18" s="1"/>
  <c r="AI22" i="18" s="1"/>
  <c r="AL22" i="18" s="1"/>
  <c r="AM22" i="18" s="1"/>
  <c r="AP22" i="18" s="1"/>
  <c r="BG43" i="18"/>
  <c r="BJ43" i="18" s="1"/>
  <c r="BK43" i="18" s="1"/>
  <c r="M43" i="18" s="1"/>
  <c r="J43" i="18" s="1"/>
  <c r="AU80" i="18"/>
  <c r="AX80" i="18" s="1"/>
  <c r="BC23" i="18"/>
  <c r="BF23" i="18" s="1"/>
  <c r="BC26" i="18"/>
  <c r="BF26" i="18" s="1"/>
  <c r="BG26" i="18" s="1"/>
  <c r="BJ26" i="18" s="1"/>
  <c r="BK26" i="18" s="1"/>
  <c r="BC87" i="18"/>
  <c r="BF87" i="18" s="1"/>
  <c r="BG81" i="18"/>
  <c r="BJ81" i="18" s="1"/>
  <c r="BK81" i="18" s="1"/>
  <c r="M81" i="18" s="1"/>
  <c r="J81" i="18" s="1"/>
  <c r="AY28" i="18"/>
  <c r="BB28" i="18" s="1"/>
  <c r="AY54" i="18"/>
  <c r="BB54" i="18" s="1"/>
  <c r="BJ9" i="18"/>
  <c r="BK9" i="18" s="1"/>
  <c r="M9" i="18" s="1"/>
  <c r="J9" i="18" s="1"/>
  <c r="N90" i="18"/>
  <c r="O90" i="18"/>
  <c r="AU57" i="18"/>
  <c r="AX57" i="18" s="1"/>
  <c r="AY57" i="18" s="1"/>
  <c r="BB57" i="18" s="1"/>
  <c r="BF67" i="18"/>
  <c r="BG67" i="18" s="1"/>
  <c r="BJ67" i="18" s="1"/>
  <c r="BK67" i="18" s="1"/>
  <c r="BF11" i="18"/>
  <c r="BG11" i="18" s="1"/>
  <c r="BJ11" i="18" s="1"/>
  <c r="BK11" i="18" s="1"/>
  <c r="AL69" i="18"/>
  <c r="AP41" i="18"/>
  <c r="AQ41" i="18" s="1"/>
  <c r="AT41" i="18" s="1"/>
  <c r="AY72" i="18"/>
  <c r="BB72" i="18" s="1"/>
  <c r="BC72" i="18" s="1"/>
  <c r="BF72" i="18" s="1"/>
  <c r="BG72" i="18" s="1"/>
  <c r="BJ72" i="18" s="1"/>
  <c r="BK72" i="18" s="1"/>
  <c r="M72" i="18" s="1"/>
  <c r="J72" i="18" s="1"/>
  <c r="BC84" i="18"/>
  <c r="BF84" i="18" s="1"/>
  <c r="AI42" i="18"/>
  <c r="AL42" i="18" s="1"/>
  <c r="AM42" i="18" s="1"/>
  <c r="AP42" i="18" s="1"/>
  <c r="AM47" i="18"/>
  <c r="AM44" i="18"/>
  <c r="AP44" i="18" s="1"/>
  <c r="BC60" i="18"/>
  <c r="BF60" i="18" s="1"/>
  <c r="AE12" i="18"/>
  <c r="AI40" i="18"/>
  <c r="AL40" i="18" s="1"/>
  <c r="AD15" i="18"/>
  <c r="AE15" i="18" s="1"/>
  <c r="AH15" i="18" s="1"/>
  <c r="AI15" i="18" s="1"/>
  <c r="AL15" i="18" s="1"/>
  <c r="BC8" i="18"/>
  <c r="BF8" i="18" s="1"/>
  <c r="BG8" i="18" s="1"/>
  <c r="BC45" i="18"/>
  <c r="BF45" i="18" s="1"/>
  <c r="AM39" i="18"/>
  <c r="AP39" i="18" s="1"/>
  <c r="AX10" i="18"/>
  <c r="AY10" i="18" s="1"/>
  <c r="BB10" i="18" s="1"/>
  <c r="BC10" i="18" s="1"/>
  <c r="BF10" i="18" s="1"/>
  <c r="BG10" i="18" s="1"/>
  <c r="BJ10" i="18" s="1"/>
  <c r="BK10" i="18" s="1"/>
  <c r="V78" i="18"/>
  <c r="AE2" i="18"/>
  <c r="AH2" i="18" s="1"/>
  <c r="AI2" i="18" s="1"/>
  <c r="AL2" i="18" s="1"/>
  <c r="M76" i="18"/>
  <c r="J76" i="18" s="1"/>
  <c r="M74" i="18"/>
  <c r="J74" i="18" s="1"/>
  <c r="AQ36" i="18"/>
  <c r="AM7" i="18"/>
  <c r="AP7" i="18" s="1"/>
  <c r="AQ7" i="18" s="1"/>
  <c r="AT7" i="18" s="1"/>
  <c r="BC58" i="18"/>
  <c r="BF58" i="18" s="1"/>
  <c r="AQ34" i="18"/>
  <c r="AT34" i="18" s="1"/>
  <c r="AU61" i="18"/>
  <c r="AX61" i="18" s="1"/>
  <c r="AU77" i="18"/>
  <c r="AX77" i="18" s="1"/>
  <c r="AM46" i="18"/>
  <c r="AI30" i="18"/>
  <c r="AL30" i="18" s="1"/>
  <c r="BG4" i="18"/>
  <c r="BJ4" i="18" s="1"/>
  <c r="BK4" i="18" s="1"/>
  <c r="AM75" i="18"/>
  <c r="AP75" i="18" s="1"/>
  <c r="R6" i="18"/>
  <c r="BG53" i="18"/>
  <c r="BJ53" i="18" s="1"/>
  <c r="BK53" i="18" s="1"/>
  <c r="M53" i="18" s="1"/>
  <c r="J53" i="18" s="1"/>
  <c r="BB27" i="18"/>
  <c r="BC27" i="18" s="1"/>
  <c r="BF27" i="18" s="1"/>
  <c r="BG27" i="18" s="1"/>
  <c r="BJ27" i="18" s="1"/>
  <c r="BK27" i="18" s="1"/>
  <c r="BC33" i="18"/>
  <c r="BF33" i="18" s="1"/>
  <c r="BG33" i="18" s="1"/>
  <c r="BJ33" i="18" s="1"/>
  <c r="BK33" i="18" s="1"/>
  <c r="O49" i="18"/>
  <c r="N49" i="18"/>
  <c r="O64" i="18"/>
  <c r="N64" i="18"/>
  <c r="AM38" i="18"/>
  <c r="AP38" i="18" s="1"/>
  <c r="AQ38" i="18" s="1"/>
  <c r="AT38" i="18" s="1"/>
  <c r="AU68" i="18"/>
  <c r="AX68" i="18" s="1"/>
  <c r="AM79" i="18"/>
  <c r="AP79" i="18" s="1"/>
  <c r="AQ79" i="18" s="1"/>
  <c r="AT79" i="18" s="1"/>
  <c r="AU79" i="18" s="1"/>
  <c r="AX79" i="18" s="1"/>
  <c r="AY79" i="18" s="1"/>
  <c r="BB79" i="18" s="1"/>
  <c r="BC79" i="18" s="1"/>
  <c r="BF79" i="18" s="1"/>
  <c r="BG79" i="18" s="1"/>
  <c r="BJ79" i="18" s="1"/>
  <c r="BK79" i="18" s="1"/>
  <c r="AM63" i="18"/>
  <c r="AP63" i="18" s="1"/>
  <c r="AQ63" i="18" s="1"/>
  <c r="AT63" i="18" s="1"/>
  <c r="AU63" i="18" s="1"/>
  <c r="AX63" i="18" s="1"/>
  <c r="AY63" i="18" s="1"/>
  <c r="BB63" i="18" s="1"/>
  <c r="AU24" i="18"/>
  <c r="AX24" i="18" s="1"/>
  <c r="AQ86" i="18"/>
  <c r="AT86" i="18" s="1"/>
  <c r="BC71" i="18"/>
  <c r="BF71" i="18" s="1"/>
  <c r="BC20" i="18"/>
  <c r="BF20" i="18" s="1"/>
  <c r="BG73" i="18"/>
  <c r="BJ73" i="18" s="1"/>
  <c r="BK73" i="18" s="1"/>
  <c r="M73" i="18" s="1"/>
  <c r="J73" i="18" s="1"/>
  <c r="AM31" i="18"/>
  <c r="AP31" i="18" s="1"/>
  <c r="AQ31" i="18" s="1"/>
  <c r="BG13" i="18"/>
  <c r="BJ13" i="18" s="1"/>
  <c r="BK13" i="18" s="1"/>
  <c r="AM89" i="18"/>
  <c r="M83" i="18"/>
  <c r="J83" i="18" s="1"/>
  <c r="O37" i="18"/>
  <c r="N37" i="18"/>
  <c r="AP48" i="18"/>
  <c r="AP65" i="18"/>
  <c r="BC59" i="18"/>
  <c r="BF59" i="18" s="1"/>
  <c r="BG59" i="18" s="1"/>
  <c r="BJ59" i="18" s="1"/>
  <c r="BK59" i="18" s="1"/>
  <c r="M19" i="18"/>
  <c r="J19" i="18" s="1"/>
  <c r="Z25" i="18"/>
  <c r="AA25" i="18" s="1"/>
  <c r="AU55" i="18"/>
  <c r="AX55" i="18" s="1"/>
  <c r="N70" i="22"/>
  <c r="N92" i="22" s="1"/>
  <c r="O70" i="22"/>
  <c r="O92" i="22" s="1"/>
  <c r="E70" i="18"/>
  <c r="R70" i="18" s="1"/>
  <c r="S70" i="18" s="1"/>
  <c r="V70" i="18" s="1"/>
  <c r="M92" i="22"/>
  <c r="AH8" i="32" l="1"/>
  <c r="AK8" i="32" s="1"/>
  <c r="AL8" i="32" s="1"/>
  <c r="AO8" i="32" s="1"/>
  <c r="AP8" i="32" s="1"/>
  <c r="AS8" i="32" s="1"/>
  <c r="M48" i="32"/>
  <c r="I48" i="32"/>
  <c r="N48" i="32"/>
  <c r="AG70" i="32"/>
  <c r="AH70" i="32" s="1"/>
  <c r="AK70" i="32" s="1"/>
  <c r="AL70" i="32" s="1"/>
  <c r="AO70" i="32" s="1"/>
  <c r="BI83" i="32"/>
  <c r="BJ83" i="32" s="1"/>
  <c r="L83" i="32" s="1"/>
  <c r="AD22" i="32"/>
  <c r="AG22" i="32" s="1"/>
  <c r="I67" i="32"/>
  <c r="M67" i="32"/>
  <c r="N67" i="32"/>
  <c r="I85" i="26"/>
  <c r="E85" i="32" s="1"/>
  <c r="Q85" i="32" s="1"/>
  <c r="R85" i="32" s="1"/>
  <c r="U85" i="32" s="1"/>
  <c r="V85" i="32" s="1"/>
  <c r="Y85" i="32" s="1"/>
  <c r="N85" i="26"/>
  <c r="M85" i="26"/>
  <c r="BF87" i="26"/>
  <c r="V90" i="32"/>
  <c r="Y90" i="32" s="1"/>
  <c r="N46" i="32"/>
  <c r="I46" i="32"/>
  <c r="M46" i="32"/>
  <c r="N37" i="32"/>
  <c r="I37" i="32"/>
  <c r="M37" i="32"/>
  <c r="M24" i="32"/>
  <c r="I24" i="32"/>
  <c r="N24" i="32"/>
  <c r="AX4" i="32"/>
  <c r="BA4" i="32" s="1"/>
  <c r="BB4" i="32" s="1"/>
  <c r="BE4" i="32" s="1"/>
  <c r="I33" i="32"/>
  <c r="N33" i="32"/>
  <c r="M33" i="32"/>
  <c r="BB57" i="26"/>
  <c r="BE57" i="26" s="1"/>
  <c r="R91" i="26"/>
  <c r="N43" i="26"/>
  <c r="M43" i="26"/>
  <c r="I43" i="26"/>
  <c r="E43" i="32" s="1"/>
  <c r="Q43" i="32" s="1"/>
  <c r="R43" i="32" s="1"/>
  <c r="U43" i="32" s="1"/>
  <c r="V43" i="32" s="1"/>
  <c r="Y43" i="32" s="1"/>
  <c r="Z43" i="32" s="1"/>
  <c r="AC43" i="32" s="1"/>
  <c r="BF89" i="26"/>
  <c r="BI89" i="26" s="1"/>
  <c r="BJ89" i="26" s="1"/>
  <c r="BB59" i="32"/>
  <c r="AH21" i="32"/>
  <c r="AK21" i="32" s="1"/>
  <c r="AL21" i="32" s="1"/>
  <c r="AO21" i="32" s="1"/>
  <c r="AP21" i="32" s="1"/>
  <c r="AS21" i="32" s="1"/>
  <c r="AT21" i="32" s="1"/>
  <c r="AW21" i="32" s="1"/>
  <c r="AX21" i="32" s="1"/>
  <c r="BA21" i="32" s="1"/>
  <c r="BB21" i="32" s="1"/>
  <c r="BE21" i="32" s="1"/>
  <c r="BF21" i="32" s="1"/>
  <c r="BI21" i="32" s="1"/>
  <c r="BJ21" i="32" s="1"/>
  <c r="L21" i="32" s="1"/>
  <c r="M61" i="32"/>
  <c r="I61" i="32"/>
  <c r="N61" i="32"/>
  <c r="BB84" i="26"/>
  <c r="BE84" i="26" s="1"/>
  <c r="L10" i="32"/>
  <c r="V13" i="32"/>
  <c r="Y13" i="32" s="1"/>
  <c r="Y32" i="32"/>
  <c r="Z32" i="32" s="1"/>
  <c r="AC32" i="32" s="1"/>
  <c r="BA9" i="26"/>
  <c r="L62" i="32"/>
  <c r="L56" i="26"/>
  <c r="AC26" i="32"/>
  <c r="AD26" i="32" s="1"/>
  <c r="AG26" i="32" s="1"/>
  <c r="AH26" i="32" s="1"/>
  <c r="AK26" i="32" s="1"/>
  <c r="AL26" i="32" s="1"/>
  <c r="AO26" i="32" s="1"/>
  <c r="AP26" i="32" s="1"/>
  <c r="AS26" i="32" s="1"/>
  <c r="AT26" i="32" s="1"/>
  <c r="AW26" i="32" s="1"/>
  <c r="AX26" i="32" s="1"/>
  <c r="BA26" i="32" s="1"/>
  <c r="BB26" i="32" s="1"/>
  <c r="BE26" i="32" s="1"/>
  <c r="BF26" i="32" s="1"/>
  <c r="BI26" i="32" s="1"/>
  <c r="BJ26" i="32" s="1"/>
  <c r="BI47" i="26"/>
  <c r="BJ47" i="26" s="1"/>
  <c r="L47" i="26" s="1"/>
  <c r="AH75" i="32"/>
  <c r="AK75" i="32" s="1"/>
  <c r="AL75" i="32" s="1"/>
  <c r="AO75" i="32" s="1"/>
  <c r="AP75" i="32" s="1"/>
  <c r="AS75" i="32" s="1"/>
  <c r="AT75" i="32" s="1"/>
  <c r="AW75" i="32" s="1"/>
  <c r="AX75" i="32" s="1"/>
  <c r="BA75" i="32" s="1"/>
  <c r="BB75" i="32" s="1"/>
  <c r="BE75" i="32" s="1"/>
  <c r="BF75" i="32" s="1"/>
  <c r="BI75" i="32" s="1"/>
  <c r="BJ75" i="32" s="1"/>
  <c r="R73" i="32"/>
  <c r="AO71" i="32"/>
  <c r="AP71" i="32" s="1"/>
  <c r="AS71" i="32" s="1"/>
  <c r="AT71" i="32" s="1"/>
  <c r="AW71" i="32" s="1"/>
  <c r="AX71" i="32" s="1"/>
  <c r="BA71" i="32" s="1"/>
  <c r="BB71" i="32" s="1"/>
  <c r="BE71" i="32" s="1"/>
  <c r="BF71" i="32" s="1"/>
  <c r="BI71" i="32" s="1"/>
  <c r="BJ71" i="32" s="1"/>
  <c r="L12" i="32"/>
  <c r="U2" i="26"/>
  <c r="BI11" i="26"/>
  <c r="BJ11" i="26" s="1"/>
  <c r="L11" i="26" s="1"/>
  <c r="N82" i="32"/>
  <c r="M82" i="32"/>
  <c r="I82" i="32"/>
  <c r="AS25" i="26"/>
  <c r="BE74" i="26"/>
  <c r="L31" i="32"/>
  <c r="BI35" i="26"/>
  <c r="BJ35" i="26" s="1"/>
  <c r="L35" i="26" s="1"/>
  <c r="AT69" i="32"/>
  <c r="S52" i="19"/>
  <c r="T52" i="19" s="1"/>
  <c r="O32" i="18"/>
  <c r="J32" i="18"/>
  <c r="N56" i="18"/>
  <c r="J56" i="18"/>
  <c r="P3" i="19"/>
  <c r="O3" i="19"/>
  <c r="B16" i="24"/>
  <c r="AE62" i="18"/>
  <c r="AH62" i="18" s="1"/>
  <c r="AI62" i="18" s="1"/>
  <c r="AL62" i="18" s="1"/>
  <c r="N88" i="18"/>
  <c r="O88" i="18"/>
  <c r="AY17" i="18"/>
  <c r="BB17" i="18" s="1"/>
  <c r="BC17" i="18" s="1"/>
  <c r="BF17" i="18" s="1"/>
  <c r="BC35" i="18"/>
  <c r="BC29" i="18"/>
  <c r="BF29" i="18" s="1"/>
  <c r="BG29" i="18" s="1"/>
  <c r="BJ29" i="18" s="1"/>
  <c r="BK29" i="18" s="1"/>
  <c r="O56" i="18"/>
  <c r="N32" i="18"/>
  <c r="BJ8" i="18"/>
  <c r="BK8" i="18" s="1"/>
  <c r="M8" i="18" s="1"/>
  <c r="J8" i="18" s="1"/>
  <c r="M79" i="18"/>
  <c r="E91" i="18"/>
  <c r="AY68" i="18"/>
  <c r="BB68" i="18" s="1"/>
  <c r="AU86" i="18"/>
  <c r="AX86" i="18" s="1"/>
  <c r="AU38" i="18"/>
  <c r="AX38" i="18" s="1"/>
  <c r="AY38" i="18" s="1"/>
  <c r="BB38" i="18" s="1"/>
  <c r="AT31" i="18"/>
  <c r="N43" i="18"/>
  <c r="O43" i="18"/>
  <c r="BG45" i="18"/>
  <c r="BJ45" i="18" s="1"/>
  <c r="BK45" i="18" s="1"/>
  <c r="M45" i="18" s="1"/>
  <c r="J45" i="18" s="1"/>
  <c r="AU34" i="18"/>
  <c r="AX34" i="18" s="1"/>
  <c r="O85" i="18"/>
  <c r="N85" i="18"/>
  <c r="AM15" i="18"/>
  <c r="AP15" i="18" s="1"/>
  <c r="AQ15" i="18" s="1"/>
  <c r="AT15" i="18" s="1"/>
  <c r="AU15" i="18" s="1"/>
  <c r="AX15" i="18" s="1"/>
  <c r="AY15" i="18" s="1"/>
  <c r="BB15" i="18" s="1"/>
  <c r="AU41" i="18"/>
  <c r="AX41" i="18" s="1"/>
  <c r="BC54" i="18"/>
  <c r="BF54" i="18" s="1"/>
  <c r="BG54" i="18" s="1"/>
  <c r="BJ54" i="18" s="1"/>
  <c r="BK54" i="18" s="1"/>
  <c r="M54" i="18" s="1"/>
  <c r="J54" i="18" s="1"/>
  <c r="AY80" i="18"/>
  <c r="BB80" i="18" s="1"/>
  <c r="BC80" i="18" s="1"/>
  <c r="BF80" i="18" s="1"/>
  <c r="BG80" i="18" s="1"/>
  <c r="BJ80" i="18" s="1"/>
  <c r="BK80" i="18" s="1"/>
  <c r="M80" i="18" s="1"/>
  <c r="J80" i="18" s="1"/>
  <c r="AQ48" i="18"/>
  <c r="AT48" i="18" s="1"/>
  <c r="AU48" i="18" s="1"/>
  <c r="AX48" i="18" s="1"/>
  <c r="S6" i="18"/>
  <c r="R91" i="18"/>
  <c r="AP46" i="18"/>
  <c r="N74" i="18"/>
  <c r="O74" i="18"/>
  <c r="AM69" i="18"/>
  <c r="AP69" i="18" s="1"/>
  <c r="M26" i="18"/>
  <c r="J26" i="18" s="1"/>
  <c r="N76" i="18"/>
  <c r="O76" i="18"/>
  <c r="N14" i="18"/>
  <c r="F64" i="19"/>
  <c r="O14" i="18"/>
  <c r="AQ65" i="18"/>
  <c r="BG60" i="18"/>
  <c r="BJ60" i="18" s="1"/>
  <c r="BK60" i="18" s="1"/>
  <c r="M60" i="18" s="1"/>
  <c r="J60" i="18" s="1"/>
  <c r="M13" i="18"/>
  <c r="J13" i="18" s="1"/>
  <c r="AY77" i="18"/>
  <c r="BB77" i="18" s="1"/>
  <c r="BG58" i="18"/>
  <c r="BJ58" i="18" s="1"/>
  <c r="BK58" i="18" s="1"/>
  <c r="AM2" i="18"/>
  <c r="BC28" i="18"/>
  <c r="BG84" i="18"/>
  <c r="M33" i="18"/>
  <c r="J33" i="18" s="1"/>
  <c r="N81" i="18"/>
  <c r="O81" i="18"/>
  <c r="BG20" i="18"/>
  <c r="BJ20" i="18" s="1"/>
  <c r="BK20" i="18" s="1"/>
  <c r="M20" i="18" s="1"/>
  <c r="J20" i="18" s="1"/>
  <c r="F66" i="19"/>
  <c r="O19" i="18"/>
  <c r="N19" i="18"/>
  <c r="N83" i="18"/>
  <c r="O83" i="18"/>
  <c r="F90" i="19"/>
  <c r="M4" i="18"/>
  <c r="J4" i="18" s="1"/>
  <c r="AY61" i="18"/>
  <c r="BB61" i="18" s="1"/>
  <c r="BC61" i="18" s="1"/>
  <c r="BF61" i="18" s="1"/>
  <c r="AU7" i="18"/>
  <c r="AX7" i="18" s="1"/>
  <c r="W78" i="18"/>
  <c r="Z78" i="18" s="1"/>
  <c r="AM40" i="18"/>
  <c r="AP40" i="18" s="1"/>
  <c r="AQ44" i="18"/>
  <c r="AT44" i="18" s="1"/>
  <c r="N9" i="18"/>
  <c r="O9" i="18"/>
  <c r="BG71" i="18"/>
  <c r="BJ71" i="18" s="1"/>
  <c r="BK71" i="18" s="1"/>
  <c r="M71" i="18" s="1"/>
  <c r="J71" i="18" s="1"/>
  <c r="AQ75" i="18"/>
  <c r="AT75" i="18" s="1"/>
  <c r="AQ39" i="18"/>
  <c r="AT39" i="18" s="1"/>
  <c r="AQ42" i="18"/>
  <c r="AT42" i="18" s="1"/>
  <c r="AU42" i="18" s="1"/>
  <c r="AX42" i="18" s="1"/>
  <c r="AY42" i="18" s="1"/>
  <c r="BB42" i="18" s="1"/>
  <c r="BC42" i="18" s="1"/>
  <c r="BF42" i="18" s="1"/>
  <c r="BG23" i="18"/>
  <c r="BJ23" i="18" s="1"/>
  <c r="BK23" i="18" s="1"/>
  <c r="W70" i="18"/>
  <c r="Z70" i="18" s="1"/>
  <c r="O73" i="18"/>
  <c r="N73" i="18"/>
  <c r="AY24" i="18"/>
  <c r="BB24" i="18" s="1"/>
  <c r="AM30" i="18"/>
  <c r="N72" i="18"/>
  <c r="O72" i="18"/>
  <c r="BC57" i="18"/>
  <c r="BF57" i="18" s="1"/>
  <c r="BG57" i="18" s="1"/>
  <c r="BJ57" i="18" s="1"/>
  <c r="BK57" i="18" s="1"/>
  <c r="BG87" i="18"/>
  <c r="BJ87" i="18" s="1"/>
  <c r="BK87" i="18" s="1"/>
  <c r="M87" i="18" s="1"/>
  <c r="J87" i="18" s="1"/>
  <c r="AQ22" i="18"/>
  <c r="AT22" i="18" s="1"/>
  <c r="AU22" i="18" s="1"/>
  <c r="AX22" i="18" s="1"/>
  <c r="M11" i="18"/>
  <c r="J11" i="18" s="1"/>
  <c r="BC63" i="18"/>
  <c r="BF63" i="18" s="1"/>
  <c r="N53" i="18"/>
  <c r="O53" i="18"/>
  <c r="M59" i="18"/>
  <c r="J59" i="18" s="1"/>
  <c r="AP89" i="18"/>
  <c r="M27" i="18"/>
  <c r="J27" i="18" s="1"/>
  <c r="AT36" i="18"/>
  <c r="AU36" i="18" s="1"/>
  <c r="AX36" i="18" s="1"/>
  <c r="AY36" i="18" s="1"/>
  <c r="BB36" i="18" s="1"/>
  <c r="BC36" i="18" s="1"/>
  <c r="BF36" i="18" s="1"/>
  <c r="AH12" i="18"/>
  <c r="AI12" i="18" s="1"/>
  <c r="AL12" i="18" s="1"/>
  <c r="AP47" i="18"/>
  <c r="AQ47" i="18" s="1"/>
  <c r="AT47" i="18" s="1"/>
  <c r="M10" i="18"/>
  <c r="J10" i="18" s="1"/>
  <c r="M67" i="18"/>
  <c r="J67" i="18" s="1"/>
  <c r="AD25" i="18"/>
  <c r="AE25" i="18" s="1"/>
  <c r="J92" i="22"/>
  <c r="AY55" i="18"/>
  <c r="BB55" i="18" s="1"/>
  <c r="BE59" i="32" l="1"/>
  <c r="BF59" i="32" s="1"/>
  <c r="BI59" i="32" s="1"/>
  <c r="BJ59" i="32" s="1"/>
  <c r="W52" i="19"/>
  <c r="X52" i="19" s="1"/>
  <c r="AA52" i="19" s="1"/>
  <c r="AB52" i="19" s="1"/>
  <c r="AE52" i="19" s="1"/>
  <c r="AF52" i="19" s="1"/>
  <c r="L71" i="32"/>
  <c r="AT8" i="32"/>
  <c r="AW8" i="32"/>
  <c r="AX8" i="32" s="1"/>
  <c r="BA8" i="32" s="1"/>
  <c r="BB8" i="32" s="1"/>
  <c r="BE8" i="32" s="1"/>
  <c r="BF8" i="32" s="1"/>
  <c r="BI8" i="32" s="1"/>
  <c r="BJ8" i="32" s="1"/>
  <c r="L8" i="32" s="1"/>
  <c r="N47" i="26"/>
  <c r="M47" i="26"/>
  <c r="I47" i="26"/>
  <c r="E47" i="32" s="1"/>
  <c r="Q47" i="32" s="1"/>
  <c r="N83" i="32"/>
  <c r="M83" i="32"/>
  <c r="I83" i="32"/>
  <c r="M35" i="26"/>
  <c r="I35" i="26"/>
  <c r="E35" i="32" s="1"/>
  <c r="Q35" i="32" s="1"/>
  <c r="R35" i="32" s="1"/>
  <c r="U35" i="32" s="1"/>
  <c r="V35" i="32" s="1"/>
  <c r="Y35" i="32" s="1"/>
  <c r="Z35" i="32" s="1"/>
  <c r="AC35" i="32" s="1"/>
  <c r="AD35" i="32" s="1"/>
  <c r="AG35" i="32" s="1"/>
  <c r="AH35" i="32" s="1"/>
  <c r="AK35" i="32" s="1"/>
  <c r="AL35" i="32" s="1"/>
  <c r="AO35" i="32" s="1"/>
  <c r="AP35" i="32" s="1"/>
  <c r="AS35" i="32" s="1"/>
  <c r="AT35" i="32" s="1"/>
  <c r="AW35" i="32" s="1"/>
  <c r="AX35" i="32" s="1"/>
  <c r="BA35" i="32" s="1"/>
  <c r="BB35" i="32" s="1"/>
  <c r="BE35" i="32" s="1"/>
  <c r="BF35" i="32" s="1"/>
  <c r="BI35" i="32" s="1"/>
  <c r="BJ35" i="32" s="1"/>
  <c r="L35" i="32" s="1"/>
  <c r="N35" i="26"/>
  <c r="I11" i="26"/>
  <c r="E11" i="32" s="1"/>
  <c r="Q11" i="32" s="1"/>
  <c r="M11" i="26"/>
  <c r="N11" i="26"/>
  <c r="BF57" i="26"/>
  <c r="BI57" i="26" s="1"/>
  <c r="BJ57" i="26" s="1"/>
  <c r="L57" i="26" s="1"/>
  <c r="AH22" i="32"/>
  <c r="AK22" i="32" s="1"/>
  <c r="AL22" i="32" s="1"/>
  <c r="AO22" i="32" s="1"/>
  <c r="AP22" i="32" s="1"/>
  <c r="AS22" i="32" s="1"/>
  <c r="BF74" i="26"/>
  <c r="I12" i="32"/>
  <c r="N12" i="32"/>
  <c r="M12" i="32"/>
  <c r="M56" i="26"/>
  <c r="I56" i="26"/>
  <c r="E56" i="32" s="1"/>
  <c r="Q56" i="32" s="1"/>
  <c r="R56" i="32" s="1"/>
  <c r="U56" i="32" s="1"/>
  <c r="V56" i="32" s="1"/>
  <c r="Y56" i="32" s="1"/>
  <c r="Z56" i="32" s="1"/>
  <c r="AC56" i="32" s="1"/>
  <c r="AD56" i="32" s="1"/>
  <c r="AG56" i="32" s="1"/>
  <c r="AH56" i="32" s="1"/>
  <c r="AK56" i="32" s="1"/>
  <c r="AL56" i="32" s="1"/>
  <c r="AO56" i="32" s="1"/>
  <c r="AP56" i="32" s="1"/>
  <c r="AS56" i="32" s="1"/>
  <c r="AT56" i="32" s="1"/>
  <c r="AW56" i="32" s="1"/>
  <c r="AX56" i="32" s="1"/>
  <c r="BA56" i="32" s="1"/>
  <c r="BB56" i="32" s="1"/>
  <c r="BE56" i="32" s="1"/>
  <c r="BF56" i="32" s="1"/>
  <c r="BI56" i="32" s="1"/>
  <c r="BJ56" i="32" s="1"/>
  <c r="L56" i="32" s="1"/>
  <c r="N56" i="26"/>
  <c r="BB9" i="26"/>
  <c r="Z13" i="32"/>
  <c r="AC13" i="32" s="1"/>
  <c r="AD13" i="32" s="1"/>
  <c r="M10" i="32"/>
  <c r="I10" i="32"/>
  <c r="N10" i="32"/>
  <c r="BF84" i="26"/>
  <c r="BI84" i="26" s="1"/>
  <c r="BJ84" i="26" s="1"/>
  <c r="L84" i="26" s="1"/>
  <c r="M21" i="32"/>
  <c r="N21" i="32"/>
  <c r="I21" i="32"/>
  <c r="M71" i="32"/>
  <c r="I71" i="32"/>
  <c r="N71" i="32"/>
  <c r="BF4" i="32"/>
  <c r="BI4" i="32" s="1"/>
  <c r="BJ4" i="32" s="1"/>
  <c r="L4" i="32" s="1"/>
  <c r="Z90" i="32"/>
  <c r="AC90" i="32"/>
  <c r="AD90" i="32" s="1"/>
  <c r="AG90" i="32" s="1"/>
  <c r="AH90" i="32" s="1"/>
  <c r="AK90" i="32" s="1"/>
  <c r="AL90" i="32" s="1"/>
  <c r="AO90" i="32" s="1"/>
  <c r="AP90" i="32" s="1"/>
  <c r="AS90" i="32" s="1"/>
  <c r="AT90" i="32" s="1"/>
  <c r="AW90" i="32" s="1"/>
  <c r="AX90" i="32" s="1"/>
  <c r="BA90" i="32" s="1"/>
  <c r="BB90" i="32" s="1"/>
  <c r="BE90" i="32" s="1"/>
  <c r="BF90" i="32" s="1"/>
  <c r="BI90" i="32" s="1"/>
  <c r="BJ90" i="32" s="1"/>
  <c r="AP70" i="32"/>
  <c r="AS70" i="32" s="1"/>
  <c r="AW69" i="32"/>
  <c r="AX69" i="32" s="1"/>
  <c r="BA69" i="32" s="1"/>
  <c r="BB69" i="32" s="1"/>
  <c r="BE69" i="32" s="1"/>
  <c r="BF69" i="32" s="1"/>
  <c r="BI69" i="32" s="1"/>
  <c r="BJ69" i="32" s="1"/>
  <c r="M31" i="32"/>
  <c r="N31" i="32"/>
  <c r="I31" i="32"/>
  <c r="AT25" i="26"/>
  <c r="V2" i="26"/>
  <c r="U91" i="26"/>
  <c r="Y2" i="26"/>
  <c r="U73" i="32"/>
  <c r="V73" i="32" s="1"/>
  <c r="Y73" i="32" s="1"/>
  <c r="Z73" i="32" s="1"/>
  <c r="AC73" i="32" s="1"/>
  <c r="L75" i="32"/>
  <c r="I62" i="32"/>
  <c r="M62" i="32"/>
  <c r="N62" i="32"/>
  <c r="AD32" i="32"/>
  <c r="AG32" i="32" s="1"/>
  <c r="AH32" i="32" s="1"/>
  <c r="AK32" i="32" s="1"/>
  <c r="L89" i="26"/>
  <c r="AD43" i="32"/>
  <c r="AG43" i="32" s="1"/>
  <c r="AH43" i="32" s="1"/>
  <c r="AK43" i="32" s="1"/>
  <c r="AL43" i="32" s="1"/>
  <c r="AO43" i="32" s="1"/>
  <c r="L26" i="32"/>
  <c r="BI87" i="26"/>
  <c r="BJ87" i="26" s="1"/>
  <c r="L87" i="26" s="1"/>
  <c r="Z85" i="32"/>
  <c r="AC85" i="32" s="1"/>
  <c r="S90" i="19"/>
  <c r="T90" i="19" s="1"/>
  <c r="S66" i="19"/>
  <c r="T66" i="19" s="1"/>
  <c r="W66" i="19" s="1"/>
  <c r="X66" i="19" s="1"/>
  <c r="AA66" i="19" s="1"/>
  <c r="AB66" i="19" s="1"/>
  <c r="AE66" i="19" s="1"/>
  <c r="AF66" i="19" s="1"/>
  <c r="N66" i="19" s="1"/>
  <c r="P66" i="19" s="1"/>
  <c r="S64" i="19"/>
  <c r="T64" i="19" s="1"/>
  <c r="E75" i="15"/>
  <c r="E67" i="15"/>
  <c r="O79" i="18"/>
  <c r="J79" i="18"/>
  <c r="E35" i="15"/>
  <c r="F6" i="15"/>
  <c r="Q3" i="20"/>
  <c r="E91" i="15"/>
  <c r="E69" i="15"/>
  <c r="E93" i="15"/>
  <c r="F88" i="19"/>
  <c r="F32" i="19"/>
  <c r="F72" i="19"/>
  <c r="N52" i="19"/>
  <c r="AP2" i="18"/>
  <c r="AQ2" i="18" s="1"/>
  <c r="AT2" i="18" s="1"/>
  <c r="AU2" i="18" s="1"/>
  <c r="AX2" i="18" s="1"/>
  <c r="AM62" i="18"/>
  <c r="AP62" i="18" s="1"/>
  <c r="BG17" i="18"/>
  <c r="BJ17" i="18" s="1"/>
  <c r="BK17" i="18" s="1"/>
  <c r="M17" i="18" s="1"/>
  <c r="J17" i="18" s="1"/>
  <c r="M29" i="18"/>
  <c r="J29" i="18" s="1"/>
  <c r="BF35" i="18"/>
  <c r="N8" i="18"/>
  <c r="N79" i="18"/>
  <c r="O8" i="18"/>
  <c r="AU75" i="18"/>
  <c r="AX75" i="18" s="1"/>
  <c r="BC77" i="18"/>
  <c r="BF77" i="18" s="1"/>
  <c r="BC24" i="18"/>
  <c r="BF24" i="18" s="1"/>
  <c r="BG24" i="18" s="1"/>
  <c r="BJ24" i="18" s="1"/>
  <c r="BK24" i="18" s="1"/>
  <c r="AA78" i="18"/>
  <c r="AD78" i="18" s="1"/>
  <c r="AU39" i="18"/>
  <c r="AX39" i="18" s="1"/>
  <c r="BC38" i="18"/>
  <c r="BF38" i="18" s="1"/>
  <c r="BG38" i="18" s="1"/>
  <c r="BJ38" i="18" s="1"/>
  <c r="BK38" i="18" s="1"/>
  <c r="M38" i="18" s="1"/>
  <c r="J38" i="18" s="1"/>
  <c r="AY48" i="18"/>
  <c r="BB48" i="18" s="1"/>
  <c r="BC48" i="18" s="1"/>
  <c r="BF48" i="18" s="1"/>
  <c r="AY34" i="18"/>
  <c r="BB34" i="18" s="1"/>
  <c r="BC34" i="18" s="1"/>
  <c r="BF34" i="18" s="1"/>
  <c r="BG34" i="18" s="1"/>
  <c r="BJ34" i="18" s="1"/>
  <c r="BK34" i="18" s="1"/>
  <c r="M34" i="18" s="1"/>
  <c r="J34" i="18" s="1"/>
  <c r="AY41" i="18"/>
  <c r="BB41" i="18" s="1"/>
  <c r="BC41" i="18" s="1"/>
  <c r="BF41" i="18" s="1"/>
  <c r="AA70" i="18"/>
  <c r="AD70" i="18" s="1"/>
  <c r="O45" i="18"/>
  <c r="N45" i="18"/>
  <c r="BC68" i="18"/>
  <c r="BF68" i="18" s="1"/>
  <c r="BG68" i="18" s="1"/>
  <c r="BJ68" i="18" s="1"/>
  <c r="BK68" i="18" s="1"/>
  <c r="M68" i="18" s="1"/>
  <c r="J68" i="18" s="1"/>
  <c r="N59" i="18"/>
  <c r="O59" i="18"/>
  <c r="AU44" i="18"/>
  <c r="AX44" i="18" s="1"/>
  <c r="AY44" i="18" s="1"/>
  <c r="BB44" i="18" s="1"/>
  <c r="AU47" i="18"/>
  <c r="AX47" i="18" s="1"/>
  <c r="AY22" i="18"/>
  <c r="BB22" i="18" s="1"/>
  <c r="BC22" i="18" s="1"/>
  <c r="BF22" i="18" s="1"/>
  <c r="O71" i="18"/>
  <c r="N71" i="18"/>
  <c r="V6" i="18"/>
  <c r="S91" i="18"/>
  <c r="AU31" i="18"/>
  <c r="AX31" i="18" s="1"/>
  <c r="AY31" i="18" s="1"/>
  <c r="BB31" i="18" s="1"/>
  <c r="N10" i="18"/>
  <c r="O10" i="18"/>
  <c r="O11" i="18"/>
  <c r="N11" i="18"/>
  <c r="AM12" i="18"/>
  <c r="AP12" i="18" s="1"/>
  <c r="AQ12" i="18" s="1"/>
  <c r="AT12" i="18" s="1"/>
  <c r="N4" i="18"/>
  <c r="O4" i="18"/>
  <c r="BF28" i="18"/>
  <c r="BG28" i="18" s="1"/>
  <c r="BJ28" i="18" s="1"/>
  <c r="BK28" i="18" s="1"/>
  <c r="AQ69" i="18"/>
  <c r="AT69" i="18" s="1"/>
  <c r="AU69" i="18" s="1"/>
  <c r="AX69" i="18" s="1"/>
  <c r="AY69" i="18" s="1"/>
  <c r="BB69" i="18" s="1"/>
  <c r="BG61" i="18"/>
  <c r="BJ61" i="18" s="1"/>
  <c r="BK61" i="18" s="1"/>
  <c r="M61" i="18" s="1"/>
  <c r="J61" i="18" s="1"/>
  <c r="BG36" i="18"/>
  <c r="BJ36" i="18" s="1"/>
  <c r="BK36" i="18" s="1"/>
  <c r="M36" i="18" s="1"/>
  <c r="J36" i="18" s="1"/>
  <c r="N87" i="18"/>
  <c r="O87" i="18"/>
  <c r="O33" i="18"/>
  <c r="N33" i="18"/>
  <c r="BC15" i="18"/>
  <c r="BF15" i="18" s="1"/>
  <c r="O27" i="18"/>
  <c r="N27" i="18"/>
  <c r="AP30" i="18"/>
  <c r="AQ30" i="18" s="1"/>
  <c r="AT30" i="18" s="1"/>
  <c r="BJ84" i="18"/>
  <c r="BK84" i="18" s="1"/>
  <c r="M84" i="18" s="1"/>
  <c r="J84" i="18" s="1"/>
  <c r="M58" i="18"/>
  <c r="J58" i="18" s="1"/>
  <c r="O13" i="18"/>
  <c r="N13" i="18"/>
  <c r="O80" i="18"/>
  <c r="N80" i="18"/>
  <c r="AY86" i="18"/>
  <c r="BB86" i="18" s="1"/>
  <c r="BC86" i="18" s="1"/>
  <c r="BF86" i="18" s="1"/>
  <c r="BG86" i="18" s="1"/>
  <c r="BJ86" i="18" s="1"/>
  <c r="BK86" i="18" s="1"/>
  <c r="M86" i="18" s="1"/>
  <c r="J86" i="18" s="1"/>
  <c r="BG42" i="18"/>
  <c r="BJ42" i="18" s="1"/>
  <c r="BK42" i="18" s="1"/>
  <c r="M42" i="18" s="1"/>
  <c r="J42" i="18" s="1"/>
  <c r="AQ40" i="18"/>
  <c r="AT40" i="18" s="1"/>
  <c r="AU40" i="18" s="1"/>
  <c r="AX40" i="18" s="1"/>
  <c r="BG63" i="18"/>
  <c r="BJ63" i="18" s="1"/>
  <c r="BK63" i="18" s="1"/>
  <c r="M63" i="18" s="1"/>
  <c r="J63" i="18" s="1"/>
  <c r="M57" i="18"/>
  <c r="J57" i="18" s="1"/>
  <c r="AY7" i="18"/>
  <c r="BB7" i="18" s="1"/>
  <c r="O20" i="18"/>
  <c r="N20" i="18"/>
  <c r="O60" i="18"/>
  <c r="N60" i="18"/>
  <c r="N54" i="18"/>
  <c r="O54" i="18"/>
  <c r="O67" i="18"/>
  <c r="N67" i="18"/>
  <c r="AQ89" i="18"/>
  <c r="AT89" i="18" s="1"/>
  <c r="M23" i="18"/>
  <c r="J23" i="18" s="1"/>
  <c r="AQ46" i="18"/>
  <c r="AT46" i="18" s="1"/>
  <c r="AU46" i="18" s="1"/>
  <c r="AX46" i="18" s="1"/>
  <c r="AY46" i="18" s="1"/>
  <c r="BB46" i="18" s="1"/>
  <c r="AT65" i="18"/>
  <c r="AU65" i="18" s="1"/>
  <c r="AX65" i="18" s="1"/>
  <c r="AY65" i="18" s="1"/>
  <c r="BB65" i="18" s="1"/>
  <c r="O26" i="18"/>
  <c r="N26" i="18"/>
  <c r="AH25" i="18"/>
  <c r="BC55" i="18"/>
  <c r="O66" i="19" l="1"/>
  <c r="W90" i="19"/>
  <c r="X90" i="19" s="1"/>
  <c r="AA90" i="19" s="1"/>
  <c r="AB90" i="19" s="1"/>
  <c r="AE90" i="19" s="1"/>
  <c r="AF90" i="19" s="1"/>
  <c r="K66" i="19"/>
  <c r="I8" i="32"/>
  <c r="M8" i="32"/>
  <c r="N8" i="32"/>
  <c r="L59" i="32"/>
  <c r="AD85" i="32"/>
  <c r="AG85" i="32"/>
  <c r="AH85" i="32" s="1"/>
  <c r="AK85" i="32" s="1"/>
  <c r="AL85" i="32" s="1"/>
  <c r="AO85" i="32" s="1"/>
  <c r="AP85" i="32" s="1"/>
  <c r="AS85" i="32" s="1"/>
  <c r="AT85" i="32" s="1"/>
  <c r="AW85" i="32" s="1"/>
  <c r="AX85" i="32" s="1"/>
  <c r="BA85" i="32" s="1"/>
  <c r="BB85" i="32" s="1"/>
  <c r="BE85" i="32" s="1"/>
  <c r="BF85" i="32" s="1"/>
  <c r="BI85" i="32" s="1"/>
  <c r="BJ85" i="32" s="1"/>
  <c r="L85" i="32" s="1"/>
  <c r="M4" i="32"/>
  <c r="N4" i="32"/>
  <c r="I4" i="32"/>
  <c r="AG13" i="32"/>
  <c r="AH13" i="32" s="1"/>
  <c r="AK13" i="32" s="1"/>
  <c r="AL13" i="32" s="1"/>
  <c r="AO13" i="32" s="1"/>
  <c r="AP13" i="32" s="1"/>
  <c r="AS13" i="32" s="1"/>
  <c r="AT13" i="32" s="1"/>
  <c r="AW13" i="32" s="1"/>
  <c r="AX13" i="32" s="1"/>
  <c r="BA13" i="32" s="1"/>
  <c r="AT22" i="32"/>
  <c r="AW22" i="32" s="1"/>
  <c r="AX22" i="32" s="1"/>
  <c r="BA22" i="32" s="1"/>
  <c r="BB22" i="32" s="1"/>
  <c r="BE22" i="32" s="1"/>
  <c r="BF22" i="32" s="1"/>
  <c r="BI22" i="32" s="1"/>
  <c r="BJ22" i="32" s="1"/>
  <c r="L22" i="32" s="1"/>
  <c r="M87" i="26"/>
  <c r="N87" i="26"/>
  <c r="I87" i="26"/>
  <c r="E87" i="32" s="1"/>
  <c r="Q87" i="32" s="1"/>
  <c r="AP43" i="32"/>
  <c r="AS43" i="32" s="1"/>
  <c r="AT43" i="32" s="1"/>
  <c r="AW43" i="32" s="1"/>
  <c r="AX43" i="32" s="1"/>
  <c r="BA43" i="32" s="1"/>
  <c r="BB43" i="32" s="1"/>
  <c r="BE43" i="32" s="1"/>
  <c r="N84" i="26"/>
  <c r="M84" i="26"/>
  <c r="I84" i="26"/>
  <c r="E84" i="32" s="1"/>
  <c r="Q84" i="32" s="1"/>
  <c r="R84" i="32" s="1"/>
  <c r="M89" i="26"/>
  <c r="I89" i="26"/>
  <c r="E89" i="32" s="1"/>
  <c r="Q89" i="32" s="1"/>
  <c r="R89" i="32" s="1"/>
  <c r="U89" i="32" s="1"/>
  <c r="V89" i="32" s="1"/>
  <c r="Y89" i="32" s="1"/>
  <c r="Z89" i="32" s="1"/>
  <c r="AC89" i="32" s="1"/>
  <c r="AD89" i="32" s="1"/>
  <c r="AG89" i="32" s="1"/>
  <c r="AH89" i="32" s="1"/>
  <c r="AK89" i="32" s="1"/>
  <c r="N89" i="26"/>
  <c r="AL32" i="32"/>
  <c r="AO32" i="32"/>
  <c r="AP32" i="32" s="1"/>
  <c r="AS32" i="32" s="1"/>
  <c r="AT32" i="32" s="1"/>
  <c r="AW32" i="32" s="1"/>
  <c r="AX32" i="32" s="1"/>
  <c r="BA32" i="32" s="1"/>
  <c r="BB32" i="32" s="1"/>
  <c r="BE32" i="32" s="1"/>
  <c r="BF32" i="32" s="1"/>
  <c r="BI32" i="32" s="1"/>
  <c r="BJ32" i="32" s="1"/>
  <c r="I75" i="32"/>
  <c r="M75" i="32"/>
  <c r="N75" i="32"/>
  <c r="Y91" i="26"/>
  <c r="Z2" i="26"/>
  <c r="Z91" i="26" s="1"/>
  <c r="AC2" i="26"/>
  <c r="V91" i="26"/>
  <c r="AT70" i="32"/>
  <c r="M56" i="32"/>
  <c r="N56" i="32"/>
  <c r="I56" i="32"/>
  <c r="L74" i="26"/>
  <c r="I57" i="26"/>
  <c r="E57" i="32" s="1"/>
  <c r="Q57" i="32" s="1"/>
  <c r="N57" i="26"/>
  <c r="M57" i="26"/>
  <c r="R11" i="32"/>
  <c r="U11" i="32" s="1"/>
  <c r="V11" i="32" s="1"/>
  <c r="Y11" i="32" s="1"/>
  <c r="Z11" i="32" s="1"/>
  <c r="AC11" i="32" s="1"/>
  <c r="I35" i="32"/>
  <c r="N35" i="32"/>
  <c r="M35" i="32"/>
  <c r="W64" i="19"/>
  <c r="X64" i="19" s="1"/>
  <c r="I26" i="32"/>
  <c r="M26" i="32"/>
  <c r="N26" i="32"/>
  <c r="AD73" i="32"/>
  <c r="AW25" i="26"/>
  <c r="L90" i="32"/>
  <c r="BE9" i="26"/>
  <c r="BI74" i="26"/>
  <c r="BJ74" i="26" s="1"/>
  <c r="L69" i="32"/>
  <c r="R47" i="32"/>
  <c r="U47" i="32" s="1"/>
  <c r="V47" i="32" s="1"/>
  <c r="Y47" i="32" s="1"/>
  <c r="S72" i="19"/>
  <c r="T72" i="19" s="1"/>
  <c r="E70" i="15"/>
  <c r="E57" i="15"/>
  <c r="E14" i="15"/>
  <c r="E74" i="15"/>
  <c r="E48" i="15"/>
  <c r="P52" i="19"/>
  <c r="K52" i="19"/>
  <c r="F68" i="15"/>
  <c r="R3" i="20"/>
  <c r="U3" i="20" s="1"/>
  <c r="V3" i="20" s="1"/>
  <c r="Y3" i="20" s="1"/>
  <c r="Z3" i="20" s="1"/>
  <c r="AC3" i="20" s="1"/>
  <c r="Q66" i="20"/>
  <c r="R66" i="20" s="1"/>
  <c r="U66" i="20" s="1"/>
  <c r="V66" i="20" s="1"/>
  <c r="Y66" i="20" s="1"/>
  <c r="Z66" i="20" s="1"/>
  <c r="AC66" i="20" s="1"/>
  <c r="AD66" i="20" s="1"/>
  <c r="AG66" i="20" s="1"/>
  <c r="AH66" i="20" s="1"/>
  <c r="AK66" i="20" s="1"/>
  <c r="AL66" i="20" s="1"/>
  <c r="AO66" i="20" s="1"/>
  <c r="E16" i="15"/>
  <c r="F56" i="19"/>
  <c r="F37" i="19"/>
  <c r="F51" i="19"/>
  <c r="F18" i="19"/>
  <c r="E90" i="15"/>
  <c r="E59" i="15"/>
  <c r="E85" i="15"/>
  <c r="E62" i="15"/>
  <c r="E40" i="15"/>
  <c r="F82" i="19"/>
  <c r="F50" i="19"/>
  <c r="F21" i="19"/>
  <c r="E53" i="15"/>
  <c r="E36" i="15"/>
  <c r="E24" i="15"/>
  <c r="E11" i="15"/>
  <c r="E8" i="15"/>
  <c r="E83" i="15"/>
  <c r="E54" i="15"/>
  <c r="F5" i="19"/>
  <c r="E21" i="15"/>
  <c r="O52" i="19"/>
  <c r="F54" i="19"/>
  <c r="F45" i="19"/>
  <c r="F8" i="19"/>
  <c r="F80" i="19"/>
  <c r="F59" i="19"/>
  <c r="F67" i="19"/>
  <c r="F11" i="19"/>
  <c r="F33" i="19"/>
  <c r="F13" i="19"/>
  <c r="F71" i="19"/>
  <c r="S88" i="19"/>
  <c r="T88" i="19" s="1"/>
  <c r="F87" i="19"/>
  <c r="O17" i="18"/>
  <c r="N17" i="18"/>
  <c r="BG35" i="18"/>
  <c r="BJ35" i="18" s="1"/>
  <c r="BK35" i="18" s="1"/>
  <c r="N29" i="18"/>
  <c r="F20" i="19"/>
  <c r="O29" i="18"/>
  <c r="AQ62" i="18"/>
  <c r="AT62" i="18" s="1"/>
  <c r="AU62" i="18" s="1"/>
  <c r="AX62" i="18" s="1"/>
  <c r="AY62" i="18" s="1"/>
  <c r="BB62" i="18" s="1"/>
  <c r="BC62" i="18" s="1"/>
  <c r="BF62" i="18" s="1"/>
  <c r="BG62" i="18" s="1"/>
  <c r="BJ62" i="18" s="1"/>
  <c r="BK62" i="18" s="1"/>
  <c r="M62" i="18" s="1"/>
  <c r="J62" i="18" s="1"/>
  <c r="N34" i="18"/>
  <c r="O34" i="18"/>
  <c r="N61" i="18"/>
  <c r="O61" i="18"/>
  <c r="BC7" i="18"/>
  <c r="BF7" i="18" s="1"/>
  <c r="BG7" i="18" s="1"/>
  <c r="BJ7" i="18" s="1"/>
  <c r="BK7" i="18" s="1"/>
  <c r="AE70" i="18"/>
  <c r="AH70" i="18" s="1"/>
  <c r="AI70" i="18" s="1"/>
  <c r="AL70" i="18" s="1"/>
  <c r="AM70" i="18" s="1"/>
  <c r="AP70" i="18" s="1"/>
  <c r="N84" i="18"/>
  <c r="O84" i="18"/>
  <c r="AU89" i="18"/>
  <c r="AX89" i="18" s="1"/>
  <c r="N38" i="18"/>
  <c r="O38" i="18"/>
  <c r="BG77" i="18"/>
  <c r="BJ77" i="18" s="1"/>
  <c r="BK77" i="18" s="1"/>
  <c r="M77" i="18" s="1"/>
  <c r="J77" i="18" s="1"/>
  <c r="BC44" i="18"/>
  <c r="BF44" i="18" s="1"/>
  <c r="BG44" i="18" s="1"/>
  <c r="BJ44" i="18" s="1"/>
  <c r="BK44" i="18" s="1"/>
  <c r="M44" i="18" s="1"/>
  <c r="J44" i="18" s="1"/>
  <c r="AY75" i="18"/>
  <c r="BB75" i="18" s="1"/>
  <c r="O57" i="18"/>
  <c r="N57" i="18"/>
  <c r="N63" i="18"/>
  <c r="O63" i="18"/>
  <c r="N42" i="18"/>
  <c r="O42" i="18"/>
  <c r="AU30" i="18"/>
  <c r="AX30" i="18" s="1"/>
  <c r="BC69" i="18"/>
  <c r="BF69" i="18" s="1"/>
  <c r="BG69" i="18" s="1"/>
  <c r="BJ69" i="18" s="1"/>
  <c r="BK69" i="18" s="1"/>
  <c r="BC31" i="18"/>
  <c r="O68" i="18"/>
  <c r="N68" i="18"/>
  <c r="BG41" i="18"/>
  <c r="BJ41" i="18" s="1"/>
  <c r="BK41" i="18" s="1"/>
  <c r="M41" i="18" s="1"/>
  <c r="J41" i="18" s="1"/>
  <c r="AY2" i="18"/>
  <c r="BB2" i="18" s="1"/>
  <c r="AI25" i="18"/>
  <c r="AL25" i="18" s="1"/>
  <c r="AM25" i="18" s="1"/>
  <c r="BC46" i="18"/>
  <c r="BF46" i="18" s="1"/>
  <c r="O23" i="18"/>
  <c r="N23" i="18"/>
  <c r="M24" i="18"/>
  <c r="J24" i="18" s="1"/>
  <c r="O86" i="18"/>
  <c r="N86" i="18"/>
  <c r="AY47" i="18"/>
  <c r="BB47" i="18" s="1"/>
  <c r="AY39" i="18"/>
  <c r="BB39" i="18" s="1"/>
  <c r="AU12" i="18"/>
  <c r="AX12" i="18" s="1"/>
  <c r="BC65" i="18"/>
  <c r="BF65" i="18" s="1"/>
  <c r="BG65" i="18" s="1"/>
  <c r="BJ65" i="18" s="1"/>
  <c r="BK65" i="18" s="1"/>
  <c r="BG15" i="18"/>
  <c r="BJ15" i="18" s="1"/>
  <c r="BK15" i="18" s="1"/>
  <c r="BG48" i="18"/>
  <c r="AE78" i="18"/>
  <c r="AH78" i="18" s="1"/>
  <c r="O58" i="18"/>
  <c r="N58" i="18"/>
  <c r="M28" i="18"/>
  <c r="J28" i="18" s="1"/>
  <c r="BG22" i="18"/>
  <c r="BJ22" i="18" s="1"/>
  <c r="BK22" i="18" s="1"/>
  <c r="M22" i="18" s="1"/>
  <c r="J22" i="18" s="1"/>
  <c r="O36" i="18"/>
  <c r="N36" i="18"/>
  <c r="W6" i="18"/>
  <c r="V91" i="18"/>
  <c r="AY40" i="18"/>
  <c r="BB40" i="18" s="1"/>
  <c r="BF55" i="18"/>
  <c r="N90" i="19" l="1"/>
  <c r="AA64" i="19"/>
  <c r="AB64" i="19" s="1"/>
  <c r="AE64" i="19" s="1"/>
  <c r="AF64" i="19" s="1"/>
  <c r="N64" i="19" s="1"/>
  <c r="K64" i="19" s="1"/>
  <c r="I59" i="32"/>
  <c r="N59" i="32"/>
  <c r="M59" i="32"/>
  <c r="W72" i="19"/>
  <c r="X72" i="19" s="1"/>
  <c r="AA72" i="19" s="1"/>
  <c r="AB72" i="19" s="1"/>
  <c r="AE72" i="19" s="1"/>
  <c r="AF72" i="19" s="1"/>
  <c r="N22" i="32"/>
  <c r="M22" i="32"/>
  <c r="I22" i="32"/>
  <c r="AD11" i="32"/>
  <c r="AG11" i="32" s="1"/>
  <c r="AH11" i="32" s="1"/>
  <c r="AK11" i="32" s="1"/>
  <c r="AL11" i="32" s="1"/>
  <c r="AO11" i="32" s="1"/>
  <c r="AP11" i="32" s="1"/>
  <c r="AS11" i="32" s="1"/>
  <c r="AT11" i="32" s="1"/>
  <c r="AW11" i="32" s="1"/>
  <c r="Z47" i="32"/>
  <c r="AC47" i="32" s="1"/>
  <c r="AD47" i="32" s="1"/>
  <c r="I69" i="32"/>
  <c r="M69" i="32"/>
  <c r="N69" i="32"/>
  <c r="BF9" i="26"/>
  <c r="BI9" i="26"/>
  <c r="BJ9" i="26" s="1"/>
  <c r="AX25" i="26"/>
  <c r="BA25" i="26" s="1"/>
  <c r="M74" i="26"/>
  <c r="N74" i="26"/>
  <c r="I74" i="26"/>
  <c r="E74" i="32" s="1"/>
  <c r="Q74" i="32" s="1"/>
  <c r="AC91" i="26"/>
  <c r="AD2" i="26"/>
  <c r="AG2" i="26" s="1"/>
  <c r="BF43" i="32"/>
  <c r="BI43" i="32" s="1"/>
  <c r="BJ43" i="32" s="1"/>
  <c r="L43" i="32" s="1"/>
  <c r="R87" i="32"/>
  <c r="U87" i="32" s="1"/>
  <c r="V87" i="32" s="1"/>
  <c r="Y87" i="32" s="1"/>
  <c r="Z87" i="32" s="1"/>
  <c r="AC87" i="32" s="1"/>
  <c r="AD87" i="32" s="1"/>
  <c r="AG87" i="32" s="1"/>
  <c r="AH87" i="32" s="1"/>
  <c r="AK87" i="32" s="1"/>
  <c r="BB13" i="32"/>
  <c r="BE13" i="32" s="1"/>
  <c r="BF13" i="32" s="1"/>
  <c r="BI13" i="32" s="1"/>
  <c r="BJ13" i="32" s="1"/>
  <c r="I85" i="32"/>
  <c r="M85" i="32"/>
  <c r="N85" i="32"/>
  <c r="M90" i="32"/>
  <c r="I90" i="32"/>
  <c r="N90" i="32"/>
  <c r="AG73" i="32"/>
  <c r="AH73" i="32" s="1"/>
  <c r="AK73" i="32" s="1"/>
  <c r="AL73" i="32" s="1"/>
  <c r="AO73" i="32" s="1"/>
  <c r="L32" i="32"/>
  <c r="R57" i="32"/>
  <c r="U57" i="32" s="1"/>
  <c r="V57" i="32" s="1"/>
  <c r="Y57" i="32" s="1"/>
  <c r="AW70" i="32"/>
  <c r="AX70" i="32" s="1"/>
  <c r="BA70" i="32" s="1"/>
  <c r="BB70" i="32" s="1"/>
  <c r="BE70" i="32" s="1"/>
  <c r="BF70" i="32" s="1"/>
  <c r="BI70" i="32" s="1"/>
  <c r="BJ70" i="32" s="1"/>
  <c r="AL89" i="32"/>
  <c r="AO89" i="32" s="1"/>
  <c r="AP89" i="32" s="1"/>
  <c r="AS89" i="32" s="1"/>
  <c r="AT89" i="32" s="1"/>
  <c r="AW89" i="32" s="1"/>
  <c r="AX89" i="32" s="1"/>
  <c r="BA89" i="32" s="1"/>
  <c r="BB89" i="32" s="1"/>
  <c r="BE89" i="32" s="1"/>
  <c r="U84" i="32"/>
  <c r="V84" i="32" s="1"/>
  <c r="Y84" i="32" s="1"/>
  <c r="Z84" i="32" s="1"/>
  <c r="AC84" i="32" s="1"/>
  <c r="AD84" i="32" s="1"/>
  <c r="AG84" i="32" s="1"/>
  <c r="AH84" i="32" s="1"/>
  <c r="AK84" i="32" s="1"/>
  <c r="AL84" i="32" s="1"/>
  <c r="AO84" i="32" s="1"/>
  <c r="S20" i="19"/>
  <c r="T20" i="19" s="1"/>
  <c r="W20" i="19" s="1"/>
  <c r="X20" i="19" s="1"/>
  <c r="AA20" i="19" s="1"/>
  <c r="AB20" i="19" s="1"/>
  <c r="AE20" i="19" s="1"/>
  <c r="AF20" i="19" s="1"/>
  <c r="N20" i="19" s="1"/>
  <c r="K20" i="19" s="1"/>
  <c r="S87" i="19"/>
  <c r="T87" i="19" s="1"/>
  <c r="S71" i="19"/>
  <c r="T71" i="19" s="1"/>
  <c r="S33" i="19"/>
  <c r="T33" i="19" s="1"/>
  <c r="W33" i="19" s="1"/>
  <c r="X33" i="19" s="1"/>
  <c r="AA33" i="19" s="1"/>
  <c r="AB33" i="19" s="1"/>
  <c r="AE33" i="19" s="1"/>
  <c r="AF33" i="19" s="1"/>
  <c r="S11" i="19"/>
  <c r="T11" i="19" s="1"/>
  <c r="W11" i="19" s="1"/>
  <c r="X11" i="19" s="1"/>
  <c r="AA11" i="19" s="1"/>
  <c r="AB11" i="19" s="1"/>
  <c r="AE11" i="19" s="1"/>
  <c r="AF11" i="19" s="1"/>
  <c r="N11" i="19" s="1"/>
  <c r="K11" i="19" s="1"/>
  <c r="S67" i="19"/>
  <c r="T67" i="19" s="1"/>
  <c r="S59" i="19"/>
  <c r="T59" i="19" s="1"/>
  <c r="W59" i="19" s="1"/>
  <c r="X59" i="19" s="1"/>
  <c r="AA59" i="19" s="1"/>
  <c r="AB59" i="19" s="1"/>
  <c r="AE59" i="19" s="1"/>
  <c r="AF59" i="19" s="1"/>
  <c r="N59" i="19" s="1"/>
  <c r="P59" i="19" s="1"/>
  <c r="S80" i="19"/>
  <c r="T80" i="19" s="1"/>
  <c r="W80" i="19" s="1"/>
  <c r="X80" i="19" s="1"/>
  <c r="AA80" i="19" s="1"/>
  <c r="AB80" i="19" s="1"/>
  <c r="AE80" i="19" s="1"/>
  <c r="AF80" i="19" s="1"/>
  <c r="N80" i="19" s="1"/>
  <c r="K80" i="19" s="1"/>
  <c r="S8" i="19"/>
  <c r="T8" i="19" s="1"/>
  <c r="S54" i="19"/>
  <c r="T54" i="19" s="1"/>
  <c r="W54" i="19" s="1"/>
  <c r="X54" i="19" s="1"/>
  <c r="AA54" i="19" s="1"/>
  <c r="AB54" i="19" s="1"/>
  <c r="AE54" i="19" s="1"/>
  <c r="AF54" i="19" s="1"/>
  <c r="S21" i="19"/>
  <c r="T21" i="19" s="1"/>
  <c r="S50" i="19"/>
  <c r="T50" i="19" s="1"/>
  <c r="W50" i="19" s="1"/>
  <c r="X50" i="19" s="1"/>
  <c r="AA50" i="19" s="1"/>
  <c r="AB50" i="19" s="1"/>
  <c r="AE50" i="19" s="1"/>
  <c r="AF50" i="19" s="1"/>
  <c r="N50" i="19" s="1"/>
  <c r="K50" i="19" s="1"/>
  <c r="S82" i="19"/>
  <c r="T82" i="19" s="1"/>
  <c r="W82" i="19" s="1"/>
  <c r="X82" i="19" s="1"/>
  <c r="AA82" i="19" s="1"/>
  <c r="AB82" i="19" s="1"/>
  <c r="AE82" i="19" s="1"/>
  <c r="AF82" i="19" s="1"/>
  <c r="S18" i="19"/>
  <c r="T18" i="19" s="1"/>
  <c r="W18" i="19" s="1"/>
  <c r="X18" i="19" s="1"/>
  <c r="AA18" i="19" s="1"/>
  <c r="AB18" i="19" s="1"/>
  <c r="AE18" i="19" s="1"/>
  <c r="AF18" i="19" s="1"/>
  <c r="N18" i="19" s="1"/>
  <c r="K18" i="19" s="1"/>
  <c r="S51" i="19"/>
  <c r="T51" i="19" s="1"/>
  <c r="W51" i="19" s="1"/>
  <c r="X51" i="19" s="1"/>
  <c r="AA51" i="19" s="1"/>
  <c r="AB51" i="19" s="1"/>
  <c r="AE51" i="19" s="1"/>
  <c r="AF51" i="19" s="1"/>
  <c r="N51" i="19" s="1"/>
  <c r="K51" i="19" s="1"/>
  <c r="E45" i="15"/>
  <c r="E41" i="15"/>
  <c r="E64" i="15"/>
  <c r="E37" i="15"/>
  <c r="E32" i="15"/>
  <c r="E20" i="15"/>
  <c r="P90" i="19"/>
  <c r="K90" i="19"/>
  <c r="K59" i="19"/>
  <c r="O80" i="19"/>
  <c r="F54" i="15"/>
  <c r="Q52" i="20"/>
  <c r="R52" i="20" s="1"/>
  <c r="U52" i="20" s="1"/>
  <c r="V52" i="20" s="1"/>
  <c r="Y52" i="20" s="1"/>
  <c r="Z52" i="20" s="1"/>
  <c r="AC52" i="20" s="1"/>
  <c r="AD52" i="20" s="1"/>
  <c r="L52" i="20" s="1"/>
  <c r="N52" i="20" s="1"/>
  <c r="AD3" i="20"/>
  <c r="L3" i="20" s="1"/>
  <c r="M3" i="20" s="1"/>
  <c r="L66" i="20"/>
  <c r="E39" i="15"/>
  <c r="E23" i="15"/>
  <c r="S5" i="19"/>
  <c r="F53" i="19"/>
  <c r="E66" i="15"/>
  <c r="E86" i="15"/>
  <c r="E87" i="15"/>
  <c r="E56" i="15"/>
  <c r="F81" i="19"/>
  <c r="F85" i="19"/>
  <c r="F83" i="19"/>
  <c r="P50" i="19"/>
  <c r="E60" i="15"/>
  <c r="E84" i="15"/>
  <c r="E88" i="15"/>
  <c r="AP66" i="20"/>
  <c r="AS66" i="20" s="1"/>
  <c r="AT66" i="20" s="1"/>
  <c r="F17" i="19"/>
  <c r="F29" i="19"/>
  <c r="W88" i="19"/>
  <c r="X88" i="19" s="1"/>
  <c r="AA88" i="19" s="1"/>
  <c r="AB88" i="19" s="1"/>
  <c r="AE88" i="19" s="1"/>
  <c r="AF88" i="19" s="1"/>
  <c r="O90" i="19"/>
  <c r="F38" i="19"/>
  <c r="F84" i="19"/>
  <c r="F57" i="19"/>
  <c r="P80" i="19"/>
  <c r="F63" i="19"/>
  <c r="S37" i="19"/>
  <c r="T37" i="19" s="1"/>
  <c r="W37" i="19" s="1"/>
  <c r="X37" i="19" s="1"/>
  <c r="AA37" i="19" s="1"/>
  <c r="AB37" i="19" s="1"/>
  <c r="AE37" i="19" s="1"/>
  <c r="AF37" i="19" s="1"/>
  <c r="N37" i="19" s="1"/>
  <c r="K37" i="19" s="1"/>
  <c r="F36" i="19"/>
  <c r="F61" i="19"/>
  <c r="F34" i="19"/>
  <c r="F42" i="19"/>
  <c r="P64" i="19"/>
  <c r="O64" i="19"/>
  <c r="M35" i="18"/>
  <c r="J35" i="18" s="1"/>
  <c r="O62" i="18"/>
  <c r="N62" i="18"/>
  <c r="M69" i="18"/>
  <c r="O41" i="18"/>
  <c r="N41" i="18"/>
  <c r="O77" i="18"/>
  <c r="N77" i="18"/>
  <c r="AY89" i="18"/>
  <c r="N22" i="18"/>
  <c r="O22" i="18"/>
  <c r="N44" i="18"/>
  <c r="O44" i="18"/>
  <c r="AQ70" i="18"/>
  <c r="AT70" i="18" s="1"/>
  <c r="BC47" i="18"/>
  <c r="BF47" i="18" s="1"/>
  <c r="M65" i="18"/>
  <c r="J65" i="18" s="1"/>
  <c r="BF31" i="18"/>
  <c r="BG31" i="18" s="1"/>
  <c r="BJ31" i="18" s="1"/>
  <c r="BK31" i="18" s="1"/>
  <c r="M7" i="18"/>
  <c r="J7" i="18" s="1"/>
  <c r="BC40" i="18"/>
  <c r="BF40" i="18" s="1"/>
  <c r="AI78" i="18"/>
  <c r="AL78" i="18" s="1"/>
  <c r="AM78" i="18" s="1"/>
  <c r="AP78" i="18" s="1"/>
  <c r="BG46" i="18"/>
  <c r="BJ46" i="18" s="1"/>
  <c r="BK46" i="18" s="1"/>
  <c r="AY12" i="18"/>
  <c r="BC2" i="18"/>
  <c r="BC75" i="18"/>
  <c r="BJ48" i="18"/>
  <c r="BK48" i="18" s="1"/>
  <c r="M48" i="18" s="1"/>
  <c r="J48" i="18" s="1"/>
  <c r="O24" i="18"/>
  <c r="N24" i="18"/>
  <c r="M15" i="18"/>
  <c r="J15" i="18" s="1"/>
  <c r="Z6" i="18"/>
  <c r="W91" i="18"/>
  <c r="N28" i="18"/>
  <c r="O28" i="18"/>
  <c r="BC39" i="18"/>
  <c r="BF39" i="18" s="1"/>
  <c r="BG39" i="18" s="1"/>
  <c r="BJ39" i="18" s="1"/>
  <c r="BK39" i="18" s="1"/>
  <c r="AY30" i="18"/>
  <c r="BB30" i="18" s="1"/>
  <c r="AP25" i="18"/>
  <c r="AQ25" i="18" s="1"/>
  <c r="BG55" i="18"/>
  <c r="W67" i="19" l="1"/>
  <c r="X67" i="19" s="1"/>
  <c r="AA67" i="19" s="1"/>
  <c r="AB67" i="19" s="1"/>
  <c r="AE67" i="19" s="1"/>
  <c r="AF67" i="19" s="1"/>
  <c r="O20" i="19"/>
  <c r="N33" i="19"/>
  <c r="K33" i="19" s="1"/>
  <c r="W8" i="19"/>
  <c r="X8" i="19" s="1"/>
  <c r="AA8" i="19" s="1"/>
  <c r="AB8" i="19" s="1"/>
  <c r="AE8" i="19" s="1"/>
  <c r="AF8" i="19" s="1"/>
  <c r="W87" i="19"/>
  <c r="X87" i="19" s="1"/>
  <c r="AA87" i="19" s="1"/>
  <c r="AB87" i="19" s="1"/>
  <c r="AE87" i="19" s="1"/>
  <c r="AF87" i="19" s="1"/>
  <c r="P51" i="19"/>
  <c r="O50" i="19"/>
  <c r="F52" i="15" s="1"/>
  <c r="W21" i="19"/>
  <c r="X21" i="19" s="1"/>
  <c r="AA21" i="19" s="1"/>
  <c r="AB21" i="19" s="1"/>
  <c r="AE21" i="19" s="1"/>
  <c r="AF21" i="19" s="1"/>
  <c r="Z57" i="32"/>
  <c r="AC57" i="32" s="1"/>
  <c r="AD57" i="32" s="1"/>
  <c r="AG57" i="32" s="1"/>
  <c r="AH57" i="32" s="1"/>
  <c r="AK57" i="32" s="1"/>
  <c r="AL57" i="32" s="1"/>
  <c r="AO57" i="32" s="1"/>
  <c r="AP57" i="32" s="1"/>
  <c r="AS57" i="32" s="1"/>
  <c r="AT57" i="32" s="1"/>
  <c r="AW57" i="32" s="1"/>
  <c r="AG47" i="32"/>
  <c r="AH47" i="32" s="1"/>
  <c r="AK47" i="32" s="1"/>
  <c r="AX11" i="32"/>
  <c r="BA11" i="32"/>
  <c r="BB11" i="32" s="1"/>
  <c r="BE11" i="32" s="1"/>
  <c r="BF11" i="32" s="1"/>
  <c r="BI11" i="32" s="1"/>
  <c r="BJ11" i="32" s="1"/>
  <c r="L11" i="32" s="1"/>
  <c r="BF89" i="32"/>
  <c r="BI89" i="32" s="1"/>
  <c r="BJ89" i="32" s="1"/>
  <c r="L89" i="32" s="1"/>
  <c r="AP73" i="32"/>
  <c r="AS73" i="32" s="1"/>
  <c r="AT73" i="32" s="1"/>
  <c r="AW73" i="32" s="1"/>
  <c r="AX73" i="32" s="1"/>
  <c r="BA73" i="32" s="1"/>
  <c r="BB73" i="32" s="1"/>
  <c r="BE73" i="32" s="1"/>
  <c r="BF73" i="32" s="1"/>
  <c r="BI73" i="32" s="1"/>
  <c r="BJ73" i="32" s="1"/>
  <c r="AL87" i="32"/>
  <c r="AO87" i="32" s="1"/>
  <c r="AP87" i="32" s="1"/>
  <c r="AS87" i="32" s="1"/>
  <c r="AT87" i="32" s="1"/>
  <c r="AW87" i="32" s="1"/>
  <c r="AX87" i="32" s="1"/>
  <c r="BA87" i="32" s="1"/>
  <c r="BB87" i="32" s="1"/>
  <c r="BE87" i="32" s="1"/>
  <c r="BF87" i="32" s="1"/>
  <c r="BI87" i="32" s="1"/>
  <c r="BJ87" i="32" s="1"/>
  <c r="L87" i="32" s="1"/>
  <c r="M43" i="32"/>
  <c r="I43" i="32"/>
  <c r="N43" i="32"/>
  <c r="AG91" i="26"/>
  <c r="AH2" i="26"/>
  <c r="AH91" i="26" s="1"/>
  <c r="R74" i="32"/>
  <c r="U74" i="32" s="1"/>
  <c r="V74" i="32" s="1"/>
  <c r="Y74" i="32" s="1"/>
  <c r="Z74" i="32" s="1"/>
  <c r="AC74" i="32" s="1"/>
  <c r="AD74" i="32" s="1"/>
  <c r="AG74" i="32" s="1"/>
  <c r="AH74" i="32" s="1"/>
  <c r="AK74" i="32" s="1"/>
  <c r="AL74" i="32" s="1"/>
  <c r="AO74" i="32" s="1"/>
  <c r="AP74" i="32" s="1"/>
  <c r="AS74" i="32" s="1"/>
  <c r="BB25" i="26"/>
  <c r="BE25" i="26" s="1"/>
  <c r="P20" i="19"/>
  <c r="W71" i="19"/>
  <c r="X71" i="19" s="1"/>
  <c r="AA71" i="19" s="1"/>
  <c r="AB71" i="19" s="1"/>
  <c r="AE71" i="19" s="1"/>
  <c r="AF71" i="19" s="1"/>
  <c r="N71" i="19" s="1"/>
  <c r="K71" i="19" s="1"/>
  <c r="O59" i="19"/>
  <c r="O51" i="19"/>
  <c r="F53" i="15" s="1"/>
  <c r="L13" i="32"/>
  <c r="AP84" i="32"/>
  <c r="I32" i="32"/>
  <c r="M32" i="32"/>
  <c r="N32" i="32"/>
  <c r="AD91" i="26"/>
  <c r="L70" i="32"/>
  <c r="L9" i="26"/>
  <c r="N82" i="19"/>
  <c r="K82" i="19" s="1"/>
  <c r="AG52" i="20"/>
  <c r="AH52" i="20" s="1"/>
  <c r="AK52" i="20" s="1"/>
  <c r="AL52" i="20" s="1"/>
  <c r="AO52" i="20" s="1"/>
  <c r="AP52" i="20" s="1"/>
  <c r="AS52" i="20" s="1"/>
  <c r="AT52" i="20" s="1"/>
  <c r="AG3" i="20"/>
  <c r="AH3" i="20" s="1"/>
  <c r="AK3" i="20" s="1"/>
  <c r="AL3" i="20" s="1"/>
  <c r="AO3" i="20" s="1"/>
  <c r="AP3" i="20" s="1"/>
  <c r="AS3" i="20" s="1"/>
  <c r="AT3" i="20" s="1"/>
  <c r="I52" i="20"/>
  <c r="M52" i="20"/>
  <c r="G54" i="15" s="1"/>
  <c r="H54" i="15" s="1"/>
  <c r="I66" i="20"/>
  <c r="M66" i="20"/>
  <c r="G68" i="15" s="1"/>
  <c r="S42" i="19"/>
  <c r="T42" i="19" s="1"/>
  <c r="W42" i="19" s="1"/>
  <c r="X42" i="19" s="1"/>
  <c r="AA42" i="19" s="1"/>
  <c r="AB42" i="19" s="1"/>
  <c r="AE42" i="19" s="1"/>
  <c r="AF42" i="19" s="1"/>
  <c r="N42" i="19" s="1"/>
  <c r="K42" i="19" s="1"/>
  <c r="S34" i="19"/>
  <c r="T34" i="19" s="1"/>
  <c r="W34" i="19" s="1"/>
  <c r="X34" i="19" s="1"/>
  <c r="AA34" i="19" s="1"/>
  <c r="AB34" i="19" s="1"/>
  <c r="AE34" i="19" s="1"/>
  <c r="AF34" i="19" s="1"/>
  <c r="N34" i="19" s="1"/>
  <c r="K34" i="19" s="1"/>
  <c r="S61" i="19"/>
  <c r="T61" i="19" s="1"/>
  <c r="W61" i="19" s="1"/>
  <c r="X61" i="19" s="1"/>
  <c r="AA61" i="19" s="1"/>
  <c r="AB61" i="19" s="1"/>
  <c r="AE61" i="19" s="1"/>
  <c r="AF61" i="19" s="1"/>
  <c r="N61" i="19" s="1"/>
  <c r="K61" i="19" s="1"/>
  <c r="S36" i="19"/>
  <c r="S63" i="19"/>
  <c r="T63" i="19" s="1"/>
  <c r="S57" i="19"/>
  <c r="T57" i="19" s="1"/>
  <c r="W57" i="19" s="1"/>
  <c r="X57" i="19" s="1"/>
  <c r="AA57" i="19" s="1"/>
  <c r="AB57" i="19" s="1"/>
  <c r="AE57" i="19" s="1"/>
  <c r="AF57" i="19" s="1"/>
  <c r="N57" i="19" s="1"/>
  <c r="S84" i="19"/>
  <c r="T84" i="19" s="1"/>
  <c r="W84" i="19" s="1"/>
  <c r="X84" i="19" s="1"/>
  <c r="AA84" i="19" s="1"/>
  <c r="AB84" i="19" s="1"/>
  <c r="AE84" i="19" s="1"/>
  <c r="AF84" i="19" s="1"/>
  <c r="N84" i="19" s="1"/>
  <c r="K84" i="19" s="1"/>
  <c r="S38" i="19"/>
  <c r="T38" i="19" s="1"/>
  <c r="W38" i="19" s="1"/>
  <c r="X38" i="19" s="1"/>
  <c r="AA38" i="19" s="1"/>
  <c r="AB38" i="19" s="1"/>
  <c r="AE38" i="19" s="1"/>
  <c r="AF38" i="19" s="1"/>
  <c r="N38" i="19" s="1"/>
  <c r="K38" i="19" s="1"/>
  <c r="S17" i="19"/>
  <c r="S83" i="19"/>
  <c r="T83" i="19" s="1"/>
  <c r="W83" i="19" s="1"/>
  <c r="X83" i="19" s="1"/>
  <c r="AA83" i="19" s="1"/>
  <c r="AB83" i="19" s="1"/>
  <c r="AE83" i="19" s="1"/>
  <c r="AF83" i="19" s="1"/>
  <c r="N83" i="19" s="1"/>
  <c r="K83" i="19" s="1"/>
  <c r="S85" i="19"/>
  <c r="T85" i="19" s="1"/>
  <c r="W85" i="19" s="1"/>
  <c r="X85" i="19" s="1"/>
  <c r="AA85" i="19" s="1"/>
  <c r="AB85" i="19" s="1"/>
  <c r="AE85" i="19" s="1"/>
  <c r="AF85" i="19" s="1"/>
  <c r="S81" i="19"/>
  <c r="T81" i="19" s="1"/>
  <c r="S53" i="19"/>
  <c r="T53" i="19" s="1"/>
  <c r="O69" i="18"/>
  <c r="J69" i="18"/>
  <c r="F66" i="15"/>
  <c r="Q64" i="20"/>
  <c r="R64" i="20" s="1"/>
  <c r="U64" i="20" s="1"/>
  <c r="V64" i="20" s="1"/>
  <c r="Y64" i="20" s="1"/>
  <c r="F22" i="15"/>
  <c r="P57" i="19"/>
  <c r="K57" i="19"/>
  <c r="F61" i="15"/>
  <c r="Q59" i="20"/>
  <c r="R59" i="20" s="1"/>
  <c r="U59" i="20" s="1"/>
  <c r="V59" i="20" s="1"/>
  <c r="Y59" i="20" s="1"/>
  <c r="Z59" i="20" s="1"/>
  <c r="AC59" i="20" s="1"/>
  <c r="AD59" i="20" s="1"/>
  <c r="L59" i="20" s="1"/>
  <c r="N59" i="20" s="1"/>
  <c r="F92" i="15"/>
  <c r="Q90" i="20"/>
  <c r="R90" i="20" s="1"/>
  <c r="U90" i="20" s="1"/>
  <c r="V90" i="20" s="1"/>
  <c r="Y90" i="20" s="1"/>
  <c r="Z90" i="20" s="1"/>
  <c r="AC90" i="20" s="1"/>
  <c r="AD90" i="20" s="1"/>
  <c r="AG90" i="20" s="1"/>
  <c r="AH90" i="20" s="1"/>
  <c r="AK90" i="20" s="1"/>
  <c r="AL90" i="20" s="1"/>
  <c r="AO90" i="20" s="1"/>
  <c r="AP90" i="20" s="1"/>
  <c r="AS90" i="20" s="1"/>
  <c r="AT90" i="20" s="1"/>
  <c r="Q51" i="20"/>
  <c r="R51" i="20" s="1"/>
  <c r="U51" i="20" s="1"/>
  <c r="V51" i="20" s="1"/>
  <c r="Y51" i="20" s="1"/>
  <c r="Z51" i="20" s="1"/>
  <c r="AC51" i="20" s="1"/>
  <c r="AD51" i="20" s="1"/>
  <c r="L51" i="20" s="1"/>
  <c r="I3" i="20"/>
  <c r="G6" i="15"/>
  <c r="H6" i="15" s="1"/>
  <c r="N3" i="20"/>
  <c r="Q50" i="20"/>
  <c r="R50" i="20" s="1"/>
  <c r="U50" i="20" s="1"/>
  <c r="V50" i="20" s="1"/>
  <c r="Y50" i="20" s="1"/>
  <c r="Z50" i="20" s="1"/>
  <c r="AC50" i="20" s="1"/>
  <c r="AD50" i="20" s="1"/>
  <c r="AG50" i="20" s="1"/>
  <c r="AH50" i="20" s="1"/>
  <c r="AK50" i="20" s="1"/>
  <c r="AL50" i="20" s="1"/>
  <c r="AO50" i="20" s="1"/>
  <c r="AP50" i="20" s="1"/>
  <c r="AS50" i="20" s="1"/>
  <c r="AT50" i="20" s="1"/>
  <c r="F82" i="15"/>
  <c r="Q80" i="20"/>
  <c r="R80" i="20" s="1"/>
  <c r="U80" i="20" s="1"/>
  <c r="V80" i="20" s="1"/>
  <c r="Y80" i="20" s="1"/>
  <c r="Z80" i="20" s="1"/>
  <c r="AC80" i="20" s="1"/>
  <c r="AD80" i="20" s="1"/>
  <c r="L80" i="20" s="1"/>
  <c r="N80" i="20" s="1"/>
  <c r="N66" i="20"/>
  <c r="Q20" i="20"/>
  <c r="R20" i="20" s="1"/>
  <c r="U20" i="20" s="1"/>
  <c r="V20" i="20" s="1"/>
  <c r="Y20" i="20" s="1"/>
  <c r="Z20" i="20" s="1"/>
  <c r="AC20" i="20" s="1"/>
  <c r="P18" i="19"/>
  <c r="O18" i="19"/>
  <c r="F74" i="19"/>
  <c r="E27" i="15"/>
  <c r="E19" i="15"/>
  <c r="F19" i="19"/>
  <c r="E47" i="15"/>
  <c r="E77" i="15"/>
  <c r="F73" i="19"/>
  <c r="F16" i="19"/>
  <c r="E31" i="15"/>
  <c r="E22" i="15"/>
  <c r="E76" i="15"/>
  <c r="T5" i="19"/>
  <c r="W5" i="19" s="1"/>
  <c r="X5" i="19" s="1"/>
  <c r="AA5" i="19" s="1"/>
  <c r="AB5" i="19" s="1"/>
  <c r="AE5" i="19" s="1"/>
  <c r="AF5" i="19" s="1"/>
  <c r="F14" i="19"/>
  <c r="E25" i="15"/>
  <c r="E17" i="15"/>
  <c r="T17" i="19"/>
  <c r="W17" i="19" s="1"/>
  <c r="X17" i="19" s="1"/>
  <c r="AA17" i="19" s="1"/>
  <c r="N67" i="19"/>
  <c r="N8" i="19"/>
  <c r="W63" i="19"/>
  <c r="X63" i="19" s="1"/>
  <c r="AA63" i="19" s="1"/>
  <c r="AB63" i="19" s="1"/>
  <c r="AE63" i="19" s="1"/>
  <c r="AF63" i="19" s="1"/>
  <c r="N72" i="19"/>
  <c r="O57" i="19"/>
  <c r="F22" i="19"/>
  <c r="F24" i="19"/>
  <c r="P71" i="19"/>
  <c r="S29" i="19"/>
  <c r="T29" i="19" s="1"/>
  <c r="F28" i="19"/>
  <c r="N87" i="19"/>
  <c r="K87" i="19" s="1"/>
  <c r="T36" i="19"/>
  <c r="W36" i="19" s="1"/>
  <c r="X36" i="19" s="1"/>
  <c r="AA36" i="19" s="1"/>
  <c r="AB36" i="19" s="1"/>
  <c r="AE36" i="19" s="1"/>
  <c r="AF36" i="19" s="1"/>
  <c r="N36" i="19" s="1"/>
  <c r="K36" i="19" s="1"/>
  <c r="P11" i="19"/>
  <c r="O11" i="19"/>
  <c r="P33" i="19"/>
  <c r="N54" i="19"/>
  <c r="K54" i="19" s="1"/>
  <c r="S45" i="19"/>
  <c r="T45" i="19" s="1"/>
  <c r="W45" i="19" s="1"/>
  <c r="X45" i="19" s="1"/>
  <c r="AA45" i="19" s="1"/>
  <c r="F44" i="19"/>
  <c r="N88" i="19"/>
  <c r="K88" i="19" s="1"/>
  <c r="O35" i="18"/>
  <c r="N35" i="18"/>
  <c r="N69" i="18"/>
  <c r="BG40" i="18"/>
  <c r="BC30" i="18"/>
  <c r="BF30" i="18" s="1"/>
  <c r="N48" i="18"/>
  <c r="O48" i="18"/>
  <c r="O15" i="18"/>
  <c r="N15" i="18"/>
  <c r="M39" i="18"/>
  <c r="J39" i="18" s="1"/>
  <c r="BF75" i="18"/>
  <c r="BG75" i="18" s="1"/>
  <c r="BJ75" i="18" s="1"/>
  <c r="BK75" i="18" s="1"/>
  <c r="M31" i="18"/>
  <c r="J31" i="18" s="1"/>
  <c r="N7" i="18"/>
  <c r="O7" i="18"/>
  <c r="F41" i="19"/>
  <c r="O65" i="18"/>
  <c r="N65" i="18"/>
  <c r="P37" i="19"/>
  <c r="O37" i="19"/>
  <c r="M46" i="18"/>
  <c r="J46" i="18" s="1"/>
  <c r="AU70" i="18"/>
  <c r="AX70" i="18" s="1"/>
  <c r="BF2" i="18"/>
  <c r="AQ78" i="18"/>
  <c r="AT78" i="18" s="1"/>
  <c r="AA6" i="18"/>
  <c r="Z91" i="18"/>
  <c r="BB12" i="18"/>
  <c r="BG47" i="18"/>
  <c r="BB89" i="18"/>
  <c r="BJ55" i="18"/>
  <c r="BK55" i="18" s="1"/>
  <c r="M55" i="18" s="1"/>
  <c r="J55" i="18" s="1"/>
  <c r="AT25" i="18"/>
  <c r="P42" i="19" l="1"/>
  <c r="W81" i="19"/>
  <c r="X81" i="19" s="1"/>
  <c r="AA81" i="19" s="1"/>
  <c r="AB81" i="19" s="1"/>
  <c r="AE81" i="19" s="1"/>
  <c r="AF81" i="19" s="1"/>
  <c r="O33" i="19"/>
  <c r="AK2" i="26"/>
  <c r="N21" i="19"/>
  <c r="K21" i="19" s="1"/>
  <c r="O38" i="19"/>
  <c r="P38" i="19"/>
  <c r="L73" i="32"/>
  <c r="I73" i="32" s="1"/>
  <c r="P83" i="19"/>
  <c r="AG59" i="20"/>
  <c r="AH59" i="20" s="1"/>
  <c r="AK59" i="20" s="1"/>
  <c r="AL59" i="20" s="1"/>
  <c r="AO59" i="20" s="1"/>
  <c r="AP59" i="20" s="1"/>
  <c r="AS59" i="20" s="1"/>
  <c r="AT59" i="20" s="1"/>
  <c r="O34" i="19"/>
  <c r="P84" i="19"/>
  <c r="P34" i="19"/>
  <c r="O83" i="19"/>
  <c r="F85" i="15" s="1"/>
  <c r="M89" i="32"/>
  <c r="I89" i="32"/>
  <c r="N89" i="32"/>
  <c r="AX57" i="32"/>
  <c r="BA57" i="32" s="1"/>
  <c r="BB57" i="32" s="1"/>
  <c r="BE57" i="32" s="1"/>
  <c r="BF57" i="32" s="1"/>
  <c r="BI57" i="32" s="1"/>
  <c r="BJ57" i="32" s="1"/>
  <c r="L57" i="32" s="1"/>
  <c r="N87" i="32"/>
  <c r="I87" i="32"/>
  <c r="M87" i="32"/>
  <c r="I9" i="26"/>
  <c r="E9" i="32" s="1"/>
  <c r="Q9" i="32" s="1"/>
  <c r="R9" i="32" s="1"/>
  <c r="U9" i="32" s="1"/>
  <c r="V9" i="32" s="1"/>
  <c r="Y9" i="32" s="1"/>
  <c r="Z9" i="32" s="1"/>
  <c r="AC9" i="32" s="1"/>
  <c r="AD9" i="32" s="1"/>
  <c r="AG9" i="32" s="1"/>
  <c r="AH9" i="32" s="1"/>
  <c r="AK9" i="32" s="1"/>
  <c r="AL9" i="32" s="1"/>
  <c r="AO9" i="32" s="1"/>
  <c r="AP9" i="32" s="1"/>
  <c r="AS9" i="32" s="1"/>
  <c r="AT9" i="32" s="1"/>
  <c r="AW9" i="32" s="1"/>
  <c r="AX9" i="32" s="1"/>
  <c r="BA9" i="32" s="1"/>
  <c r="BB9" i="32" s="1"/>
  <c r="BE9" i="32" s="1"/>
  <c r="BF9" i="32" s="1"/>
  <c r="BI9" i="32" s="1"/>
  <c r="BJ9" i="32" s="1"/>
  <c r="L9" i="32" s="1"/>
  <c r="M9" i="26"/>
  <c r="N9" i="26"/>
  <c r="BF25" i="26"/>
  <c r="AT74" i="32"/>
  <c r="AW74" i="32" s="1"/>
  <c r="AX74" i="32" s="1"/>
  <c r="BA74" i="32" s="1"/>
  <c r="BB74" i="32" s="1"/>
  <c r="BE74" i="32" s="1"/>
  <c r="BF74" i="32" s="1"/>
  <c r="BI74" i="32" s="1"/>
  <c r="BJ74" i="32" s="1"/>
  <c r="L74" i="32" s="1"/>
  <c r="AL2" i="26"/>
  <c r="AO2" i="26" s="1"/>
  <c r="AK91" i="26"/>
  <c r="M11" i="32"/>
  <c r="I11" i="32"/>
  <c r="N11" i="32"/>
  <c r="N81" i="19"/>
  <c r="K81" i="19" s="1"/>
  <c r="O42" i="19"/>
  <c r="O84" i="19"/>
  <c r="O71" i="19"/>
  <c r="W53" i="19"/>
  <c r="X53" i="19" s="1"/>
  <c r="AA53" i="19" s="1"/>
  <c r="AB53" i="19" s="1"/>
  <c r="AE53" i="19" s="1"/>
  <c r="AF53" i="19" s="1"/>
  <c r="N53" i="19" s="1"/>
  <c r="P53" i="19" s="1"/>
  <c r="L50" i="20"/>
  <c r="M50" i="20" s="1"/>
  <c r="G52" i="15" s="1"/>
  <c r="M70" i="32"/>
  <c r="N70" i="32"/>
  <c r="I70" i="32"/>
  <c r="AS84" i="32"/>
  <c r="I13" i="32"/>
  <c r="N13" i="32"/>
  <c r="M13" i="32"/>
  <c r="AL47" i="32"/>
  <c r="AO47" i="32"/>
  <c r="AP47" i="32" s="1"/>
  <c r="AS47" i="32" s="1"/>
  <c r="AT47" i="32" s="1"/>
  <c r="AW47" i="32" s="1"/>
  <c r="AX47" i="32" s="1"/>
  <c r="BA47" i="32" s="1"/>
  <c r="BB47" i="32" s="1"/>
  <c r="BE47" i="32" s="1"/>
  <c r="BF47" i="32" s="1"/>
  <c r="BI47" i="32" s="1"/>
  <c r="BJ47" i="32" s="1"/>
  <c r="O82" i="19"/>
  <c r="F84" i="15" s="1"/>
  <c r="P82" i="19"/>
  <c r="AG80" i="20"/>
  <c r="AH80" i="20" s="1"/>
  <c r="AK80" i="20" s="1"/>
  <c r="AL80" i="20" s="1"/>
  <c r="AO80" i="20" s="1"/>
  <c r="AP80" i="20" s="1"/>
  <c r="AS80" i="20" s="1"/>
  <c r="AT80" i="20" s="1"/>
  <c r="L90" i="20"/>
  <c r="M90" i="20" s="1"/>
  <c r="G92" i="15" s="1"/>
  <c r="I51" i="20"/>
  <c r="M51" i="20"/>
  <c r="G53" i="15" s="1"/>
  <c r="H53" i="15" s="1"/>
  <c r="I80" i="20"/>
  <c r="M80" i="20"/>
  <c r="G82" i="15" s="1"/>
  <c r="I59" i="20"/>
  <c r="M59" i="20"/>
  <c r="G61" i="15" s="1"/>
  <c r="S41" i="19"/>
  <c r="T41" i="19" s="1"/>
  <c r="W41" i="19" s="1"/>
  <c r="X41" i="19" s="1"/>
  <c r="AA41" i="19" s="1"/>
  <c r="AB41" i="19" s="1"/>
  <c r="AE41" i="19" s="1"/>
  <c r="AF41" i="19" s="1"/>
  <c r="N41" i="19" s="1"/>
  <c r="K41" i="19" s="1"/>
  <c r="S44" i="19"/>
  <c r="T44" i="19" s="1"/>
  <c r="W44" i="19" s="1"/>
  <c r="X44" i="19" s="1"/>
  <c r="AA44" i="19" s="1"/>
  <c r="AB44" i="19" s="1"/>
  <c r="AE44" i="19" s="1"/>
  <c r="AF44" i="19" s="1"/>
  <c r="N44" i="19" s="1"/>
  <c r="K44" i="19" s="1"/>
  <c r="S28" i="19"/>
  <c r="T28" i="19" s="1"/>
  <c r="S24" i="19"/>
  <c r="T24" i="19" s="1"/>
  <c r="W24" i="19" s="1"/>
  <c r="X24" i="19" s="1"/>
  <c r="AA24" i="19" s="1"/>
  <c r="AB24" i="19" s="1"/>
  <c r="AE24" i="19" s="1"/>
  <c r="AF24" i="19" s="1"/>
  <c r="N24" i="19" s="1"/>
  <c r="K24" i="19" s="1"/>
  <c r="S22" i="19"/>
  <c r="T22" i="19" s="1"/>
  <c r="W22" i="19" s="1"/>
  <c r="X22" i="19" s="1"/>
  <c r="AA22" i="19" s="1"/>
  <c r="AB22" i="19" s="1"/>
  <c r="AE22" i="19" s="1"/>
  <c r="AF22" i="19" s="1"/>
  <c r="S14" i="19"/>
  <c r="T14" i="19" s="1"/>
  <c r="W14" i="19" s="1"/>
  <c r="X14" i="19" s="1"/>
  <c r="AA14" i="19" s="1"/>
  <c r="AB14" i="19" s="1"/>
  <c r="AE14" i="19" s="1"/>
  <c r="AF14" i="19" s="1"/>
  <c r="N14" i="19" s="1"/>
  <c r="K14" i="19" s="1"/>
  <c r="S16" i="19"/>
  <c r="T16" i="19" s="1"/>
  <c r="W16" i="19" s="1"/>
  <c r="X16" i="19" s="1"/>
  <c r="AA16" i="19" s="1"/>
  <c r="AB16" i="19" s="1"/>
  <c r="AE16" i="19" s="1"/>
  <c r="AF16" i="19" s="1"/>
  <c r="N16" i="19" s="1"/>
  <c r="K16" i="19" s="1"/>
  <c r="S73" i="19"/>
  <c r="T73" i="19" s="1"/>
  <c r="W73" i="19" s="1"/>
  <c r="X73" i="19" s="1"/>
  <c r="AA73" i="19" s="1"/>
  <c r="AB73" i="19" s="1"/>
  <c r="AE73" i="19" s="1"/>
  <c r="AF73" i="19" s="1"/>
  <c r="N73" i="19" s="1"/>
  <c r="K73" i="19" s="1"/>
  <c r="S74" i="19"/>
  <c r="T74" i="19" s="1"/>
  <c r="W74" i="19" s="1"/>
  <c r="X74" i="19" s="1"/>
  <c r="AA74" i="19" s="1"/>
  <c r="AB74" i="19" s="1"/>
  <c r="AE74" i="19" s="1"/>
  <c r="AF74" i="19" s="1"/>
  <c r="N74" i="19" s="1"/>
  <c r="K74" i="19" s="1"/>
  <c r="S19" i="19"/>
  <c r="T19" i="19" s="1"/>
  <c r="W19" i="19" s="1"/>
  <c r="X19" i="19" s="1"/>
  <c r="AA19" i="19" s="1"/>
  <c r="AB19" i="19" s="1"/>
  <c r="AE19" i="19" s="1"/>
  <c r="AF19" i="19" s="1"/>
  <c r="N19" i="19" s="1"/>
  <c r="K19" i="19" s="1"/>
  <c r="Q82" i="20"/>
  <c r="R82" i="20" s="1"/>
  <c r="U82" i="20" s="1"/>
  <c r="V82" i="20" s="1"/>
  <c r="Y82" i="20" s="1"/>
  <c r="Z82" i="20" s="1"/>
  <c r="AC82" i="20" s="1"/>
  <c r="AD82" i="20" s="1"/>
  <c r="L82" i="20" s="1"/>
  <c r="F39" i="15"/>
  <c r="Q37" i="20"/>
  <c r="R37" i="20" s="1"/>
  <c r="U37" i="20" s="1"/>
  <c r="V37" i="20" s="1"/>
  <c r="Y37" i="20" s="1"/>
  <c r="Z37" i="20" s="1"/>
  <c r="AC37" i="20" s="1"/>
  <c r="AD37" i="20" s="1"/>
  <c r="L37" i="20" s="1"/>
  <c r="E68" i="15"/>
  <c r="E10" i="15"/>
  <c r="E51" i="15"/>
  <c r="F35" i="15"/>
  <c r="Q33" i="20"/>
  <c r="R33" i="20" s="1"/>
  <c r="F13" i="15"/>
  <c r="Q11" i="20"/>
  <c r="R11" i="20" s="1"/>
  <c r="U11" i="20" s="1"/>
  <c r="V11" i="20" s="1"/>
  <c r="Y11" i="20" s="1"/>
  <c r="Z11" i="20" s="1"/>
  <c r="AC11" i="20" s="1"/>
  <c r="F44" i="15"/>
  <c r="Q42" i="20"/>
  <c r="R42" i="20" s="1"/>
  <c r="U42" i="20" s="1"/>
  <c r="V42" i="20" s="1"/>
  <c r="Y42" i="20" s="1"/>
  <c r="Z42" i="20" s="1"/>
  <c r="AC42" i="20" s="1"/>
  <c r="AD42" i="20" s="1"/>
  <c r="L42" i="20" s="1"/>
  <c r="F36" i="15"/>
  <c r="Q34" i="20"/>
  <c r="R34" i="20" s="1"/>
  <c r="F86" i="15"/>
  <c r="Q84" i="20"/>
  <c r="R84" i="20" s="1"/>
  <c r="U84" i="20" s="1"/>
  <c r="V84" i="20" s="1"/>
  <c r="Y84" i="20" s="1"/>
  <c r="Z84" i="20" s="1"/>
  <c r="AC84" i="20" s="1"/>
  <c r="AD84" i="20" s="1"/>
  <c r="AG84" i="20" s="1"/>
  <c r="AH84" i="20" s="1"/>
  <c r="AK84" i="20" s="1"/>
  <c r="AL84" i="20" s="1"/>
  <c r="AO84" i="20" s="1"/>
  <c r="F73" i="15"/>
  <c r="Q71" i="20"/>
  <c r="R71" i="20" s="1"/>
  <c r="U71" i="20" s="1"/>
  <c r="V71" i="20" s="1"/>
  <c r="Y71" i="20" s="1"/>
  <c r="Z71" i="20" s="1"/>
  <c r="AC71" i="20" s="1"/>
  <c r="F40" i="15"/>
  <c r="Q38" i="20"/>
  <c r="R38" i="20" s="1"/>
  <c r="U38" i="20" s="1"/>
  <c r="V38" i="20" s="1"/>
  <c r="Y38" i="20" s="1"/>
  <c r="Z38" i="20" s="1"/>
  <c r="AC38" i="20" s="1"/>
  <c r="AD38" i="20" s="1"/>
  <c r="L38" i="20" s="1"/>
  <c r="F59" i="15"/>
  <c r="Q57" i="20"/>
  <c r="R57" i="20" s="1"/>
  <c r="U57" i="20" s="1"/>
  <c r="V57" i="20" s="1"/>
  <c r="Y57" i="20" s="1"/>
  <c r="Z57" i="20" s="1"/>
  <c r="P72" i="19"/>
  <c r="K72" i="19"/>
  <c r="P8" i="19"/>
  <c r="K8" i="19"/>
  <c r="O67" i="19"/>
  <c r="K67" i="19"/>
  <c r="Q83" i="20"/>
  <c r="R83" i="20" s="1"/>
  <c r="U83" i="20" s="1"/>
  <c r="V83" i="20" s="1"/>
  <c r="Y83" i="20" s="1"/>
  <c r="Z83" i="20" s="1"/>
  <c r="AC83" i="20" s="1"/>
  <c r="AD83" i="20" s="1"/>
  <c r="L83" i="20" s="1"/>
  <c r="F20" i="15"/>
  <c r="Q18" i="20"/>
  <c r="R18" i="20" s="1"/>
  <c r="N90" i="20"/>
  <c r="W29" i="19"/>
  <c r="X29" i="19" s="1"/>
  <c r="AA29" i="19" s="1"/>
  <c r="AB29" i="19" s="1"/>
  <c r="AE29" i="19" s="1"/>
  <c r="AF29" i="19" s="1"/>
  <c r="H68" i="15"/>
  <c r="F77" i="19"/>
  <c r="AG51" i="20"/>
  <c r="AH51" i="20" s="1"/>
  <c r="AK51" i="20" s="1"/>
  <c r="AL51" i="20" s="1"/>
  <c r="AO51" i="20" s="1"/>
  <c r="AP51" i="20" s="1"/>
  <c r="AS51" i="20" s="1"/>
  <c r="AT51" i="20" s="1"/>
  <c r="F62" i="19"/>
  <c r="E38" i="15"/>
  <c r="E26" i="15"/>
  <c r="N5" i="19"/>
  <c r="K5" i="19" s="1"/>
  <c r="F23" i="19"/>
  <c r="N51" i="20"/>
  <c r="E80" i="15"/>
  <c r="E18" i="15"/>
  <c r="E13" i="15"/>
  <c r="N85" i="19"/>
  <c r="K85" i="19" s="1"/>
  <c r="F10" i="19"/>
  <c r="E46" i="15"/>
  <c r="P21" i="19"/>
  <c r="O21" i="19"/>
  <c r="F43" i="19"/>
  <c r="E65" i="15"/>
  <c r="E44" i="15"/>
  <c r="F35" i="19"/>
  <c r="AB17" i="19"/>
  <c r="AE17" i="19" s="1"/>
  <c r="AF17" i="19" s="1"/>
  <c r="N17" i="19" s="1"/>
  <c r="K17" i="19" s="1"/>
  <c r="O8" i="19"/>
  <c r="P67" i="19"/>
  <c r="N63" i="19"/>
  <c r="O72" i="19"/>
  <c r="F65" i="19"/>
  <c r="F7" i="19"/>
  <c r="F15" i="19"/>
  <c r="F48" i="19"/>
  <c r="AD20" i="20"/>
  <c r="L20" i="20" s="1"/>
  <c r="P87" i="19"/>
  <c r="O87" i="19"/>
  <c r="Z64" i="20"/>
  <c r="AC64" i="20" s="1"/>
  <c r="O36" i="19"/>
  <c r="P36" i="19"/>
  <c r="P54" i="19"/>
  <c r="O54" i="19"/>
  <c r="O61" i="19"/>
  <c r="P61" i="19"/>
  <c r="N83" i="20"/>
  <c r="U33" i="20"/>
  <c r="V33" i="20" s="1"/>
  <c r="Y33" i="20" s="1"/>
  <c r="Z33" i="20" s="1"/>
  <c r="AC33" i="20" s="1"/>
  <c r="AD33" i="20" s="1"/>
  <c r="AG33" i="20" s="1"/>
  <c r="AH33" i="20" s="1"/>
  <c r="AK33" i="20" s="1"/>
  <c r="AL33" i="20" s="1"/>
  <c r="AO33" i="20" s="1"/>
  <c r="O88" i="19"/>
  <c r="P88" i="19"/>
  <c r="BC12" i="18"/>
  <c r="BF12" i="18" s="1"/>
  <c r="BG12" i="18" s="1"/>
  <c r="BJ12" i="18" s="1"/>
  <c r="BK12" i="18" s="1"/>
  <c r="AY70" i="18"/>
  <c r="BB70" i="18" s="1"/>
  <c r="BC70" i="18" s="1"/>
  <c r="BF70" i="18" s="1"/>
  <c r="BG2" i="18"/>
  <c r="O31" i="18"/>
  <c r="N31" i="18"/>
  <c r="AU78" i="18"/>
  <c r="AX78" i="18" s="1"/>
  <c r="AB45" i="19"/>
  <c r="AE45" i="19" s="1"/>
  <c r="AF45" i="19" s="1"/>
  <c r="N45" i="19" s="1"/>
  <c r="K45" i="19" s="1"/>
  <c r="BJ40" i="18"/>
  <c r="BK40" i="18" s="1"/>
  <c r="M40" i="18" s="1"/>
  <c r="J40" i="18" s="1"/>
  <c r="BG30" i="18"/>
  <c r="BJ30" i="18" s="1"/>
  <c r="BK30" i="18" s="1"/>
  <c r="AD6" i="18"/>
  <c r="AA91" i="18"/>
  <c r="N46" i="18"/>
  <c r="O46" i="18"/>
  <c r="BC89" i="18"/>
  <c r="BF89" i="18" s="1"/>
  <c r="BG89" i="18" s="1"/>
  <c r="BJ89" i="18" s="1"/>
  <c r="BK89" i="18" s="1"/>
  <c r="BJ47" i="18"/>
  <c r="BK47" i="18" s="1"/>
  <c r="M47" i="18" s="1"/>
  <c r="J47" i="18" s="1"/>
  <c r="N39" i="18"/>
  <c r="O39" i="18"/>
  <c r="M75" i="18"/>
  <c r="J75" i="18" s="1"/>
  <c r="N55" i="18"/>
  <c r="O55" i="18"/>
  <c r="AU25" i="18"/>
  <c r="N22" i="19" l="1"/>
  <c r="K22" i="19" s="1"/>
  <c r="P81" i="19"/>
  <c r="I50" i="20"/>
  <c r="AC57" i="20"/>
  <c r="AD57" i="20" s="1"/>
  <c r="L57" i="20" s="1"/>
  <c r="M57" i="20" s="1"/>
  <c r="P16" i="19"/>
  <c r="O16" i="19"/>
  <c r="M73" i="32"/>
  <c r="N73" i="32"/>
  <c r="U18" i="20"/>
  <c r="V18" i="20" s="1"/>
  <c r="Y18" i="20" s="1"/>
  <c r="Z18" i="20" s="1"/>
  <c r="AC18" i="20" s="1"/>
  <c r="AD18" i="20" s="1"/>
  <c r="AG18" i="20" s="1"/>
  <c r="AH18" i="20" s="1"/>
  <c r="AK18" i="20" s="1"/>
  <c r="AL18" i="20" s="1"/>
  <c r="AO18" i="20" s="1"/>
  <c r="AP18" i="20" s="1"/>
  <c r="AS18" i="20" s="1"/>
  <c r="AT18" i="20" s="1"/>
  <c r="N50" i="20"/>
  <c r="O19" i="19"/>
  <c r="W28" i="19"/>
  <c r="X28" i="19" s="1"/>
  <c r="AA28" i="19" s="1"/>
  <c r="AB28" i="19" s="1"/>
  <c r="AE28" i="19" s="1"/>
  <c r="AF28" i="19" s="1"/>
  <c r="P14" i="19"/>
  <c r="U34" i="20"/>
  <c r="V34" i="20" s="1"/>
  <c r="Y34" i="20" s="1"/>
  <c r="Z34" i="20" s="1"/>
  <c r="AC34" i="20" s="1"/>
  <c r="AD34" i="20" s="1"/>
  <c r="AG34" i="20" s="1"/>
  <c r="AH34" i="20" s="1"/>
  <c r="AK34" i="20" s="1"/>
  <c r="AL34" i="20" s="1"/>
  <c r="AO34" i="20" s="1"/>
  <c r="AP34" i="20" s="1"/>
  <c r="AS34" i="20" s="1"/>
  <c r="AT34" i="20" s="1"/>
  <c r="P74" i="19"/>
  <c r="O74" i="19"/>
  <c r="I74" i="32"/>
  <c r="N74" i="32"/>
  <c r="M74" i="32"/>
  <c r="AP2" i="26"/>
  <c r="AP91" i="26" s="1"/>
  <c r="AO91" i="26"/>
  <c r="M57" i="32"/>
  <c r="I57" i="32"/>
  <c r="N57" i="32"/>
  <c r="O81" i="19"/>
  <c r="F83" i="15" s="1"/>
  <c r="P19" i="19"/>
  <c r="O14" i="19"/>
  <c r="I90" i="20"/>
  <c r="L47" i="32"/>
  <c r="AT84" i="32"/>
  <c r="AW84" i="32" s="1"/>
  <c r="AL91" i="26"/>
  <c r="BI25" i="26"/>
  <c r="BJ25" i="26" s="1"/>
  <c r="L25" i="26" s="1"/>
  <c r="N9" i="32"/>
  <c r="M9" i="32"/>
  <c r="I9" i="32"/>
  <c r="P73" i="19"/>
  <c r="O53" i="19"/>
  <c r="F55" i="15" s="1"/>
  <c r="O73" i="19"/>
  <c r="F75" i="15" s="1"/>
  <c r="AG83" i="20"/>
  <c r="AH83" i="20" s="1"/>
  <c r="AK83" i="20" s="1"/>
  <c r="AL83" i="20" s="1"/>
  <c r="AO83" i="20" s="1"/>
  <c r="AP83" i="20" s="1"/>
  <c r="AS83" i="20" s="1"/>
  <c r="AT83" i="20" s="1"/>
  <c r="I38" i="20"/>
  <c r="M38" i="20"/>
  <c r="G40" i="15" s="1"/>
  <c r="H40" i="15" s="1"/>
  <c r="I82" i="20"/>
  <c r="M82" i="20"/>
  <c r="G84" i="15" s="1"/>
  <c r="H84" i="15" s="1"/>
  <c r="I37" i="20"/>
  <c r="M37" i="20"/>
  <c r="G39" i="15" s="1"/>
  <c r="H39" i="15" s="1"/>
  <c r="I42" i="20"/>
  <c r="M42" i="20"/>
  <c r="G44" i="15" s="1"/>
  <c r="H44" i="15" s="1"/>
  <c r="I20" i="20"/>
  <c r="M20" i="20"/>
  <c r="G22" i="15" s="1"/>
  <c r="H22" i="15" s="1"/>
  <c r="I83" i="20"/>
  <c r="M83" i="20"/>
  <c r="G85" i="15" s="1"/>
  <c r="H85" i="15" s="1"/>
  <c r="S48" i="19"/>
  <c r="T48" i="19" s="1"/>
  <c r="W48" i="19" s="1"/>
  <c r="X48" i="19" s="1"/>
  <c r="AA48" i="19" s="1"/>
  <c r="AB48" i="19" s="1"/>
  <c r="AE48" i="19" s="1"/>
  <c r="AF48" i="19" s="1"/>
  <c r="N48" i="19" s="1"/>
  <c r="K48" i="19" s="1"/>
  <c r="S15" i="19"/>
  <c r="T15" i="19" s="1"/>
  <c r="W15" i="19" s="1"/>
  <c r="X15" i="19" s="1"/>
  <c r="AA15" i="19" s="1"/>
  <c r="AB15" i="19" s="1"/>
  <c r="AE15" i="19" s="1"/>
  <c r="AF15" i="19" s="1"/>
  <c r="S65" i="19"/>
  <c r="T65" i="19" s="1"/>
  <c r="W65" i="19" s="1"/>
  <c r="X65" i="19" s="1"/>
  <c r="AA65" i="19" s="1"/>
  <c r="AB65" i="19" s="1"/>
  <c r="AE65" i="19" s="1"/>
  <c r="AF65" i="19" s="1"/>
  <c r="N65" i="19" s="1"/>
  <c r="K65" i="19" s="1"/>
  <c r="S35" i="19"/>
  <c r="T35" i="19" s="1"/>
  <c r="W35" i="19" s="1"/>
  <c r="X35" i="19" s="1"/>
  <c r="AA35" i="19" s="1"/>
  <c r="AB35" i="19" s="1"/>
  <c r="AE35" i="19" s="1"/>
  <c r="AF35" i="19" s="1"/>
  <c r="N35" i="19" s="1"/>
  <c r="K35" i="19" s="1"/>
  <c r="S43" i="19"/>
  <c r="T43" i="19" s="1"/>
  <c r="W43" i="19" s="1"/>
  <c r="X43" i="19" s="1"/>
  <c r="AA43" i="19" s="1"/>
  <c r="AB43" i="19" s="1"/>
  <c r="AE43" i="19" s="1"/>
  <c r="AF43" i="19" s="1"/>
  <c r="N43" i="19" s="1"/>
  <c r="K43" i="19" s="1"/>
  <c r="S23" i="19"/>
  <c r="T23" i="19" s="1"/>
  <c r="W23" i="19" s="1"/>
  <c r="X23" i="19" s="1"/>
  <c r="AA23" i="19" s="1"/>
  <c r="AB23" i="19" s="1"/>
  <c r="AE23" i="19" s="1"/>
  <c r="AF23" i="19" s="1"/>
  <c r="S62" i="19"/>
  <c r="T62" i="19" s="1"/>
  <c r="W62" i="19" s="1"/>
  <c r="X62" i="19" s="1"/>
  <c r="AA62" i="19" s="1"/>
  <c r="AB62" i="19" s="1"/>
  <c r="AE62" i="19" s="1"/>
  <c r="AF62" i="19" s="1"/>
  <c r="N62" i="19" s="1"/>
  <c r="K62" i="19" s="1"/>
  <c r="S77" i="19"/>
  <c r="T77" i="19" s="1"/>
  <c r="W77" i="19" s="1"/>
  <c r="X77" i="19" s="1"/>
  <c r="AA77" i="19" s="1"/>
  <c r="AB77" i="19" s="1"/>
  <c r="AE77" i="19" s="1"/>
  <c r="AF77" i="19" s="1"/>
  <c r="E34" i="15"/>
  <c r="F90" i="15"/>
  <c r="Q88" i="20"/>
  <c r="R88" i="20" s="1"/>
  <c r="U88" i="20" s="1"/>
  <c r="V88" i="20" s="1"/>
  <c r="Y88" i="20" s="1"/>
  <c r="Z88" i="20" s="1"/>
  <c r="AC88" i="20" s="1"/>
  <c r="AD88" i="20" s="1"/>
  <c r="L88" i="20" s="1"/>
  <c r="F63" i="15"/>
  <c r="Q61" i="20"/>
  <c r="R61" i="20" s="1"/>
  <c r="U61" i="20" s="1"/>
  <c r="V61" i="20" s="1"/>
  <c r="Y61" i="20" s="1"/>
  <c r="Z61" i="20" s="1"/>
  <c r="AC61" i="20" s="1"/>
  <c r="AD61" i="20" s="1"/>
  <c r="L61" i="20" s="1"/>
  <c r="F56" i="15"/>
  <c r="Q54" i="20"/>
  <c r="R54" i="20" s="1"/>
  <c r="U54" i="20" s="1"/>
  <c r="F38" i="15"/>
  <c r="Q36" i="20"/>
  <c r="R36" i="20" s="1"/>
  <c r="Q81" i="20"/>
  <c r="R81" i="20" s="1"/>
  <c r="F89" i="15"/>
  <c r="Q87" i="20"/>
  <c r="R87" i="20" s="1"/>
  <c r="F74" i="15"/>
  <c r="Q72" i="20"/>
  <c r="R72" i="20" s="1"/>
  <c r="U72" i="20" s="1"/>
  <c r="V72" i="20" s="1"/>
  <c r="Y72" i="20" s="1"/>
  <c r="Z72" i="20" s="1"/>
  <c r="AC72" i="20" s="1"/>
  <c r="AD72" i="20" s="1"/>
  <c r="L72" i="20" s="1"/>
  <c r="N72" i="20" s="1"/>
  <c r="P63" i="19"/>
  <c r="K63" i="19"/>
  <c r="F93" i="15"/>
  <c r="R8" i="20"/>
  <c r="U8" i="20" s="1"/>
  <c r="V8" i="20" s="1"/>
  <c r="Y8" i="20" s="1"/>
  <c r="Z8" i="20" s="1"/>
  <c r="AC8" i="20" s="1"/>
  <c r="AD8" i="20" s="1"/>
  <c r="L8" i="20" s="1"/>
  <c r="N8" i="20" s="1"/>
  <c r="P35" i="19"/>
  <c r="F18" i="15"/>
  <c r="Q16" i="20"/>
  <c r="R16" i="20" s="1"/>
  <c r="U16" i="20" s="1"/>
  <c r="V16" i="20" s="1"/>
  <c r="Y16" i="20" s="1"/>
  <c r="Z16" i="20" s="1"/>
  <c r="AC16" i="20" s="1"/>
  <c r="AD16" i="20" s="1"/>
  <c r="L16" i="20" s="1"/>
  <c r="F21" i="15"/>
  <c r="Q19" i="20"/>
  <c r="R19" i="20" s="1"/>
  <c r="U19" i="20" s="1"/>
  <c r="V19" i="20" s="1"/>
  <c r="Y19" i="20" s="1"/>
  <c r="Z19" i="20" s="1"/>
  <c r="AC19" i="20" s="1"/>
  <c r="AD19" i="20" s="1"/>
  <c r="L19" i="20" s="1"/>
  <c r="F23" i="15"/>
  <c r="Q21" i="20"/>
  <c r="R21" i="20" s="1"/>
  <c r="U21" i="20" s="1"/>
  <c r="V21" i="20" s="1"/>
  <c r="Y21" i="20" s="1"/>
  <c r="Z21" i="20" s="1"/>
  <c r="AC21" i="20" s="1"/>
  <c r="AD21" i="20" s="1"/>
  <c r="L21" i="20" s="1"/>
  <c r="F16" i="15"/>
  <c r="Q14" i="20"/>
  <c r="R14" i="20" s="1"/>
  <c r="U14" i="20" s="1"/>
  <c r="V14" i="20" s="1"/>
  <c r="Y14" i="20" s="1"/>
  <c r="Z14" i="20" s="1"/>
  <c r="AC14" i="20" s="1"/>
  <c r="AD14" i="20" s="1"/>
  <c r="AG14" i="20" s="1"/>
  <c r="AH14" i="20" s="1"/>
  <c r="AK14" i="20" s="1"/>
  <c r="AL14" i="20" s="1"/>
  <c r="AO14" i="20" s="1"/>
  <c r="AP14" i="20" s="1"/>
  <c r="AS14" i="20" s="1"/>
  <c r="AT14" i="20" s="1"/>
  <c r="F76" i="15"/>
  <c r="Q74" i="20"/>
  <c r="R74" i="20" s="1"/>
  <c r="U74" i="20" s="1"/>
  <c r="V74" i="20" s="1"/>
  <c r="Y74" i="20" s="1"/>
  <c r="Z74" i="20" s="1"/>
  <c r="AC74" i="20" s="1"/>
  <c r="AD74" i="20" s="1"/>
  <c r="L74" i="20" s="1"/>
  <c r="Q73" i="20"/>
  <c r="R73" i="20" s="1"/>
  <c r="U73" i="20" s="1"/>
  <c r="V73" i="20" s="1"/>
  <c r="Y73" i="20" s="1"/>
  <c r="Z73" i="20" s="1"/>
  <c r="AC73" i="20" s="1"/>
  <c r="AD73" i="20" s="1"/>
  <c r="AG73" i="20" s="1"/>
  <c r="AH73" i="20" s="1"/>
  <c r="AK73" i="20" s="1"/>
  <c r="AL73" i="20" s="1"/>
  <c r="AO73" i="20" s="1"/>
  <c r="AP73" i="20" s="1"/>
  <c r="AS73" i="20" s="1"/>
  <c r="AT73" i="20" s="1"/>
  <c r="Q53" i="20"/>
  <c r="R53" i="20" s="1"/>
  <c r="U53" i="20" s="1"/>
  <c r="V53" i="20" s="1"/>
  <c r="Y53" i="20" s="1"/>
  <c r="Z53" i="20" s="1"/>
  <c r="AC53" i="20" s="1"/>
  <c r="AD53" i="20" s="1"/>
  <c r="L53" i="20" s="1"/>
  <c r="N53" i="20" s="1"/>
  <c r="K53" i="19"/>
  <c r="F69" i="15"/>
  <c r="Q67" i="20"/>
  <c r="R67" i="20" s="1"/>
  <c r="U67" i="20" s="1"/>
  <c r="V67" i="20" s="1"/>
  <c r="Y67" i="20" s="1"/>
  <c r="Z67" i="20" s="1"/>
  <c r="AC67" i="20" s="1"/>
  <c r="AD67" i="20" s="1"/>
  <c r="AG67" i="20" s="1"/>
  <c r="AH67" i="20" s="1"/>
  <c r="AK67" i="20" s="1"/>
  <c r="AL67" i="20" s="1"/>
  <c r="AO67" i="20" s="1"/>
  <c r="AP67" i="20" s="1"/>
  <c r="AS67" i="20" s="1"/>
  <c r="AT67" i="20" s="1"/>
  <c r="N57" i="20"/>
  <c r="I57" i="20"/>
  <c r="F79" i="19"/>
  <c r="P85" i="19"/>
  <c r="O85" i="19"/>
  <c r="O5" i="19"/>
  <c r="P5" i="19"/>
  <c r="F76" i="19"/>
  <c r="F26" i="19"/>
  <c r="E42" i="15"/>
  <c r="E29" i="15"/>
  <c r="E79" i="15"/>
  <c r="S10" i="19"/>
  <c r="T10" i="19" s="1"/>
  <c r="W10" i="19" s="1"/>
  <c r="X10" i="19" s="1"/>
  <c r="AA10" i="19" s="1"/>
  <c r="AB10" i="19" s="1"/>
  <c r="AE10" i="19" s="1"/>
  <c r="AF10" i="19" s="1"/>
  <c r="N10" i="19" s="1"/>
  <c r="K10" i="19" s="1"/>
  <c r="E58" i="15"/>
  <c r="E82" i="15"/>
  <c r="H82" i="15" s="1"/>
  <c r="O63" i="19"/>
  <c r="AP33" i="20"/>
  <c r="AS33" i="20" s="1"/>
  <c r="AT33" i="20" s="1"/>
  <c r="AP84" i="20"/>
  <c r="AS84" i="20" s="1"/>
  <c r="AT84" i="20" s="1"/>
  <c r="P17" i="19"/>
  <c r="O17" i="19"/>
  <c r="S7" i="19"/>
  <c r="T7" i="19" s="1"/>
  <c r="W7" i="19" s="1"/>
  <c r="X7" i="19" s="1"/>
  <c r="AA7" i="19" s="1"/>
  <c r="AB7" i="19" s="1"/>
  <c r="AE7" i="19" s="1"/>
  <c r="AF7" i="19" s="1"/>
  <c r="N7" i="19" s="1"/>
  <c r="K7" i="19" s="1"/>
  <c r="G59" i="15"/>
  <c r="H59" i="15" s="1"/>
  <c r="AG57" i="20"/>
  <c r="AH57" i="20" s="1"/>
  <c r="AK57" i="20" s="1"/>
  <c r="AL57" i="20" s="1"/>
  <c r="AO57" i="20" s="1"/>
  <c r="F55" i="19"/>
  <c r="S55" i="19" s="1"/>
  <c r="F39" i="19"/>
  <c r="AG38" i="20"/>
  <c r="AH38" i="20" s="1"/>
  <c r="AK38" i="20" s="1"/>
  <c r="AL38" i="20" s="1"/>
  <c r="AO38" i="20" s="1"/>
  <c r="AG20" i="20"/>
  <c r="AH20" i="20" s="1"/>
  <c r="AK20" i="20" s="1"/>
  <c r="AL20" i="20" s="1"/>
  <c r="AO20" i="20" s="1"/>
  <c r="AG42" i="20"/>
  <c r="AH42" i="20" s="1"/>
  <c r="AK42" i="20" s="1"/>
  <c r="AL42" i="20" s="1"/>
  <c r="AO42" i="20" s="1"/>
  <c r="AD11" i="20"/>
  <c r="L11" i="20" s="1"/>
  <c r="O41" i="19"/>
  <c r="P41" i="19"/>
  <c r="S32" i="19"/>
  <c r="T32" i="19" s="1"/>
  <c r="F31" i="19"/>
  <c r="L33" i="20"/>
  <c r="AD71" i="20"/>
  <c r="L71" i="20" s="1"/>
  <c r="O44" i="19"/>
  <c r="P44" i="19"/>
  <c r="N42" i="20"/>
  <c r="U36" i="20"/>
  <c r="V36" i="20" s="1"/>
  <c r="Y36" i="20" s="1"/>
  <c r="Z36" i="20" s="1"/>
  <c r="AC36" i="20" s="1"/>
  <c r="AD36" i="20" s="1"/>
  <c r="AG36" i="20" s="1"/>
  <c r="AH36" i="20" s="1"/>
  <c r="AK36" i="20" s="1"/>
  <c r="AL36" i="20" s="1"/>
  <c r="AO36" i="20" s="1"/>
  <c r="N20" i="20"/>
  <c r="N38" i="20"/>
  <c r="AD64" i="20"/>
  <c r="L64" i="20" s="1"/>
  <c r="P24" i="19"/>
  <c r="O24" i="19"/>
  <c r="N15" i="19"/>
  <c r="K15" i="19" s="1"/>
  <c r="P22" i="19"/>
  <c r="O22" i="19"/>
  <c r="L84" i="20"/>
  <c r="N29" i="19"/>
  <c r="AG37" i="20"/>
  <c r="AH37" i="20" s="1"/>
  <c r="AK37" i="20" s="1"/>
  <c r="AL37" i="20" s="1"/>
  <c r="AO37" i="20" s="1"/>
  <c r="AG82" i="20"/>
  <c r="AH82" i="20" s="1"/>
  <c r="AK82" i="20" s="1"/>
  <c r="AL82" i="20" s="1"/>
  <c r="N47" i="18"/>
  <c r="O47" i="18"/>
  <c r="N40" i="18"/>
  <c r="O40" i="18"/>
  <c r="O45" i="19"/>
  <c r="P45" i="19"/>
  <c r="AY78" i="18"/>
  <c r="BB78" i="18" s="1"/>
  <c r="BC78" i="18" s="1"/>
  <c r="BF78" i="18" s="1"/>
  <c r="BG78" i="18" s="1"/>
  <c r="BJ78" i="18" s="1"/>
  <c r="BK78" i="18" s="1"/>
  <c r="F46" i="19"/>
  <c r="N75" i="18"/>
  <c r="O75" i="18"/>
  <c r="M89" i="18"/>
  <c r="J89" i="18" s="1"/>
  <c r="M30" i="18"/>
  <c r="J30" i="18" s="1"/>
  <c r="N37" i="20"/>
  <c r="BG70" i="18"/>
  <c r="BJ70" i="18" s="1"/>
  <c r="BK70" i="18" s="1"/>
  <c r="M70" i="18" s="1"/>
  <c r="J70" i="18" s="1"/>
  <c r="N82" i="20"/>
  <c r="AE6" i="18"/>
  <c r="AD91" i="18"/>
  <c r="BJ2" i="18"/>
  <c r="BK2" i="18" s="1"/>
  <c r="M2" i="18" s="1"/>
  <c r="J2" i="18" s="1"/>
  <c r="M12" i="18"/>
  <c r="J12" i="18" s="1"/>
  <c r="AX25" i="18"/>
  <c r="S56" i="19"/>
  <c r="L34" i="20" l="1"/>
  <c r="M34" i="20" s="1"/>
  <c r="L18" i="20"/>
  <c r="O35" i="19"/>
  <c r="O62" i="19"/>
  <c r="L67" i="20"/>
  <c r="M67" i="20" s="1"/>
  <c r="G69" i="15" s="1"/>
  <c r="H69" i="15" s="1"/>
  <c r="P62" i="19"/>
  <c r="N77" i="19"/>
  <c r="O43" i="19"/>
  <c r="AS2" i="26"/>
  <c r="O77" i="19"/>
  <c r="F79" i="15" s="1"/>
  <c r="I25" i="26"/>
  <c r="E25" i="32" s="1"/>
  <c r="Q25" i="32" s="1"/>
  <c r="M25" i="26"/>
  <c r="N25" i="26"/>
  <c r="AX84" i="32"/>
  <c r="BA84" i="32" s="1"/>
  <c r="AT2" i="26"/>
  <c r="AS91" i="26"/>
  <c r="U87" i="20"/>
  <c r="V87" i="20" s="1"/>
  <c r="Y87" i="20" s="1"/>
  <c r="Z87" i="20" s="1"/>
  <c r="AC87" i="20" s="1"/>
  <c r="AD87" i="20" s="1"/>
  <c r="AG87" i="20" s="1"/>
  <c r="AH87" i="20" s="1"/>
  <c r="AK87" i="20" s="1"/>
  <c r="AL87" i="20" s="1"/>
  <c r="AO87" i="20" s="1"/>
  <c r="AP87" i="20" s="1"/>
  <c r="AS87" i="20" s="1"/>
  <c r="AT87" i="20" s="1"/>
  <c r="AG72" i="20"/>
  <c r="AH72" i="20" s="1"/>
  <c r="AK72" i="20" s="1"/>
  <c r="AL72" i="20" s="1"/>
  <c r="AO72" i="20" s="1"/>
  <c r="AP72" i="20" s="1"/>
  <c r="AS72" i="20" s="1"/>
  <c r="AT72" i="20" s="1"/>
  <c r="P43" i="19"/>
  <c r="I47" i="32"/>
  <c r="M47" i="32"/>
  <c r="N47" i="32"/>
  <c r="O48" i="19"/>
  <c r="F50" i="15" s="1"/>
  <c r="AG53" i="20"/>
  <c r="AH53" i="20" s="1"/>
  <c r="AK53" i="20" s="1"/>
  <c r="AL53" i="20" s="1"/>
  <c r="AO53" i="20" s="1"/>
  <c r="AP53" i="20" s="1"/>
  <c r="AS53" i="20" s="1"/>
  <c r="AT53" i="20" s="1"/>
  <c r="P48" i="19"/>
  <c r="AG8" i="20"/>
  <c r="AH8" i="20" s="1"/>
  <c r="AK8" i="20" s="1"/>
  <c r="AL8" i="20" s="1"/>
  <c r="AO8" i="20" s="1"/>
  <c r="U81" i="20"/>
  <c r="V81" i="20" s="1"/>
  <c r="Y81" i="20" s="1"/>
  <c r="Z81" i="20" s="1"/>
  <c r="AC81" i="20" s="1"/>
  <c r="AD81" i="20" s="1"/>
  <c r="AG81" i="20" s="1"/>
  <c r="AH81" i="20" s="1"/>
  <c r="AK81" i="20" s="1"/>
  <c r="AL81" i="20" s="1"/>
  <c r="AO81" i="20" s="1"/>
  <c r="I88" i="20"/>
  <c r="M88" i="20"/>
  <c r="I64" i="20"/>
  <c r="M64" i="20"/>
  <c r="G66" i="15" s="1"/>
  <c r="H66" i="15" s="1"/>
  <c r="I21" i="20"/>
  <c r="M21" i="20"/>
  <c r="G23" i="15" s="1"/>
  <c r="H23" i="15" s="1"/>
  <c r="I16" i="20"/>
  <c r="M16" i="20"/>
  <c r="G18" i="15" s="1"/>
  <c r="H18" i="15" s="1"/>
  <c r="I19" i="20"/>
  <c r="M19" i="20"/>
  <c r="G21" i="15" s="1"/>
  <c r="H21" i="15" s="1"/>
  <c r="I53" i="20"/>
  <c r="M53" i="20"/>
  <c r="G55" i="15" s="1"/>
  <c r="H55" i="15" s="1"/>
  <c r="I84" i="20"/>
  <c r="M84" i="20"/>
  <c r="G86" i="15" s="1"/>
  <c r="H86" i="15" s="1"/>
  <c r="I61" i="20"/>
  <c r="M61" i="20"/>
  <c r="G63" i="15" s="1"/>
  <c r="I71" i="20"/>
  <c r="M71" i="20"/>
  <c r="G73" i="15" s="1"/>
  <c r="I33" i="20"/>
  <c r="M33" i="20"/>
  <c r="G35" i="15" s="1"/>
  <c r="H35" i="15" s="1"/>
  <c r="I11" i="20"/>
  <c r="M11" i="20"/>
  <c r="G13" i="15" s="1"/>
  <c r="H13" i="15" s="1"/>
  <c r="I74" i="20"/>
  <c r="M74" i="20"/>
  <c r="G76" i="15" s="1"/>
  <c r="H76" i="15" s="1"/>
  <c r="I18" i="20"/>
  <c r="M18" i="20"/>
  <c r="G20" i="15" s="1"/>
  <c r="H20" i="15" s="1"/>
  <c r="I8" i="20"/>
  <c r="M8" i="20"/>
  <c r="G93" i="15" s="1"/>
  <c r="H93" i="15" s="1"/>
  <c r="I72" i="20"/>
  <c r="M72" i="20"/>
  <c r="G74" i="15" s="1"/>
  <c r="H74" i="15" s="1"/>
  <c r="S46" i="19"/>
  <c r="T46" i="19" s="1"/>
  <c r="W46" i="19" s="1"/>
  <c r="X46" i="19" s="1"/>
  <c r="AA46" i="19" s="1"/>
  <c r="AB46" i="19" s="1"/>
  <c r="AE46" i="19" s="1"/>
  <c r="AF46" i="19" s="1"/>
  <c r="N46" i="19" s="1"/>
  <c r="P46" i="19" s="1"/>
  <c r="S31" i="19"/>
  <c r="T31" i="19" s="1"/>
  <c r="W31" i="19" s="1"/>
  <c r="X31" i="19" s="1"/>
  <c r="AA31" i="19" s="1"/>
  <c r="S39" i="19"/>
  <c r="T39" i="19" s="1"/>
  <c r="W39" i="19" s="1"/>
  <c r="X39" i="19" s="1"/>
  <c r="AA39" i="19" s="1"/>
  <c r="AB39" i="19" s="1"/>
  <c r="AE39" i="19" s="1"/>
  <c r="AF39" i="19" s="1"/>
  <c r="N39" i="19" s="1"/>
  <c r="P39" i="19" s="1"/>
  <c r="S76" i="19"/>
  <c r="T76" i="19" s="1"/>
  <c r="E78" i="15"/>
  <c r="K46" i="19"/>
  <c r="F47" i="15"/>
  <c r="Q45" i="20"/>
  <c r="R45" i="20" s="1"/>
  <c r="E50" i="15"/>
  <c r="K29" i="19"/>
  <c r="F24" i="15"/>
  <c r="Q22" i="20"/>
  <c r="R22" i="20" s="1"/>
  <c r="Q48" i="20"/>
  <c r="R48" i="20" s="1"/>
  <c r="U48" i="20" s="1"/>
  <c r="V48" i="20" s="1"/>
  <c r="Y48" i="20" s="1"/>
  <c r="Z48" i="20" s="1"/>
  <c r="AC48" i="20" s="1"/>
  <c r="AD48" i="20" s="1"/>
  <c r="L48" i="20" s="1"/>
  <c r="F26" i="15"/>
  <c r="Q24" i="20"/>
  <c r="R24" i="20" s="1"/>
  <c r="U24" i="20" s="1"/>
  <c r="V24" i="20" s="1"/>
  <c r="Y24" i="20" s="1"/>
  <c r="Z24" i="20" s="1"/>
  <c r="AC24" i="20" s="1"/>
  <c r="AD24" i="20" s="1"/>
  <c r="L24" i="20" s="1"/>
  <c r="Q77" i="20"/>
  <c r="R77" i="20" s="1"/>
  <c r="U77" i="20" s="1"/>
  <c r="V77" i="20" s="1"/>
  <c r="Y77" i="20" s="1"/>
  <c r="Z77" i="20" s="1"/>
  <c r="AC77" i="20" s="1"/>
  <c r="AD77" i="20" s="1"/>
  <c r="L77" i="20" s="1"/>
  <c r="F46" i="15"/>
  <c r="Q44" i="20"/>
  <c r="R44" i="20" s="1"/>
  <c r="U44" i="20" s="1"/>
  <c r="V44" i="20" s="1"/>
  <c r="Y44" i="20" s="1"/>
  <c r="Z44" i="20" s="1"/>
  <c r="AC44" i="20" s="1"/>
  <c r="AD44" i="20" s="1"/>
  <c r="L44" i="20" s="1"/>
  <c r="F43" i="15"/>
  <c r="Q41" i="20"/>
  <c r="R41" i="20" s="1"/>
  <c r="U41" i="20" s="1"/>
  <c r="V41" i="20" s="1"/>
  <c r="Y41" i="20" s="1"/>
  <c r="Z41" i="20" s="1"/>
  <c r="AC41" i="20" s="1"/>
  <c r="F19" i="15"/>
  <c r="Q17" i="20"/>
  <c r="R17" i="20" s="1"/>
  <c r="U17" i="20" s="1"/>
  <c r="V17" i="20" s="1"/>
  <c r="Y17" i="20" s="1"/>
  <c r="Z17" i="20" s="1"/>
  <c r="AC17" i="20" s="1"/>
  <c r="AD17" i="20" s="1"/>
  <c r="AG17" i="20" s="1"/>
  <c r="AH17" i="20" s="1"/>
  <c r="AK17" i="20" s="1"/>
  <c r="AL17" i="20" s="1"/>
  <c r="AO17" i="20" s="1"/>
  <c r="F65" i="15"/>
  <c r="Q63" i="20"/>
  <c r="R63" i="20" s="1"/>
  <c r="U63" i="20" s="1"/>
  <c r="V63" i="20" s="1"/>
  <c r="Y63" i="20" s="1"/>
  <c r="Z63" i="20" s="1"/>
  <c r="AC63" i="20" s="1"/>
  <c r="AD63" i="20" s="1"/>
  <c r="L63" i="20" s="1"/>
  <c r="N63" i="20" s="1"/>
  <c r="F45" i="15"/>
  <c r="Q43" i="20"/>
  <c r="R43" i="20" s="1"/>
  <c r="U43" i="20" s="1"/>
  <c r="V43" i="20" s="1"/>
  <c r="F8" i="15"/>
  <c r="Q5" i="20"/>
  <c r="R5" i="20" s="1"/>
  <c r="U5" i="20" s="1"/>
  <c r="V5" i="20" s="1"/>
  <c r="Y5" i="20" s="1"/>
  <c r="Z5" i="20" s="1"/>
  <c r="AC5" i="20" s="1"/>
  <c r="AD5" i="20" s="1"/>
  <c r="L5" i="20" s="1"/>
  <c r="F87" i="15"/>
  <c r="Q85" i="20"/>
  <c r="R85" i="20" s="1"/>
  <c r="F37" i="15"/>
  <c r="Q35" i="20"/>
  <c r="R35" i="20" s="1"/>
  <c r="U35" i="20" s="1"/>
  <c r="V35" i="20" s="1"/>
  <c r="Y35" i="20" s="1"/>
  <c r="Z35" i="20" s="1"/>
  <c r="AC35" i="20" s="1"/>
  <c r="AD35" i="20" s="1"/>
  <c r="L35" i="20" s="1"/>
  <c r="N35" i="20" s="1"/>
  <c r="F64" i="15"/>
  <c r="Q62" i="20"/>
  <c r="G36" i="15"/>
  <c r="H36" i="15" s="1"/>
  <c r="I34" i="20"/>
  <c r="AG16" i="20"/>
  <c r="AH16" i="20" s="1"/>
  <c r="AK16" i="20" s="1"/>
  <c r="AL16" i="20" s="1"/>
  <c r="AO16" i="20" s="1"/>
  <c r="AP16" i="20" s="1"/>
  <c r="AS16" i="20" s="1"/>
  <c r="AT16" i="20" s="1"/>
  <c r="AG74" i="20"/>
  <c r="AH74" i="20" s="1"/>
  <c r="AK74" i="20" s="1"/>
  <c r="AL74" i="20" s="1"/>
  <c r="AO74" i="20" s="1"/>
  <c r="AP74" i="20" s="1"/>
  <c r="AS74" i="20" s="1"/>
  <c r="AT74" i="20" s="1"/>
  <c r="E49" i="15"/>
  <c r="AG21" i="20"/>
  <c r="AH21" i="20" s="1"/>
  <c r="AK21" i="20" s="1"/>
  <c r="AL21" i="20" s="1"/>
  <c r="AO21" i="20" s="1"/>
  <c r="AP21" i="20" s="1"/>
  <c r="AS21" i="20" s="1"/>
  <c r="AT21" i="20" s="1"/>
  <c r="N21" i="20"/>
  <c r="L73" i="20"/>
  <c r="N16" i="20"/>
  <c r="L14" i="20"/>
  <c r="F27" i="19"/>
  <c r="AG19" i="20"/>
  <c r="AH19" i="20" s="1"/>
  <c r="AK19" i="20" s="1"/>
  <c r="AL19" i="20" s="1"/>
  <c r="AO19" i="20" s="1"/>
  <c r="AP19" i="20" s="1"/>
  <c r="AS19" i="20" s="1"/>
  <c r="AT19" i="20" s="1"/>
  <c r="N74" i="20"/>
  <c r="N18" i="20"/>
  <c r="O10" i="19"/>
  <c r="P10" i="19"/>
  <c r="N19" i="20"/>
  <c r="E43" i="15"/>
  <c r="E30" i="15"/>
  <c r="N23" i="19"/>
  <c r="K23" i="19" s="1"/>
  <c r="AP20" i="20"/>
  <c r="AS20" i="20" s="1"/>
  <c r="AT20" i="20" s="1"/>
  <c r="AP37" i="20"/>
  <c r="AS37" i="20" s="1"/>
  <c r="AT37" i="20" s="1"/>
  <c r="AP8" i="20"/>
  <c r="AS8" i="20" s="1"/>
  <c r="AT8" i="20" s="1"/>
  <c r="AP57" i="20"/>
  <c r="AS57" i="20" s="1"/>
  <c r="AT57" i="20" s="1"/>
  <c r="AP42" i="20"/>
  <c r="AS42" i="20" s="1"/>
  <c r="AT42" i="20" s="1"/>
  <c r="AP81" i="20"/>
  <c r="AS81" i="20" s="1"/>
  <c r="AT81" i="20" s="1"/>
  <c r="AP38" i="20"/>
  <c r="AS38" i="20" s="1"/>
  <c r="AT38" i="20" s="1"/>
  <c r="AP36" i="20"/>
  <c r="AS36" i="20" s="1"/>
  <c r="AT36" i="20" s="1"/>
  <c r="AG88" i="20"/>
  <c r="AH88" i="20" s="1"/>
  <c r="AK88" i="20" s="1"/>
  <c r="AL88" i="20" s="1"/>
  <c r="AO88" i="20" s="1"/>
  <c r="P29" i="19"/>
  <c r="O29" i="19"/>
  <c r="N34" i="20"/>
  <c r="O39" i="19"/>
  <c r="AG71" i="20"/>
  <c r="AH71" i="20" s="1"/>
  <c r="AK71" i="20" s="1"/>
  <c r="AL71" i="20" s="1"/>
  <c r="AO71" i="20" s="1"/>
  <c r="F47" i="19"/>
  <c r="F75" i="19"/>
  <c r="F40" i="19"/>
  <c r="L36" i="20"/>
  <c r="M36" i="20" s="1"/>
  <c r="AG61" i="20"/>
  <c r="AH61" i="20" s="1"/>
  <c r="AK61" i="20" s="1"/>
  <c r="AL61" i="20" s="1"/>
  <c r="AO61" i="20" s="1"/>
  <c r="W32" i="19"/>
  <c r="X32" i="19" s="1"/>
  <c r="AA32" i="19" s="1"/>
  <c r="AB32" i="19" s="1"/>
  <c r="AE32" i="19" s="1"/>
  <c r="AF32" i="19" s="1"/>
  <c r="AG11" i="20"/>
  <c r="AH11" i="20" s="1"/>
  <c r="AK11" i="20" s="1"/>
  <c r="AL11" i="20" s="1"/>
  <c r="AO11" i="20" s="1"/>
  <c r="AG64" i="20"/>
  <c r="AH64" i="20" s="1"/>
  <c r="AK64" i="20" s="1"/>
  <c r="AL64" i="20" s="1"/>
  <c r="AO64" i="20" s="1"/>
  <c r="O65" i="19"/>
  <c r="P65" i="19"/>
  <c r="P15" i="19"/>
  <c r="O15" i="19"/>
  <c r="N71" i="20"/>
  <c r="N33" i="20"/>
  <c r="P7" i="19"/>
  <c r="O7" i="19"/>
  <c r="N84" i="20"/>
  <c r="N61" i="20"/>
  <c r="N67" i="20"/>
  <c r="N28" i="19"/>
  <c r="K28" i="19" s="1"/>
  <c r="N64" i="20"/>
  <c r="V54" i="20"/>
  <c r="Y54" i="20" s="1"/>
  <c r="N11" i="20"/>
  <c r="G90" i="15"/>
  <c r="H90" i="15" s="1"/>
  <c r="N88" i="20"/>
  <c r="AO82" i="20"/>
  <c r="O2" i="18"/>
  <c r="N2" i="18"/>
  <c r="N89" i="18"/>
  <c r="O89" i="18"/>
  <c r="O30" i="18"/>
  <c r="N30" i="18"/>
  <c r="O12" i="18"/>
  <c r="N12" i="18"/>
  <c r="O70" i="18"/>
  <c r="N70" i="18"/>
  <c r="AY25" i="18"/>
  <c r="BB25" i="18" s="1"/>
  <c r="AH6" i="18"/>
  <c r="AE91" i="18"/>
  <c r="M78" i="18"/>
  <c r="J78" i="18" s="1"/>
  <c r="T56" i="19"/>
  <c r="T55" i="19"/>
  <c r="W55" i="19" s="1"/>
  <c r="I67" i="20" l="1"/>
  <c r="O46" i="19"/>
  <c r="F48" i="15" s="1"/>
  <c r="K39" i="19"/>
  <c r="U45" i="20"/>
  <c r="V45" i="20" s="1"/>
  <c r="Y45" i="20" s="1"/>
  <c r="Z45" i="20" s="1"/>
  <c r="AC45" i="20" s="1"/>
  <c r="AD45" i="20" s="1"/>
  <c r="AG45" i="20" s="1"/>
  <c r="AH45" i="20" s="1"/>
  <c r="AK45" i="20" s="1"/>
  <c r="AL45" i="20" s="1"/>
  <c r="AO45" i="20" s="1"/>
  <c r="AP45" i="20" s="1"/>
  <c r="AS45" i="20" s="1"/>
  <c r="AT45" i="20" s="1"/>
  <c r="K77" i="19"/>
  <c r="P77" i="19"/>
  <c r="L81" i="20"/>
  <c r="N81" i="20" s="1"/>
  <c r="AG63" i="20"/>
  <c r="AH63" i="20" s="1"/>
  <c r="AK63" i="20" s="1"/>
  <c r="AL63" i="20" s="1"/>
  <c r="AO63" i="20" s="1"/>
  <c r="AP63" i="20" s="1"/>
  <c r="AS63" i="20" s="1"/>
  <c r="AT63" i="20" s="1"/>
  <c r="BB84" i="32"/>
  <c r="BE84" i="32" s="1"/>
  <c r="BF84" i="32" s="1"/>
  <c r="BI84" i="32" s="1"/>
  <c r="BJ84" i="32" s="1"/>
  <c r="AW2" i="26"/>
  <c r="AT91" i="26"/>
  <c r="L87" i="20"/>
  <c r="M87" i="20" s="1"/>
  <c r="G89" i="15" s="1"/>
  <c r="W76" i="19"/>
  <c r="X76" i="19" s="1"/>
  <c r="AA76" i="19" s="1"/>
  <c r="AB76" i="19" s="1"/>
  <c r="AE76" i="19" s="1"/>
  <c r="AF76" i="19" s="1"/>
  <c r="R25" i="32"/>
  <c r="U25" i="32" s="1"/>
  <c r="AG35" i="20"/>
  <c r="AH35" i="20" s="1"/>
  <c r="AK35" i="20" s="1"/>
  <c r="AL35" i="20" s="1"/>
  <c r="AO35" i="20" s="1"/>
  <c r="AP35" i="20" s="1"/>
  <c r="AS35" i="20" s="1"/>
  <c r="AT35" i="20" s="1"/>
  <c r="U85" i="20"/>
  <c r="V85" i="20" s="1"/>
  <c r="Y85" i="20" s="1"/>
  <c r="U22" i="20"/>
  <c r="V22" i="20" s="1"/>
  <c r="Y22" i="20" s="1"/>
  <c r="Z22" i="20" s="1"/>
  <c r="AC22" i="20" s="1"/>
  <c r="AD22" i="20" s="1"/>
  <c r="AG22" i="20" s="1"/>
  <c r="AH22" i="20" s="1"/>
  <c r="AK22" i="20" s="1"/>
  <c r="AL22" i="20" s="1"/>
  <c r="AO22" i="20" s="1"/>
  <c r="AP22" i="20" s="1"/>
  <c r="AS22" i="20" s="1"/>
  <c r="AT22" i="20" s="1"/>
  <c r="I24" i="20"/>
  <c r="M24" i="20"/>
  <c r="G26" i="15" s="1"/>
  <c r="H26" i="15" s="1"/>
  <c r="I77" i="20"/>
  <c r="M77" i="20"/>
  <c r="G79" i="15" s="1"/>
  <c r="H79" i="15" s="1"/>
  <c r="I14" i="20"/>
  <c r="M14" i="20"/>
  <c r="I5" i="20"/>
  <c r="M5" i="20"/>
  <c r="G8" i="15" s="1"/>
  <c r="H8" i="15" s="1"/>
  <c r="I44" i="20"/>
  <c r="M44" i="20"/>
  <c r="G46" i="15" s="1"/>
  <c r="H46" i="15" s="1"/>
  <c r="I48" i="20"/>
  <c r="M48" i="20"/>
  <c r="G50" i="15" s="1"/>
  <c r="H50" i="15" s="1"/>
  <c r="I81" i="20"/>
  <c r="M81" i="20"/>
  <c r="G83" i="15" s="1"/>
  <c r="H83" i="15" s="1"/>
  <c r="I73" i="20"/>
  <c r="M73" i="20"/>
  <c r="I35" i="20"/>
  <c r="M35" i="20"/>
  <c r="G37" i="15" s="1"/>
  <c r="H37" i="15" s="1"/>
  <c r="I63" i="20"/>
  <c r="M63" i="20"/>
  <c r="G65" i="15" s="1"/>
  <c r="H65" i="15" s="1"/>
  <c r="S40" i="19"/>
  <c r="T40" i="19" s="1"/>
  <c r="S75" i="19"/>
  <c r="T75" i="19" s="1"/>
  <c r="W75" i="19" s="1"/>
  <c r="X75" i="19" s="1"/>
  <c r="AA75" i="19" s="1"/>
  <c r="AB75" i="19" s="1"/>
  <c r="AE75" i="19" s="1"/>
  <c r="AF75" i="19" s="1"/>
  <c r="N75" i="19" s="1"/>
  <c r="O75" i="19" s="1"/>
  <c r="S47" i="19"/>
  <c r="T47" i="19" s="1"/>
  <c r="W47" i="19" s="1"/>
  <c r="X47" i="19" s="1"/>
  <c r="AA47" i="19" s="1"/>
  <c r="AB47" i="19" s="1"/>
  <c r="AE47" i="19" s="1"/>
  <c r="AF47" i="19" s="1"/>
  <c r="N47" i="19" s="1"/>
  <c r="K47" i="19" s="1"/>
  <c r="S27" i="19"/>
  <c r="T27" i="19" s="1"/>
  <c r="W27" i="19" s="1"/>
  <c r="X27" i="19" s="1"/>
  <c r="AA27" i="19" s="1"/>
  <c r="AB27" i="19" s="1"/>
  <c r="AE27" i="19" s="1"/>
  <c r="AF27" i="19" s="1"/>
  <c r="N27" i="19" s="1"/>
  <c r="K27" i="19" s="1"/>
  <c r="F10" i="15"/>
  <c r="Q7" i="20"/>
  <c r="R7" i="20" s="1"/>
  <c r="U7" i="20" s="1"/>
  <c r="V7" i="20" s="1"/>
  <c r="Y7" i="20" s="1"/>
  <c r="Z7" i="20" s="1"/>
  <c r="AC7" i="20" s="1"/>
  <c r="AD7" i="20" s="1"/>
  <c r="L7" i="20" s="1"/>
  <c r="F17" i="15"/>
  <c r="Q15" i="20"/>
  <c r="R15" i="20" s="1"/>
  <c r="U15" i="20" s="1"/>
  <c r="V15" i="20" s="1"/>
  <c r="Y15" i="20" s="1"/>
  <c r="F67" i="15"/>
  <c r="Q65" i="20"/>
  <c r="R65" i="20" s="1"/>
  <c r="U65" i="20" s="1"/>
  <c r="V65" i="20" s="1"/>
  <c r="Y65" i="20" s="1"/>
  <c r="Z65" i="20" s="1"/>
  <c r="AC65" i="20" s="1"/>
  <c r="AD65" i="20" s="1"/>
  <c r="L65" i="20" s="1"/>
  <c r="F41" i="15"/>
  <c r="Q39" i="20"/>
  <c r="R39" i="20" s="1"/>
  <c r="U39" i="20" s="1"/>
  <c r="V39" i="20" s="1"/>
  <c r="Y39" i="20" s="1"/>
  <c r="Z39" i="20" s="1"/>
  <c r="AC39" i="20" s="1"/>
  <c r="F31" i="15"/>
  <c r="Q29" i="20"/>
  <c r="F12" i="15"/>
  <c r="Q10" i="20"/>
  <c r="R10" i="20" s="1"/>
  <c r="U10" i="20" s="1"/>
  <c r="V10" i="20" s="1"/>
  <c r="Y10" i="20" s="1"/>
  <c r="Z10" i="20" s="1"/>
  <c r="AC10" i="20" s="1"/>
  <c r="AD10" i="20" s="1"/>
  <c r="AG10" i="20" s="1"/>
  <c r="AH10" i="20" s="1"/>
  <c r="AK10" i="20" s="1"/>
  <c r="AL10" i="20" s="1"/>
  <c r="AO10" i="20" s="1"/>
  <c r="AP10" i="20" s="1"/>
  <c r="AS10" i="20" s="1"/>
  <c r="AT10" i="20" s="1"/>
  <c r="R62" i="20"/>
  <c r="U62" i="20" s="1"/>
  <c r="V62" i="20" s="1"/>
  <c r="Y62" i="20" s="1"/>
  <c r="Z62" i="20" s="1"/>
  <c r="AC62" i="20" s="1"/>
  <c r="AD62" i="20" s="1"/>
  <c r="AG62" i="20" s="1"/>
  <c r="AH62" i="20" s="1"/>
  <c r="AK62" i="20" s="1"/>
  <c r="AL62" i="20" s="1"/>
  <c r="AO62" i="20" s="1"/>
  <c r="G38" i="15"/>
  <c r="H38" i="15" s="1"/>
  <c r="I36" i="20"/>
  <c r="Y43" i="20"/>
  <c r="Z43" i="20" s="1"/>
  <c r="AC43" i="20" s="1"/>
  <c r="AD43" i="20" s="1"/>
  <c r="AG43" i="20" s="1"/>
  <c r="AH43" i="20" s="1"/>
  <c r="AK43" i="20" s="1"/>
  <c r="AL43" i="20" s="1"/>
  <c r="AO43" i="20" s="1"/>
  <c r="AP43" i="20" s="1"/>
  <c r="AS43" i="20" s="1"/>
  <c r="AT43" i="20" s="1"/>
  <c r="Q46" i="20"/>
  <c r="R46" i="20" s="1"/>
  <c r="AG5" i="20"/>
  <c r="AH5" i="20" s="1"/>
  <c r="AK5" i="20" s="1"/>
  <c r="AL5" i="20" s="1"/>
  <c r="AO5" i="20" s="1"/>
  <c r="AP5" i="20" s="1"/>
  <c r="AS5" i="20" s="1"/>
  <c r="AT5" i="20" s="1"/>
  <c r="O27" i="19"/>
  <c r="E15" i="15"/>
  <c r="E12" i="15"/>
  <c r="G16" i="15"/>
  <c r="H16" i="15" s="1"/>
  <c r="N14" i="20"/>
  <c r="N5" i="20"/>
  <c r="F58" i="19"/>
  <c r="E33" i="15"/>
  <c r="E72" i="15"/>
  <c r="F60" i="19"/>
  <c r="E73" i="15"/>
  <c r="H73" i="15" s="1"/>
  <c r="E89" i="15"/>
  <c r="F86" i="19"/>
  <c r="F69" i="19"/>
  <c r="O23" i="19"/>
  <c r="P23" i="19"/>
  <c r="N73" i="20"/>
  <c r="E5" i="15"/>
  <c r="E63" i="15"/>
  <c r="H63" i="15" s="1"/>
  <c r="F9" i="19"/>
  <c r="E92" i="15"/>
  <c r="H92" i="15" s="1"/>
  <c r="E61" i="15"/>
  <c r="H61" i="15" s="1"/>
  <c r="Z85" i="20"/>
  <c r="AC85" i="20" s="1"/>
  <c r="AD85" i="20" s="1"/>
  <c r="AG85" i="20" s="1"/>
  <c r="AH85" i="20" s="1"/>
  <c r="AK85" i="20" s="1"/>
  <c r="AL85" i="20" s="1"/>
  <c r="AO85" i="20" s="1"/>
  <c r="AP61" i="20"/>
  <c r="AS61" i="20" s="1"/>
  <c r="AT61" i="20" s="1"/>
  <c r="AP17" i="20"/>
  <c r="AS17" i="20" s="1"/>
  <c r="AT17" i="20" s="1"/>
  <c r="AP82" i="20"/>
  <c r="AS82" i="20" s="1"/>
  <c r="AT82" i="20" s="1"/>
  <c r="AP64" i="20"/>
  <c r="AS64" i="20" s="1"/>
  <c r="AT64" i="20" s="1"/>
  <c r="AP71" i="20"/>
  <c r="AS71" i="20" s="1"/>
  <c r="AT71" i="20" s="1"/>
  <c r="AP11" i="20"/>
  <c r="AS11" i="20" s="1"/>
  <c r="AT11" i="20" s="1"/>
  <c r="AP88" i="20"/>
  <c r="AS88" i="20" s="1"/>
  <c r="AT88" i="20" s="1"/>
  <c r="L17" i="20"/>
  <c r="AG77" i="20"/>
  <c r="AH77" i="20" s="1"/>
  <c r="AK77" i="20" s="1"/>
  <c r="AL77" i="20" s="1"/>
  <c r="AO77" i="20" s="1"/>
  <c r="N32" i="19"/>
  <c r="F30" i="19"/>
  <c r="F2" i="19"/>
  <c r="F70" i="19"/>
  <c r="F89" i="19"/>
  <c r="N36" i="20"/>
  <c r="AG24" i="20"/>
  <c r="AH24" i="20" s="1"/>
  <c r="AK24" i="20" s="1"/>
  <c r="AL24" i="20" s="1"/>
  <c r="AO24" i="20" s="1"/>
  <c r="AG44" i="20"/>
  <c r="AH44" i="20" s="1"/>
  <c r="AK44" i="20" s="1"/>
  <c r="AL44" i="20" s="1"/>
  <c r="AO44" i="20" s="1"/>
  <c r="AG48" i="20"/>
  <c r="AH48" i="20" s="1"/>
  <c r="AK48" i="20" s="1"/>
  <c r="AL48" i="20" s="1"/>
  <c r="AO48" i="20" s="1"/>
  <c r="AD39" i="20"/>
  <c r="L39" i="20" s="1"/>
  <c r="AB31" i="19"/>
  <c r="AE31" i="19" s="1"/>
  <c r="AF31" i="19" s="1"/>
  <c r="N31" i="19" s="1"/>
  <c r="K31" i="19" s="1"/>
  <c r="P28" i="19"/>
  <c r="O28" i="19"/>
  <c r="Z54" i="20"/>
  <c r="AC54" i="20" s="1"/>
  <c r="N44" i="20"/>
  <c r="AD41" i="20"/>
  <c r="L41" i="20" s="1"/>
  <c r="N48" i="20"/>
  <c r="N24" i="20"/>
  <c r="N77" i="20"/>
  <c r="S13" i="19"/>
  <c r="T13" i="19" s="1"/>
  <c r="W13" i="19" s="1"/>
  <c r="X13" i="19" s="1"/>
  <c r="AA13" i="19" s="1"/>
  <c r="AB13" i="19" s="1"/>
  <c r="AE13" i="19" s="1"/>
  <c r="AF13" i="19" s="1"/>
  <c r="N13" i="19" s="1"/>
  <c r="F12" i="19"/>
  <c r="L45" i="20"/>
  <c r="M45" i="20" s="1"/>
  <c r="BC25" i="18"/>
  <c r="BF25" i="18" s="1"/>
  <c r="BG25" i="18" s="1"/>
  <c r="AI6" i="18"/>
  <c r="AL6" i="18" s="1"/>
  <c r="AH91" i="18"/>
  <c r="O78" i="18"/>
  <c r="N78" i="18"/>
  <c r="X55" i="19"/>
  <c r="AA55" i="19" s="1"/>
  <c r="W56" i="19"/>
  <c r="I87" i="20" l="1"/>
  <c r="W40" i="19"/>
  <c r="X40" i="19" s="1"/>
  <c r="AA40" i="19" s="1"/>
  <c r="AB40" i="19" s="1"/>
  <c r="AE40" i="19" s="1"/>
  <c r="AF40" i="19" s="1"/>
  <c r="K75" i="19"/>
  <c r="U46" i="20"/>
  <c r="V46" i="20" s="1"/>
  <c r="Y46" i="20" s="1"/>
  <c r="Z46" i="20" s="1"/>
  <c r="AC46" i="20" s="1"/>
  <c r="AD46" i="20" s="1"/>
  <c r="L46" i="20" s="1"/>
  <c r="O47" i="19"/>
  <c r="N87" i="20"/>
  <c r="P47" i="19"/>
  <c r="V25" i="32"/>
  <c r="Y25" i="32" s="1"/>
  <c r="G75" i="15"/>
  <c r="H75" i="15" s="1"/>
  <c r="H21" i="7"/>
  <c r="L22" i="20"/>
  <c r="M22" i="20" s="1"/>
  <c r="P75" i="19"/>
  <c r="P27" i="19"/>
  <c r="N76" i="19"/>
  <c r="K76" i="19" s="1"/>
  <c r="AW91" i="26"/>
  <c r="AX2" i="26"/>
  <c r="L84" i="32"/>
  <c r="H89" i="15"/>
  <c r="I65" i="20"/>
  <c r="M65" i="20"/>
  <c r="G67" i="15" s="1"/>
  <c r="H67" i="15" s="1"/>
  <c r="I17" i="20"/>
  <c r="M17" i="20"/>
  <c r="G19" i="15" s="1"/>
  <c r="H19" i="15" s="1"/>
  <c r="I7" i="20"/>
  <c r="M7" i="20"/>
  <c r="G10" i="15" s="1"/>
  <c r="H10" i="15" s="1"/>
  <c r="I41" i="20"/>
  <c r="M41" i="20"/>
  <c r="I39" i="20"/>
  <c r="M39" i="20"/>
  <c r="G41" i="15" s="1"/>
  <c r="H41" i="15" s="1"/>
  <c r="I46" i="20"/>
  <c r="M46" i="20"/>
  <c r="G48" i="15" s="1"/>
  <c r="H48" i="15" s="1"/>
  <c r="S89" i="19"/>
  <c r="T89" i="19" s="1"/>
  <c r="W89" i="19" s="1"/>
  <c r="X89" i="19" s="1"/>
  <c r="AA89" i="19" s="1"/>
  <c r="AB89" i="19" s="1"/>
  <c r="AE89" i="19" s="1"/>
  <c r="AF89" i="19" s="1"/>
  <c r="N89" i="19" s="1"/>
  <c r="K89" i="19" s="1"/>
  <c r="S70" i="19"/>
  <c r="T70" i="19" s="1"/>
  <c r="W70" i="19" s="1"/>
  <c r="X70" i="19" s="1"/>
  <c r="AA70" i="19" s="1"/>
  <c r="AB70" i="19" s="1"/>
  <c r="AE70" i="19" s="1"/>
  <c r="AF70" i="19" s="1"/>
  <c r="N70" i="19" s="1"/>
  <c r="S30" i="19"/>
  <c r="T30" i="19" s="1"/>
  <c r="S69" i="19"/>
  <c r="T69" i="19" s="1"/>
  <c r="W69" i="19" s="1"/>
  <c r="X69" i="19" s="1"/>
  <c r="AA69" i="19" s="1"/>
  <c r="AB69" i="19" s="1"/>
  <c r="AE69" i="19" s="1"/>
  <c r="AF69" i="19" s="1"/>
  <c r="N69" i="19" s="1"/>
  <c r="K69" i="19" s="1"/>
  <c r="S86" i="19"/>
  <c r="T86" i="19" s="1"/>
  <c r="W86" i="19" s="1"/>
  <c r="X86" i="19" s="1"/>
  <c r="AA86" i="19" s="1"/>
  <c r="AB86" i="19" s="1"/>
  <c r="AE86" i="19" s="1"/>
  <c r="AF86" i="19" s="1"/>
  <c r="S60" i="19"/>
  <c r="S58" i="19"/>
  <c r="T58" i="19" s="1"/>
  <c r="W58" i="19" s="1"/>
  <c r="X58" i="19" s="1"/>
  <c r="AA58" i="19" s="1"/>
  <c r="AB58" i="19" s="1"/>
  <c r="AE58" i="19" s="1"/>
  <c r="AF58" i="19" s="1"/>
  <c r="K13" i="19"/>
  <c r="F49" i="15"/>
  <c r="Q47" i="20"/>
  <c r="R47" i="20" s="1"/>
  <c r="U47" i="20" s="1"/>
  <c r="V47" i="20" s="1"/>
  <c r="Y47" i="20" s="1"/>
  <c r="Z47" i="20" s="1"/>
  <c r="AC47" i="20" s="1"/>
  <c r="F30" i="15"/>
  <c r="Q28" i="20"/>
  <c r="R28" i="20" s="1"/>
  <c r="U28" i="20" s="1"/>
  <c r="V28" i="20" s="1"/>
  <c r="Y28" i="20" s="1"/>
  <c r="Z28" i="20" s="1"/>
  <c r="AC28" i="20" s="1"/>
  <c r="AD28" i="20" s="1"/>
  <c r="AG28" i="20" s="1"/>
  <c r="AH28" i="20" s="1"/>
  <c r="AK28" i="20" s="1"/>
  <c r="AL28" i="20" s="1"/>
  <c r="AO28" i="20" s="1"/>
  <c r="P70" i="19"/>
  <c r="K70" i="19"/>
  <c r="P32" i="19"/>
  <c r="K32" i="19"/>
  <c r="F25" i="15"/>
  <c r="Q23" i="20"/>
  <c r="R23" i="20" s="1"/>
  <c r="U23" i="20" s="1"/>
  <c r="V23" i="20" s="1"/>
  <c r="Y23" i="20" s="1"/>
  <c r="Z23" i="20" s="1"/>
  <c r="AC23" i="20" s="1"/>
  <c r="AD23" i="20" s="1"/>
  <c r="AG23" i="20" s="1"/>
  <c r="AH23" i="20" s="1"/>
  <c r="AK23" i="20" s="1"/>
  <c r="AL23" i="20" s="1"/>
  <c r="AO23" i="20" s="1"/>
  <c r="AP23" i="20" s="1"/>
  <c r="AS23" i="20" s="1"/>
  <c r="AT23" i="20" s="1"/>
  <c r="F29" i="15"/>
  <c r="Q27" i="20"/>
  <c r="R27" i="20" s="1"/>
  <c r="U27" i="20" s="1"/>
  <c r="V27" i="20" s="1"/>
  <c r="Y27" i="20" s="1"/>
  <c r="Z27" i="20" s="1"/>
  <c r="AC27" i="20" s="1"/>
  <c r="AD27" i="20" s="1"/>
  <c r="L27" i="20" s="1"/>
  <c r="Q76" i="20"/>
  <c r="R76" i="20" s="1"/>
  <c r="U76" i="20" s="1"/>
  <c r="V76" i="20" s="1"/>
  <c r="Y76" i="20" s="1"/>
  <c r="Z76" i="20" s="1"/>
  <c r="AC76" i="20" s="1"/>
  <c r="AD76" i="20" s="1"/>
  <c r="L76" i="20" s="1"/>
  <c r="AP62" i="20"/>
  <c r="AS62" i="20" s="1"/>
  <c r="AT62" i="20" s="1"/>
  <c r="L62" i="20"/>
  <c r="M62" i="20" s="1"/>
  <c r="R29" i="20"/>
  <c r="U29" i="20" s="1"/>
  <c r="V29" i="20" s="1"/>
  <c r="Y29" i="20" s="1"/>
  <c r="Z29" i="20" s="1"/>
  <c r="AC29" i="20" s="1"/>
  <c r="AD29" i="20" s="1"/>
  <c r="AG29" i="20" s="1"/>
  <c r="AH29" i="20" s="1"/>
  <c r="AK29" i="20" s="1"/>
  <c r="AL29" i="20" s="1"/>
  <c r="AO29" i="20" s="1"/>
  <c r="AP29" i="20" s="1"/>
  <c r="AS29" i="20" s="1"/>
  <c r="AT29" i="20" s="1"/>
  <c r="F77" i="15"/>
  <c r="Q75" i="20"/>
  <c r="R75" i="20" s="1"/>
  <c r="U75" i="20" s="1"/>
  <c r="V75" i="20" s="1"/>
  <c r="Y75" i="20" s="1"/>
  <c r="Z75" i="20" s="1"/>
  <c r="AC75" i="20" s="1"/>
  <c r="AD75" i="20" s="1"/>
  <c r="L75" i="20" s="1"/>
  <c r="N75" i="20" s="1"/>
  <c r="N45" i="20"/>
  <c r="I45" i="20"/>
  <c r="N22" i="20"/>
  <c r="I22" i="20"/>
  <c r="L43" i="20"/>
  <c r="T60" i="19"/>
  <c r="W60" i="19" s="1"/>
  <c r="X60" i="19" s="1"/>
  <c r="AA60" i="19" s="1"/>
  <c r="AB60" i="19" s="1"/>
  <c r="AE60" i="19" s="1"/>
  <c r="AF60" i="19" s="1"/>
  <c r="N60" i="19" s="1"/>
  <c r="K60" i="19" s="1"/>
  <c r="E81" i="15"/>
  <c r="E52" i="15"/>
  <c r="H52" i="15" s="1"/>
  <c r="S9" i="19"/>
  <c r="T9" i="19" s="1"/>
  <c r="O69" i="19"/>
  <c r="P69" i="19"/>
  <c r="F49" i="19"/>
  <c r="L85" i="20"/>
  <c r="AP85" i="20"/>
  <c r="AS85" i="20" s="1"/>
  <c r="AT85" i="20" s="1"/>
  <c r="L10" i="20"/>
  <c r="AP77" i="20"/>
  <c r="AS77" i="20" s="1"/>
  <c r="AT77" i="20" s="1"/>
  <c r="AP24" i="20"/>
  <c r="AS24" i="20" s="1"/>
  <c r="AT24" i="20" s="1"/>
  <c r="AP48" i="20"/>
  <c r="AS48" i="20" s="1"/>
  <c r="AT48" i="20" s="1"/>
  <c r="AP44" i="20"/>
  <c r="AS44" i="20" s="1"/>
  <c r="AT44" i="20" s="1"/>
  <c r="N17" i="20"/>
  <c r="O32" i="19"/>
  <c r="N40" i="19"/>
  <c r="S2" i="19"/>
  <c r="P13" i="19"/>
  <c r="O13" i="19"/>
  <c r="O70" i="19"/>
  <c r="P89" i="19"/>
  <c r="G24" i="15"/>
  <c r="H24" i="15" s="1"/>
  <c r="AG39" i="20"/>
  <c r="AH39" i="20" s="1"/>
  <c r="AK39" i="20" s="1"/>
  <c r="AL39" i="20" s="1"/>
  <c r="AO39" i="20" s="1"/>
  <c r="AG65" i="20"/>
  <c r="AH65" i="20" s="1"/>
  <c r="AK65" i="20" s="1"/>
  <c r="AL65" i="20" s="1"/>
  <c r="AO65" i="20" s="1"/>
  <c r="AG41" i="20"/>
  <c r="AH41" i="20" s="1"/>
  <c r="AK41" i="20" s="1"/>
  <c r="AL41" i="20" s="1"/>
  <c r="AO41" i="20" s="1"/>
  <c r="AG46" i="20"/>
  <c r="AH46" i="20" s="1"/>
  <c r="AK46" i="20" s="1"/>
  <c r="AL46" i="20" s="1"/>
  <c r="AO46" i="20" s="1"/>
  <c r="N7" i="20"/>
  <c r="Z15" i="20"/>
  <c r="AC15" i="20" s="1"/>
  <c r="S79" i="19"/>
  <c r="T79" i="19" s="1"/>
  <c r="F78" i="19"/>
  <c r="N46" i="20"/>
  <c r="O31" i="19"/>
  <c r="P31" i="19"/>
  <c r="N65" i="20"/>
  <c r="AD54" i="20"/>
  <c r="L54" i="20" s="1"/>
  <c r="S12" i="19"/>
  <c r="T12" i="19" s="1"/>
  <c r="AG7" i="20"/>
  <c r="AH7" i="20" s="1"/>
  <c r="AK7" i="20" s="1"/>
  <c r="AL7" i="20" s="1"/>
  <c r="AO7" i="20" s="1"/>
  <c r="G43" i="15"/>
  <c r="H43" i="15" s="1"/>
  <c r="N41" i="20"/>
  <c r="N39" i="20"/>
  <c r="G47" i="15"/>
  <c r="H47" i="15" s="1"/>
  <c r="AI91" i="18"/>
  <c r="AM6" i="18"/>
  <c r="AM91" i="18" s="1"/>
  <c r="AL91" i="18"/>
  <c r="BJ25" i="18"/>
  <c r="X56" i="19"/>
  <c r="AA56" i="19" s="1"/>
  <c r="AB55" i="19"/>
  <c r="AE55" i="19" s="1"/>
  <c r="AF55" i="19" s="1"/>
  <c r="AG27" i="20" l="1"/>
  <c r="AH27" i="20" s="1"/>
  <c r="AK27" i="20" s="1"/>
  <c r="AL27" i="20" s="1"/>
  <c r="AO27" i="20" s="1"/>
  <c r="AP27" i="20" s="1"/>
  <c r="AS27" i="20" s="1"/>
  <c r="AT27" i="20" s="1"/>
  <c r="N84" i="32"/>
  <c r="M84" i="32"/>
  <c r="I84" i="32"/>
  <c r="AX91" i="26"/>
  <c r="P76" i="19"/>
  <c r="O76" i="19"/>
  <c r="F78" i="15" s="1"/>
  <c r="K21" i="7"/>
  <c r="I21" i="7"/>
  <c r="L21" i="7" s="1"/>
  <c r="M21" i="7" s="1"/>
  <c r="N21" i="7" s="1"/>
  <c r="Z25" i="32"/>
  <c r="O89" i="19"/>
  <c r="F91" i="15" s="1"/>
  <c r="W30" i="19"/>
  <c r="X30" i="19" s="1"/>
  <c r="AA30" i="19" s="1"/>
  <c r="AB30" i="19" s="1"/>
  <c r="AE30" i="19" s="1"/>
  <c r="AF30" i="19" s="1"/>
  <c r="BA2" i="26"/>
  <c r="L23" i="20"/>
  <c r="M23" i="20" s="1"/>
  <c r="G25" i="15" s="1"/>
  <c r="H25" i="15" s="1"/>
  <c r="AG75" i="20"/>
  <c r="AH75" i="20" s="1"/>
  <c r="AK75" i="20" s="1"/>
  <c r="AL75" i="20" s="1"/>
  <c r="AO75" i="20" s="1"/>
  <c r="AP75" i="20" s="1"/>
  <c r="AS75" i="20" s="1"/>
  <c r="AT75" i="20" s="1"/>
  <c r="I54" i="20"/>
  <c r="M54" i="20"/>
  <c r="G56" i="15" s="1"/>
  <c r="H56" i="15" s="1"/>
  <c r="I27" i="20"/>
  <c r="M27" i="20"/>
  <c r="G29" i="15" s="1"/>
  <c r="H29" i="15" s="1"/>
  <c r="I10" i="20"/>
  <c r="M10" i="20"/>
  <c r="G12" i="15" s="1"/>
  <c r="H12" i="15" s="1"/>
  <c r="I85" i="20"/>
  <c r="M85" i="20"/>
  <c r="G87" i="15" s="1"/>
  <c r="H87" i="15" s="1"/>
  <c r="I76" i="20"/>
  <c r="M76" i="20"/>
  <c r="I43" i="20"/>
  <c r="M43" i="20"/>
  <c r="I75" i="20"/>
  <c r="M75" i="20"/>
  <c r="G77" i="15" s="1"/>
  <c r="H77" i="15" s="1"/>
  <c r="S78" i="19"/>
  <c r="T78" i="19" s="1"/>
  <c r="W78" i="19" s="1"/>
  <c r="X78" i="19" s="1"/>
  <c r="AA78" i="19" s="1"/>
  <c r="AB78" i="19" s="1"/>
  <c r="AE78" i="19" s="1"/>
  <c r="AF78" i="19" s="1"/>
  <c r="N78" i="19" s="1"/>
  <c r="K78" i="19" s="1"/>
  <c r="S49" i="19"/>
  <c r="F33" i="15"/>
  <c r="Q31" i="20"/>
  <c r="R31" i="20" s="1"/>
  <c r="Q89" i="20"/>
  <c r="R89" i="20" s="1"/>
  <c r="F72" i="15"/>
  <c r="Q70" i="20"/>
  <c r="R70" i="20" s="1"/>
  <c r="F15" i="15"/>
  <c r="Q13" i="20"/>
  <c r="R13" i="20" s="1"/>
  <c r="U13" i="20" s="1"/>
  <c r="V13" i="20" s="1"/>
  <c r="Y13" i="20" s="1"/>
  <c r="Z13" i="20" s="1"/>
  <c r="AC13" i="20" s="1"/>
  <c r="AD13" i="20" s="1"/>
  <c r="AG13" i="20" s="1"/>
  <c r="AH13" i="20" s="1"/>
  <c r="AK13" i="20" s="1"/>
  <c r="AL13" i="20" s="1"/>
  <c r="AO13" i="20" s="1"/>
  <c r="P40" i="19"/>
  <c r="K40" i="19"/>
  <c r="F34" i="15"/>
  <c r="Q32" i="20"/>
  <c r="R32" i="20" s="1"/>
  <c r="U32" i="20" s="1"/>
  <c r="V32" i="20" s="1"/>
  <c r="Y32" i="20" s="1"/>
  <c r="Z32" i="20" s="1"/>
  <c r="AC32" i="20" s="1"/>
  <c r="AD32" i="20" s="1"/>
  <c r="L32" i="20" s="1"/>
  <c r="N32" i="20" s="1"/>
  <c r="F71" i="15"/>
  <c r="Q69" i="20"/>
  <c r="R69" i="20" s="1"/>
  <c r="U69" i="20" s="1"/>
  <c r="V69" i="20" s="1"/>
  <c r="Y69" i="20" s="1"/>
  <c r="Z69" i="20" s="1"/>
  <c r="AC69" i="20" s="1"/>
  <c r="L29" i="20"/>
  <c r="M29" i="20" s="1"/>
  <c r="I62" i="20"/>
  <c r="N62" i="20"/>
  <c r="G64" i="15"/>
  <c r="H64" i="15" s="1"/>
  <c r="N43" i="20"/>
  <c r="G45" i="15"/>
  <c r="H45" i="15" s="1"/>
  <c r="AG76" i="20"/>
  <c r="AH76" i="20" s="1"/>
  <c r="AK76" i="20" s="1"/>
  <c r="AL76" i="20" s="1"/>
  <c r="AO76" i="20" s="1"/>
  <c r="AP76" i="20" s="1"/>
  <c r="AS76" i="20" s="1"/>
  <c r="AT76" i="20" s="1"/>
  <c r="P60" i="19"/>
  <c r="O60" i="19"/>
  <c r="N27" i="20"/>
  <c r="N58" i="19"/>
  <c r="K58" i="19" s="1"/>
  <c r="N76" i="20"/>
  <c r="G78" i="15"/>
  <c r="H78" i="15" s="1"/>
  <c r="N85" i="20"/>
  <c r="W9" i="19"/>
  <c r="X9" i="19" s="1"/>
  <c r="AA9" i="19" s="1"/>
  <c r="AB9" i="19" s="1"/>
  <c r="AE9" i="19" s="1"/>
  <c r="AF9" i="19" s="1"/>
  <c r="N10" i="20"/>
  <c r="T49" i="19"/>
  <c r="W49" i="19" s="1"/>
  <c r="X49" i="19" s="1"/>
  <c r="AA49" i="19" s="1"/>
  <c r="AB49" i="19" s="1"/>
  <c r="AE49" i="19" s="1"/>
  <c r="AF49" i="19" s="1"/>
  <c r="N86" i="19"/>
  <c r="K86" i="19" s="1"/>
  <c r="AP65" i="20"/>
  <c r="AS65" i="20" s="1"/>
  <c r="AT65" i="20" s="1"/>
  <c r="T2" i="19"/>
  <c r="AP39" i="20"/>
  <c r="AS39" i="20" s="1"/>
  <c r="AT39" i="20" s="1"/>
  <c r="AP28" i="20"/>
  <c r="AS28" i="20" s="1"/>
  <c r="AT28" i="20" s="1"/>
  <c r="AP41" i="20"/>
  <c r="AS41" i="20" s="1"/>
  <c r="AT41" i="20" s="1"/>
  <c r="AP7" i="20"/>
  <c r="AS7" i="20" s="1"/>
  <c r="AT7" i="20" s="1"/>
  <c r="AP46" i="20"/>
  <c r="AS46" i="20" s="1"/>
  <c r="AT46" i="20" s="1"/>
  <c r="O40" i="19"/>
  <c r="AG54" i="20"/>
  <c r="AH54" i="20" s="1"/>
  <c r="AK54" i="20" s="1"/>
  <c r="AL54" i="20" s="1"/>
  <c r="AO54" i="20" s="1"/>
  <c r="AD15" i="20"/>
  <c r="L15" i="20" s="1"/>
  <c r="W12" i="19"/>
  <c r="X12" i="19" s="1"/>
  <c r="AA12" i="19" s="1"/>
  <c r="AB12" i="19" s="1"/>
  <c r="AE12" i="19" s="1"/>
  <c r="AF12" i="19" s="1"/>
  <c r="N12" i="19" s="1"/>
  <c r="K12" i="19" s="1"/>
  <c r="N54" i="20"/>
  <c r="L28" i="20"/>
  <c r="AD47" i="20"/>
  <c r="L47" i="20" s="1"/>
  <c r="W79" i="19"/>
  <c r="X79" i="19" s="1"/>
  <c r="AA79" i="19" s="1"/>
  <c r="AB79" i="19" s="1"/>
  <c r="AE79" i="19" s="1"/>
  <c r="AF79" i="19" s="1"/>
  <c r="AP6" i="18"/>
  <c r="AQ6" i="18" s="1"/>
  <c r="AQ91" i="18" s="1"/>
  <c r="BK25" i="18"/>
  <c r="N55" i="19"/>
  <c r="K55" i="19" s="1"/>
  <c r="AB56" i="19"/>
  <c r="AE56" i="19" s="1"/>
  <c r="AF56" i="19" s="1"/>
  <c r="S26" i="19"/>
  <c r="N23" i="20" l="1"/>
  <c r="AG32" i="20"/>
  <c r="AH32" i="20" s="1"/>
  <c r="AK32" i="20" s="1"/>
  <c r="AL32" i="20" s="1"/>
  <c r="AO32" i="20" s="1"/>
  <c r="I23" i="20"/>
  <c r="U89" i="20"/>
  <c r="V89" i="20" s="1"/>
  <c r="Y89" i="20" s="1"/>
  <c r="Z89" i="20" s="1"/>
  <c r="AC89" i="20" s="1"/>
  <c r="AD89" i="20" s="1"/>
  <c r="AG89" i="20" s="1"/>
  <c r="AH89" i="20" s="1"/>
  <c r="AK89" i="20" s="1"/>
  <c r="AL89" i="20" s="1"/>
  <c r="AO89" i="20" s="1"/>
  <c r="AP89" i="20" s="1"/>
  <c r="AS89" i="20" s="1"/>
  <c r="AT89" i="20" s="1"/>
  <c r="N30" i="19"/>
  <c r="K30" i="19" s="1"/>
  <c r="BB2" i="26"/>
  <c r="BA91" i="26"/>
  <c r="BE2" i="26"/>
  <c r="AC25" i="32"/>
  <c r="O78" i="19"/>
  <c r="F80" i="15" s="1"/>
  <c r="P78" i="19"/>
  <c r="U31" i="20"/>
  <c r="V31" i="20" s="1"/>
  <c r="Y31" i="20" s="1"/>
  <c r="Z31" i="20" s="1"/>
  <c r="AC31" i="20" s="1"/>
  <c r="AD31" i="20" s="1"/>
  <c r="AG31" i="20" s="1"/>
  <c r="AH31" i="20" s="1"/>
  <c r="AK31" i="20" s="1"/>
  <c r="AL31" i="20" s="1"/>
  <c r="AO31" i="20" s="1"/>
  <c r="AP31" i="20" s="1"/>
  <c r="AS31" i="20" s="1"/>
  <c r="AT31" i="20" s="1"/>
  <c r="U70" i="20"/>
  <c r="V70" i="20" s="1"/>
  <c r="Y70" i="20" s="1"/>
  <c r="Z70" i="20" s="1"/>
  <c r="AC70" i="20" s="1"/>
  <c r="AD70" i="20" s="1"/>
  <c r="AG70" i="20" s="1"/>
  <c r="AH70" i="20" s="1"/>
  <c r="AK70" i="20" s="1"/>
  <c r="AL70" i="20" s="1"/>
  <c r="AO70" i="20" s="1"/>
  <c r="I47" i="20"/>
  <c r="M47" i="20"/>
  <c r="G49" i="15" s="1"/>
  <c r="H49" i="15" s="1"/>
  <c r="I28" i="20"/>
  <c r="M28" i="20"/>
  <c r="G30" i="15" s="1"/>
  <c r="H30" i="15" s="1"/>
  <c r="I15" i="20"/>
  <c r="M15" i="20"/>
  <c r="G17" i="15" s="1"/>
  <c r="H17" i="15" s="1"/>
  <c r="I32" i="20"/>
  <c r="M32" i="20"/>
  <c r="G34" i="15" s="1"/>
  <c r="H34" i="15" s="1"/>
  <c r="Q78" i="20"/>
  <c r="R78" i="20" s="1"/>
  <c r="U78" i="20" s="1"/>
  <c r="V78" i="20" s="1"/>
  <c r="Y78" i="20" s="1"/>
  <c r="Z78" i="20" s="1"/>
  <c r="AC78" i="20" s="1"/>
  <c r="AD78" i="20" s="1"/>
  <c r="L78" i="20" s="1"/>
  <c r="F42" i="15"/>
  <c r="Q40" i="20"/>
  <c r="R40" i="20" s="1"/>
  <c r="F62" i="15"/>
  <c r="Q60" i="20"/>
  <c r="R60" i="20" s="1"/>
  <c r="U60" i="20" s="1"/>
  <c r="V60" i="20" s="1"/>
  <c r="Y60" i="20" s="1"/>
  <c r="Z60" i="20" s="1"/>
  <c r="AC60" i="20" s="1"/>
  <c r="AD60" i="20" s="1"/>
  <c r="L60" i="20" s="1"/>
  <c r="I29" i="20"/>
  <c r="N29" i="20"/>
  <c r="G31" i="15"/>
  <c r="H31" i="15" s="1"/>
  <c r="AD69" i="20"/>
  <c r="L69" i="20" s="1"/>
  <c r="M69" i="20" s="1"/>
  <c r="N9" i="19"/>
  <c r="P86" i="19"/>
  <c r="O86" i="19"/>
  <c r="O58" i="19"/>
  <c r="P58" i="19"/>
  <c r="N49" i="19"/>
  <c r="K49" i="19" s="1"/>
  <c r="W2" i="19"/>
  <c r="AP70" i="20"/>
  <c r="AS70" i="20" s="1"/>
  <c r="AT70" i="20" s="1"/>
  <c r="AP13" i="20"/>
  <c r="AS13" i="20" s="1"/>
  <c r="AT13" i="20" s="1"/>
  <c r="AP32" i="20"/>
  <c r="AS32" i="20" s="1"/>
  <c r="AT32" i="20" s="1"/>
  <c r="AP54" i="20"/>
  <c r="AS54" i="20" s="1"/>
  <c r="AT54" i="20" s="1"/>
  <c r="L89" i="20"/>
  <c r="L70" i="20"/>
  <c r="M70" i="20" s="1"/>
  <c r="AG47" i="20"/>
  <c r="AH47" i="20" s="1"/>
  <c r="AK47" i="20" s="1"/>
  <c r="AL47" i="20" s="1"/>
  <c r="AO47" i="20" s="1"/>
  <c r="AG15" i="20"/>
  <c r="AH15" i="20" s="1"/>
  <c r="AK15" i="20" s="1"/>
  <c r="AL15" i="20" s="1"/>
  <c r="AO15" i="20" s="1"/>
  <c r="N47" i="20"/>
  <c r="N15" i="20"/>
  <c r="O12" i="19"/>
  <c r="P12" i="19"/>
  <c r="N28" i="20"/>
  <c r="AP91" i="18"/>
  <c r="N79" i="19"/>
  <c r="K79" i="19" s="1"/>
  <c r="AT6" i="18"/>
  <c r="L13" i="20"/>
  <c r="M25" i="18"/>
  <c r="J25" i="18" s="1"/>
  <c r="N56" i="19"/>
  <c r="O55" i="19"/>
  <c r="Q55" i="20"/>
  <c r="P55" i="19"/>
  <c r="T26" i="19"/>
  <c r="W26" i="19" s="1"/>
  <c r="P30" i="19" l="1"/>
  <c r="O30" i="19"/>
  <c r="F32" i="15" s="1"/>
  <c r="AD25" i="32"/>
  <c r="AG25" i="32" s="1"/>
  <c r="BF2" i="26"/>
  <c r="BF91" i="26" s="1"/>
  <c r="BE91" i="26"/>
  <c r="BB91" i="26"/>
  <c r="L31" i="20"/>
  <c r="I31" i="20" s="1"/>
  <c r="U40" i="20"/>
  <c r="V40" i="20" s="1"/>
  <c r="Y40" i="20" s="1"/>
  <c r="Z40" i="20" s="1"/>
  <c r="AC40" i="20" s="1"/>
  <c r="AD40" i="20" s="1"/>
  <c r="AG40" i="20" s="1"/>
  <c r="AH40" i="20" s="1"/>
  <c r="AK40" i="20" s="1"/>
  <c r="AL40" i="20" s="1"/>
  <c r="AO40" i="20" s="1"/>
  <c r="AP40" i="20" s="1"/>
  <c r="AS40" i="20" s="1"/>
  <c r="AT40" i="20" s="1"/>
  <c r="AG69" i="20"/>
  <c r="AH69" i="20" s="1"/>
  <c r="AK69" i="20" s="1"/>
  <c r="AL69" i="20" s="1"/>
  <c r="AO69" i="20" s="1"/>
  <c r="AP69" i="20" s="1"/>
  <c r="AS69" i="20" s="1"/>
  <c r="AT69" i="20" s="1"/>
  <c r="I13" i="20"/>
  <c r="M13" i="20"/>
  <c r="G15" i="15" s="1"/>
  <c r="H15" i="15" s="1"/>
  <c r="I78" i="20"/>
  <c r="M78" i="20"/>
  <c r="G80" i="15" s="1"/>
  <c r="H80" i="15" s="1"/>
  <c r="I89" i="20"/>
  <c r="M89" i="20"/>
  <c r="G91" i="15" s="1"/>
  <c r="H91" i="15" s="1"/>
  <c r="I60" i="20"/>
  <c r="M60" i="20"/>
  <c r="G62" i="15" s="1"/>
  <c r="H62" i="15" s="1"/>
  <c r="K56" i="19"/>
  <c r="F14" i="15"/>
  <c r="Q12" i="20"/>
  <c r="R12" i="20" s="1"/>
  <c r="U12" i="20" s="1"/>
  <c r="V12" i="20" s="1"/>
  <c r="Y12" i="20" s="1"/>
  <c r="Z12" i="20" s="1"/>
  <c r="AC12" i="20" s="1"/>
  <c r="AD12" i="20" s="1"/>
  <c r="L12" i="20" s="1"/>
  <c r="Q30" i="20"/>
  <c r="R30" i="20" s="1"/>
  <c r="U30" i="20" s="1"/>
  <c r="V30" i="20" s="1"/>
  <c r="Y30" i="20" s="1"/>
  <c r="Z30" i="20" s="1"/>
  <c r="AC30" i="20" s="1"/>
  <c r="AD30" i="20" s="1"/>
  <c r="AG30" i="20" s="1"/>
  <c r="AH30" i="20" s="1"/>
  <c r="AK30" i="20" s="1"/>
  <c r="AL30" i="20" s="1"/>
  <c r="AO30" i="20" s="1"/>
  <c r="AP30" i="20" s="1"/>
  <c r="AS30" i="20" s="1"/>
  <c r="AT30" i="20" s="1"/>
  <c r="F60" i="15"/>
  <c r="Q58" i="20"/>
  <c r="R58" i="20" s="1"/>
  <c r="F88" i="15"/>
  <c r="Q86" i="20"/>
  <c r="R86" i="20" s="1"/>
  <c r="U86" i="20" s="1"/>
  <c r="V86" i="20" s="1"/>
  <c r="Y86" i="20" s="1"/>
  <c r="Z86" i="20" s="1"/>
  <c r="AC86" i="20" s="1"/>
  <c r="AD86" i="20" s="1"/>
  <c r="L86" i="20" s="1"/>
  <c r="P9" i="19"/>
  <c r="K9" i="19"/>
  <c r="I69" i="20"/>
  <c r="N69" i="20"/>
  <c r="G71" i="15"/>
  <c r="G72" i="15"/>
  <c r="H72" i="15" s="1"/>
  <c r="I70" i="20"/>
  <c r="AG60" i="20"/>
  <c r="AH60" i="20" s="1"/>
  <c r="AK60" i="20" s="1"/>
  <c r="AL60" i="20" s="1"/>
  <c r="AO60" i="20" s="1"/>
  <c r="AP60" i="20" s="1"/>
  <c r="AS60" i="20" s="1"/>
  <c r="AT60" i="20" s="1"/>
  <c r="O9" i="19"/>
  <c r="U58" i="20"/>
  <c r="V58" i="20" s="1"/>
  <c r="Y58" i="20" s="1"/>
  <c r="Z58" i="20" s="1"/>
  <c r="AC58" i="20" s="1"/>
  <c r="AD58" i="20" s="1"/>
  <c r="AG58" i="20" s="1"/>
  <c r="AH58" i="20" s="1"/>
  <c r="AK58" i="20" s="1"/>
  <c r="AL58" i="20" s="1"/>
  <c r="AO58" i="20" s="1"/>
  <c r="AP58" i="20" s="1"/>
  <c r="AS58" i="20" s="1"/>
  <c r="AT58" i="20" s="1"/>
  <c r="P49" i="19"/>
  <c r="O49" i="19"/>
  <c r="N60" i="20"/>
  <c r="AP47" i="20"/>
  <c r="AS47" i="20" s="1"/>
  <c r="AT47" i="20" s="1"/>
  <c r="X2" i="19"/>
  <c r="AP15" i="20"/>
  <c r="AS15" i="20" s="1"/>
  <c r="AT15" i="20" s="1"/>
  <c r="N70" i="20"/>
  <c r="N89" i="20"/>
  <c r="AG78" i="20"/>
  <c r="AH78" i="20" s="1"/>
  <c r="AK78" i="20" s="1"/>
  <c r="AL78" i="20" s="1"/>
  <c r="AO78" i="20" s="1"/>
  <c r="N78" i="20"/>
  <c r="N13" i="20"/>
  <c r="AU6" i="18"/>
  <c r="AX6" i="18" s="1"/>
  <c r="AT91" i="18"/>
  <c r="P79" i="19"/>
  <c r="O79" i="19"/>
  <c r="N25" i="18"/>
  <c r="O25" i="18"/>
  <c r="P56" i="19"/>
  <c r="O56" i="19"/>
  <c r="R55" i="20"/>
  <c r="U55" i="20" s="1"/>
  <c r="F58" i="15"/>
  <c r="F57" i="15"/>
  <c r="X26" i="19"/>
  <c r="AA26" i="19" s="1"/>
  <c r="BI2" i="26" l="1"/>
  <c r="AH25" i="32"/>
  <c r="AK25" i="32" s="1"/>
  <c r="BI91" i="26"/>
  <c r="BJ2" i="26"/>
  <c r="M31" i="20"/>
  <c r="G33" i="15" s="1"/>
  <c r="H33" i="15" s="1"/>
  <c r="N31" i="20"/>
  <c r="L30" i="20"/>
  <c r="M30" i="20" s="1"/>
  <c r="G32" i="15" s="1"/>
  <c r="H32" i="15" s="1"/>
  <c r="L40" i="20"/>
  <c r="M40" i="20" s="1"/>
  <c r="G42" i="15" s="1"/>
  <c r="H42" i="15" s="1"/>
  <c r="I12" i="20"/>
  <c r="M12" i="20"/>
  <c r="G14" i="15" s="1"/>
  <c r="H14" i="15" s="1"/>
  <c r="I30" i="20"/>
  <c r="I86" i="20"/>
  <c r="M86" i="20"/>
  <c r="G88" i="15" s="1"/>
  <c r="H88" i="15" s="1"/>
  <c r="Q56" i="20"/>
  <c r="R56" i="20" s="1"/>
  <c r="U56" i="20" s="1"/>
  <c r="V56" i="20" s="1"/>
  <c r="Y56" i="20" s="1"/>
  <c r="E71" i="15"/>
  <c r="H71" i="15" s="1"/>
  <c r="F81" i="15"/>
  <c r="Q79" i="20"/>
  <c r="R79" i="20" s="1"/>
  <c r="F51" i="15"/>
  <c r="Q49" i="20"/>
  <c r="R49" i="20" s="1"/>
  <c r="U49" i="20" s="1"/>
  <c r="V49" i="20" s="1"/>
  <c r="Y49" i="20" s="1"/>
  <c r="Z49" i="20" s="1"/>
  <c r="AC49" i="20" s="1"/>
  <c r="AD49" i="20" s="1"/>
  <c r="L49" i="20" s="1"/>
  <c r="F11" i="15"/>
  <c r="Q9" i="20"/>
  <c r="R9" i="20" s="1"/>
  <c r="U9" i="20" s="1"/>
  <c r="V9" i="20" s="1"/>
  <c r="Y9" i="20" s="1"/>
  <c r="Z9" i="20" s="1"/>
  <c r="AC9" i="20" s="1"/>
  <c r="L58" i="20"/>
  <c r="M58" i="20" s="1"/>
  <c r="AG86" i="20"/>
  <c r="AH86" i="20" s="1"/>
  <c r="AK86" i="20" s="1"/>
  <c r="AL86" i="20" s="1"/>
  <c r="AO86" i="20" s="1"/>
  <c r="AP86" i="20" s="1"/>
  <c r="AS86" i="20" s="1"/>
  <c r="AT86" i="20" s="1"/>
  <c r="N86" i="20"/>
  <c r="F68" i="19"/>
  <c r="AA2" i="19"/>
  <c r="AP78" i="20"/>
  <c r="AS78" i="20" s="1"/>
  <c r="AT78" i="20" s="1"/>
  <c r="F25" i="19"/>
  <c r="AG12" i="20"/>
  <c r="AH12" i="20" s="1"/>
  <c r="AK12" i="20" s="1"/>
  <c r="AL12" i="20" s="1"/>
  <c r="AO12" i="20" s="1"/>
  <c r="N12" i="20"/>
  <c r="AU91" i="18"/>
  <c r="AY6" i="18"/>
  <c r="AY91" i="18" s="1"/>
  <c r="AX91" i="18"/>
  <c r="E28" i="15"/>
  <c r="V55" i="20"/>
  <c r="Y55" i="20" s="1"/>
  <c r="AB26" i="19"/>
  <c r="AE26" i="19" s="1"/>
  <c r="AF26" i="19" s="1"/>
  <c r="N30" i="20" l="1"/>
  <c r="I40" i="20"/>
  <c r="U79" i="20"/>
  <c r="V79" i="20" s="1"/>
  <c r="Y79" i="20" s="1"/>
  <c r="Z79" i="20" s="1"/>
  <c r="AC79" i="20" s="1"/>
  <c r="AD79" i="20" s="1"/>
  <c r="AG79" i="20" s="1"/>
  <c r="AH79" i="20" s="1"/>
  <c r="AK79" i="20" s="1"/>
  <c r="AL79" i="20" s="1"/>
  <c r="AO79" i="20" s="1"/>
  <c r="BJ91" i="26"/>
  <c r="L2" i="26"/>
  <c r="AL25" i="32"/>
  <c r="AO25" i="32" s="1"/>
  <c r="N40" i="20"/>
  <c r="I49" i="20"/>
  <c r="M49" i="20"/>
  <c r="S25" i="19"/>
  <c r="T25" i="19" s="1"/>
  <c r="W25" i="19" s="1"/>
  <c r="X25" i="19" s="1"/>
  <c r="AA25" i="19" s="1"/>
  <c r="AB25" i="19" s="1"/>
  <c r="AE25" i="19" s="1"/>
  <c r="AF25" i="19" s="1"/>
  <c r="N25" i="19" s="1"/>
  <c r="K25" i="19" s="1"/>
  <c r="S68" i="19"/>
  <c r="T68" i="19" s="1"/>
  <c r="W68" i="19" s="1"/>
  <c r="X68" i="19" s="1"/>
  <c r="AA68" i="19" s="1"/>
  <c r="AB68" i="19" s="1"/>
  <c r="AE68" i="19" s="1"/>
  <c r="AF68" i="19" s="1"/>
  <c r="N68" i="19" s="1"/>
  <c r="K68" i="19" s="1"/>
  <c r="AD9" i="20"/>
  <c r="L9" i="20" s="1"/>
  <c r="M9" i="20" s="1"/>
  <c r="G60" i="15"/>
  <c r="H60" i="15" s="1"/>
  <c r="I58" i="20"/>
  <c r="N58" i="20"/>
  <c r="G51" i="15"/>
  <c r="H51" i="15" s="1"/>
  <c r="N49" i="20"/>
  <c r="AG49" i="20"/>
  <c r="AH49" i="20" s="1"/>
  <c r="AK49" i="20" s="1"/>
  <c r="AL49" i="20" s="1"/>
  <c r="AO49" i="20" s="1"/>
  <c r="AP49" i="20" s="1"/>
  <c r="AS49" i="20" s="1"/>
  <c r="AT49" i="20" s="1"/>
  <c r="AP12" i="20"/>
  <c r="AS12" i="20" s="1"/>
  <c r="AT12" i="20" s="1"/>
  <c r="AP79" i="20"/>
  <c r="AS79" i="20" s="1"/>
  <c r="AT79" i="20" s="1"/>
  <c r="AB2" i="19"/>
  <c r="BB6" i="18"/>
  <c r="BC6" i="18" s="1"/>
  <c r="Z55" i="20"/>
  <c r="Z56" i="20"/>
  <c r="AC56" i="20" s="1"/>
  <c r="N26" i="19"/>
  <c r="K26" i="19" s="1"/>
  <c r="L79" i="20" l="1"/>
  <c r="AP25" i="32"/>
  <c r="AS25" i="32" s="1"/>
  <c r="I2" i="26"/>
  <c r="M2" i="26"/>
  <c r="M91" i="26" s="1"/>
  <c r="B19" i="24" s="1"/>
  <c r="N2" i="26"/>
  <c r="N91" i="26" s="1"/>
  <c r="L91" i="26"/>
  <c r="P68" i="19"/>
  <c r="O68" i="19"/>
  <c r="F70" i="15" s="1"/>
  <c r="AG9" i="20"/>
  <c r="AH9" i="20" s="1"/>
  <c r="AK9" i="20" s="1"/>
  <c r="AL9" i="20" s="1"/>
  <c r="AO9" i="20" s="1"/>
  <c r="AP9" i="20" s="1"/>
  <c r="AS9" i="20" s="1"/>
  <c r="AT9" i="20" s="1"/>
  <c r="I79" i="20"/>
  <c r="M79" i="20"/>
  <c r="G81" i="15" s="1"/>
  <c r="H81" i="15" s="1"/>
  <c r="Q68" i="20"/>
  <c r="R68" i="20" s="1"/>
  <c r="U68" i="20" s="1"/>
  <c r="V68" i="20" s="1"/>
  <c r="Y68" i="20" s="1"/>
  <c r="Z68" i="20" s="1"/>
  <c r="AC68" i="20" s="1"/>
  <c r="AD68" i="20" s="1"/>
  <c r="L68" i="20" s="1"/>
  <c r="I9" i="20"/>
  <c r="N9" i="20"/>
  <c r="G11" i="15"/>
  <c r="H11" i="15" s="1"/>
  <c r="AE2" i="19"/>
  <c r="BB91" i="18"/>
  <c r="N79" i="20"/>
  <c r="BF6" i="18"/>
  <c r="BC91" i="18"/>
  <c r="AD56" i="20"/>
  <c r="AG56" i="20" s="1"/>
  <c r="AC55" i="20"/>
  <c r="O26" i="19"/>
  <c r="P26" i="19"/>
  <c r="Q26" i="20"/>
  <c r="P25" i="19"/>
  <c r="O25" i="19"/>
  <c r="AT25" i="32" l="1"/>
  <c r="AW25" i="32"/>
  <c r="I91" i="26"/>
  <c r="E2" i="32"/>
  <c r="Q2" i="32" s="1"/>
  <c r="I68" i="20"/>
  <c r="M68" i="20"/>
  <c r="G70" i="15" s="1"/>
  <c r="H70" i="15" s="1"/>
  <c r="AG68" i="20"/>
  <c r="AH68" i="20" s="1"/>
  <c r="AK68" i="20" s="1"/>
  <c r="AL68" i="20" s="1"/>
  <c r="AO68" i="20" s="1"/>
  <c r="N68" i="20"/>
  <c r="AF2" i="19"/>
  <c r="BG6" i="18"/>
  <c r="BF91" i="18"/>
  <c r="Q25" i="20"/>
  <c r="AH56" i="20"/>
  <c r="AK56" i="20" s="1"/>
  <c r="AD55" i="20"/>
  <c r="L55" i="20" s="1"/>
  <c r="L56" i="20"/>
  <c r="F27" i="15"/>
  <c r="F28" i="15"/>
  <c r="R26" i="20"/>
  <c r="U26" i="20" s="1"/>
  <c r="R2" i="32" l="1"/>
  <c r="Q91" i="32"/>
  <c r="AX25" i="32"/>
  <c r="BA25" i="32" s="1"/>
  <c r="I56" i="20"/>
  <c r="M56" i="20"/>
  <c r="I55" i="20"/>
  <c r="M55" i="20"/>
  <c r="AP68" i="20"/>
  <c r="AS68" i="20" s="1"/>
  <c r="AT68" i="20" s="1"/>
  <c r="N2" i="19"/>
  <c r="K2" i="19" s="1"/>
  <c r="R25" i="20"/>
  <c r="U25" i="20" s="1"/>
  <c r="BJ6" i="18"/>
  <c r="BG91" i="18"/>
  <c r="AG55" i="20"/>
  <c r="AH55" i="20" s="1"/>
  <c r="AK55" i="20" s="1"/>
  <c r="N55" i="20"/>
  <c r="N56" i="20"/>
  <c r="AL56" i="20"/>
  <c r="AO56" i="20" s="1"/>
  <c r="V26" i="20"/>
  <c r="Y26" i="20" s="1"/>
  <c r="BB25" i="32" l="1"/>
  <c r="R91" i="32"/>
  <c r="U2" i="32"/>
  <c r="O2" i="19"/>
  <c r="Q2" i="20" s="1"/>
  <c r="R2" i="20" s="1"/>
  <c r="P2" i="19"/>
  <c r="AP56" i="20"/>
  <c r="AS56" i="20" s="1"/>
  <c r="AT56" i="20" s="1"/>
  <c r="V25" i="20"/>
  <c r="Y25" i="20" s="1"/>
  <c r="BK6" i="18"/>
  <c r="BJ91" i="18"/>
  <c r="AL55" i="20"/>
  <c r="AO55" i="20" s="1"/>
  <c r="G58" i="15"/>
  <c r="H58" i="15" s="1"/>
  <c r="G57" i="15"/>
  <c r="H57" i="15" s="1"/>
  <c r="Z26" i="20"/>
  <c r="AC26" i="20" s="1"/>
  <c r="V2" i="32" l="1"/>
  <c r="U91" i="32"/>
  <c r="BE25" i="32"/>
  <c r="F5" i="15"/>
  <c r="AP55" i="20"/>
  <c r="AS55" i="20" s="1"/>
  <c r="AT55" i="20" s="1"/>
  <c r="Z25" i="20"/>
  <c r="AC25" i="20" s="1"/>
  <c r="BK91" i="18"/>
  <c r="M6" i="18"/>
  <c r="J6" i="18" s="1"/>
  <c r="AD26" i="20"/>
  <c r="AG26" i="20" s="1"/>
  <c r="Y2" i="32" l="1"/>
  <c r="V91" i="32"/>
  <c r="BF25" i="32"/>
  <c r="BI25" i="32"/>
  <c r="BJ25" i="32" s="1"/>
  <c r="U2" i="20"/>
  <c r="AD25" i="20"/>
  <c r="AG25" i="20" s="1"/>
  <c r="O6" i="18"/>
  <c r="O91" i="18" s="1"/>
  <c r="N6" i="18"/>
  <c r="M91" i="18"/>
  <c r="L26" i="20"/>
  <c r="M26" i="20" s="1"/>
  <c r="AH26" i="20"/>
  <c r="AK26" i="20" s="1"/>
  <c r="Z2" i="32" l="1"/>
  <c r="Y91" i="32"/>
  <c r="L25" i="32"/>
  <c r="E7" i="15"/>
  <c r="V2" i="20"/>
  <c r="Y2" i="20" s="1"/>
  <c r="I26" i="20"/>
  <c r="F4" i="19"/>
  <c r="J91" i="18"/>
  <c r="F6" i="19"/>
  <c r="L25" i="20"/>
  <c r="E9" i="15"/>
  <c r="N91" i="18"/>
  <c r="AH25" i="20"/>
  <c r="AK25" i="20" s="1"/>
  <c r="N26" i="20"/>
  <c r="AL26" i="20"/>
  <c r="AO26" i="20" s="1"/>
  <c r="Z91" i="32" l="1"/>
  <c r="I25" i="32"/>
  <c r="N25" i="32"/>
  <c r="M25" i="32"/>
  <c r="AC2" i="32"/>
  <c r="I25" i="20"/>
  <c r="M25" i="20"/>
  <c r="F91" i="19"/>
  <c r="Z2" i="20"/>
  <c r="S4" i="19"/>
  <c r="T4" i="19" s="1"/>
  <c r="W4" i="19" s="1"/>
  <c r="X4" i="19" s="1"/>
  <c r="AA4" i="19" s="1"/>
  <c r="AB4" i="19" s="1"/>
  <c r="AE4" i="19" s="1"/>
  <c r="AF4" i="19" s="1"/>
  <c r="N4" i="19" s="1"/>
  <c r="K4" i="19" s="1"/>
  <c r="B17" i="24"/>
  <c r="B31" i="24" s="1"/>
  <c r="AP26" i="20"/>
  <c r="AS26" i="20" s="1"/>
  <c r="AT26" i="20" s="1"/>
  <c r="N25" i="20"/>
  <c r="S6" i="19"/>
  <c r="G27" i="15"/>
  <c r="H27" i="15" s="1"/>
  <c r="AL25" i="20"/>
  <c r="AD2" i="32" l="1"/>
  <c r="AC91" i="32"/>
  <c r="AC2" i="20"/>
  <c r="AD2" i="20" s="1"/>
  <c r="O4" i="19"/>
  <c r="P4" i="19"/>
  <c r="T6" i="19"/>
  <c r="T91" i="19" s="1"/>
  <c r="S91" i="19"/>
  <c r="G28" i="15"/>
  <c r="H28" i="15" s="1"/>
  <c r="AO25" i="20"/>
  <c r="AG2" i="32" l="1"/>
  <c r="AD91" i="32"/>
  <c r="AG2" i="20"/>
  <c r="AH2" i="20" s="1"/>
  <c r="AK2" i="20" s="1"/>
  <c r="AL2" i="20" s="1"/>
  <c r="AO2" i="20" s="1"/>
  <c r="AP2" i="20" s="1"/>
  <c r="AS2" i="20" s="1"/>
  <c r="F7" i="15"/>
  <c r="W6" i="19"/>
  <c r="X6" i="19" s="1"/>
  <c r="AP25" i="20"/>
  <c r="AS25" i="20" s="1"/>
  <c r="AH2" i="32" l="1"/>
  <c r="AG91" i="32"/>
  <c r="AT2" i="20"/>
  <c r="L2" i="20" s="1"/>
  <c r="M2" i="20" s="1"/>
  <c r="G5" i="15" s="1"/>
  <c r="H5" i="15" s="1"/>
  <c r="Q4" i="20"/>
  <c r="R4" i="20" s="1"/>
  <c r="U4" i="20" s="1"/>
  <c r="V4" i="20" s="1"/>
  <c r="Y4" i="20" s="1"/>
  <c r="Z4" i="20" s="1"/>
  <c r="AC4" i="20" s="1"/>
  <c r="AD4" i="20" s="1"/>
  <c r="L4" i="20" s="1"/>
  <c r="W91" i="19"/>
  <c r="AT25" i="20"/>
  <c r="AA6" i="19"/>
  <c r="X91" i="19"/>
  <c r="AH91" i="32" l="1"/>
  <c r="AK2" i="32"/>
  <c r="I2" i="20"/>
  <c r="N2" i="20"/>
  <c r="I4" i="20"/>
  <c r="M4" i="20"/>
  <c r="AG4" i="20"/>
  <c r="AH4" i="20" s="1"/>
  <c r="AK4" i="20" s="1"/>
  <c r="AL4" i="20" s="1"/>
  <c r="AO4" i="20" s="1"/>
  <c r="AP4" i="20" s="1"/>
  <c r="AS4" i="20" s="1"/>
  <c r="G7" i="15"/>
  <c r="H7" i="15" s="1"/>
  <c r="N4" i="20"/>
  <c r="AB6" i="19"/>
  <c r="AA91" i="19"/>
  <c r="AL2" i="32" l="1"/>
  <c r="AK91" i="32"/>
  <c r="AT4" i="20"/>
  <c r="AE6" i="19"/>
  <c r="AB91" i="19"/>
  <c r="AO2" i="32" l="1"/>
  <c r="AL91" i="32"/>
  <c r="AF6" i="19"/>
  <c r="AE91" i="19"/>
  <c r="AP2" i="32" l="1"/>
  <c r="AS2" i="32" s="1"/>
  <c r="AO91" i="32"/>
  <c r="AF91" i="19"/>
  <c r="N6" i="19"/>
  <c r="K6" i="19" s="1"/>
  <c r="AT2" i="32" l="1"/>
  <c r="AS91" i="32"/>
  <c r="AP91" i="32"/>
  <c r="K91" i="19"/>
  <c r="N91" i="19"/>
  <c r="O6" i="19"/>
  <c r="P6" i="19"/>
  <c r="P91" i="19" s="1"/>
  <c r="AW2" i="32" l="1"/>
  <c r="AT91" i="32"/>
  <c r="E91" i="20"/>
  <c r="Q6" i="20"/>
  <c r="F9" i="15"/>
  <c r="O91" i="19"/>
  <c r="AX2" i="32" l="1"/>
  <c r="BA2" i="32" s="1"/>
  <c r="AW91" i="32"/>
  <c r="R6" i="20"/>
  <c r="R91" i="20" s="1"/>
  <c r="Q91" i="20"/>
  <c r="U6" i="20" l="1"/>
  <c r="BB2" i="32"/>
  <c r="BB91" i="32" s="1"/>
  <c r="BA91" i="32"/>
  <c r="AX91" i="32"/>
  <c r="V6" i="20"/>
  <c r="U91" i="20"/>
  <c r="Y6" i="20"/>
  <c r="BE2" i="32" l="1"/>
  <c r="Z6" i="20"/>
  <c r="Z91" i="20" s="1"/>
  <c r="Y91" i="20"/>
  <c r="AC6" i="20"/>
  <c r="V91" i="20"/>
  <c r="BF2" i="32" l="1"/>
  <c r="BI2" i="32"/>
  <c r="BE91" i="32"/>
  <c r="AD6" i="20"/>
  <c r="AC91" i="20"/>
  <c r="BJ2" i="32" l="1"/>
  <c r="BJ91" i="32" s="1"/>
  <c r="BI91" i="32"/>
  <c r="BF91" i="32"/>
  <c r="AG6" i="20"/>
  <c r="AD91" i="20"/>
  <c r="L6" i="20"/>
  <c r="M6" i="20" s="1"/>
  <c r="L2" i="32" l="1"/>
  <c r="L91" i="20"/>
  <c r="I6" i="20"/>
  <c r="I91" i="20" s="1"/>
  <c r="N6" i="20"/>
  <c r="N91" i="20" s="1"/>
  <c r="AH6" i="20"/>
  <c r="AH91" i="20" s="1"/>
  <c r="AG91" i="20"/>
  <c r="AK6" i="20"/>
  <c r="I2" i="32" l="1"/>
  <c r="I91" i="32" s="1"/>
  <c r="N2" i="32"/>
  <c r="N91" i="32" s="1"/>
  <c r="M2" i="32"/>
  <c r="M91" i="32" s="1"/>
  <c r="L91" i="32"/>
  <c r="AL6" i="20"/>
  <c r="AL91" i="20" s="1"/>
  <c r="AT91" i="20" s="1"/>
  <c r="AK91" i="20"/>
  <c r="M91" i="20"/>
  <c r="G9" i="15"/>
  <c r="H9" i="15" s="1"/>
  <c r="AO6" i="20" l="1"/>
  <c r="B18" i="24"/>
  <c r="AP6" i="20"/>
  <c r="AP91" i="20" s="1"/>
  <c r="AO91" i="20"/>
  <c r="AS6" i="20"/>
  <c r="AS91" i="20" s="1"/>
  <c r="B32" i="24" l="1"/>
  <c r="B15" i="24"/>
  <c r="B30" i="24" s="1"/>
  <c r="AT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Refilwe</author>
  </authors>
  <commentList>
    <comment ref="A8" authorId="0" shapeId="0" xr:uid="{00000000-0006-0000-0000-000001000000}">
      <text>
        <r>
          <rPr>
            <b/>
            <sz val="9"/>
            <color indexed="81"/>
            <rFont val="Tahoma"/>
            <family val="2"/>
          </rPr>
          <t>Joined 27 October 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Refilwe Lentswe</author>
  </authors>
  <commentList>
    <comment ref="J13" authorId="0" shapeId="0" xr:uid="{00000000-0006-0000-0D00-000001000000}">
      <text>
        <r>
          <rPr>
            <b/>
            <sz val="9"/>
            <color indexed="81"/>
            <rFont val="Tahoma"/>
            <family val="2"/>
          </rPr>
          <t xml:space="preserve">The amount of R 460 865,00 transferred to Stovel FNB on the 14th of March 2024. 
</t>
        </r>
      </text>
    </comment>
    <comment ref="A14" authorId="0" shapeId="0" xr:uid="{00000000-0006-0000-0D00-000002000000}">
      <text>
        <r>
          <rPr>
            <b/>
            <sz val="9"/>
            <color indexed="81"/>
            <rFont val="Tahoma"/>
            <family val="2"/>
          </rPr>
          <t>Account Opened 14 August 2023</t>
        </r>
        <r>
          <rPr>
            <sz val="9"/>
            <color indexed="81"/>
            <rFont val="Tahoma"/>
            <family val="2"/>
          </rPr>
          <t xml:space="preserve">
</t>
        </r>
      </text>
    </comment>
    <comment ref="I14" authorId="0" shapeId="0" xr:uid="{00000000-0006-0000-0D00-000003000000}">
      <text>
        <r>
          <rPr>
            <b/>
            <sz val="9"/>
            <color indexed="81"/>
            <rFont val="Tahoma"/>
            <charset val="1"/>
          </rPr>
          <t>Interest from R500 Initial Deposit</t>
        </r>
        <r>
          <rPr>
            <sz val="9"/>
            <color indexed="81"/>
            <rFont val="Tahoma"/>
            <charset val="1"/>
          </rPr>
          <t xml:space="preserve">
</t>
        </r>
        <r>
          <rPr>
            <b/>
            <sz val="9"/>
            <color indexed="81"/>
            <rFont val="Tahoma"/>
            <family val="2"/>
          </rPr>
          <t>Paid by Katlego Khotsolo</t>
        </r>
      </text>
    </comment>
    <comment ref="J17" authorId="0" shapeId="0" xr:uid="{00000000-0006-0000-0D00-000004000000}">
      <text>
        <r>
          <rPr>
            <b/>
            <sz val="9"/>
            <color indexed="81"/>
            <rFont val="Tahoma"/>
            <family val="2"/>
          </rPr>
          <t xml:space="preserve">The amount of R 460 865,00 transferred to Stovel FNB on the 14th of March 2024. 
</t>
        </r>
      </text>
    </comment>
    <comment ref="I18" authorId="0" shapeId="0" xr:uid="{00000000-0006-0000-0D00-000005000000}">
      <text>
        <r>
          <rPr>
            <b/>
            <sz val="9"/>
            <color indexed="81"/>
            <rFont val="Tahoma"/>
            <charset val="1"/>
          </rPr>
          <t>Interest from R500 Initial Deposit</t>
        </r>
        <r>
          <rPr>
            <sz val="9"/>
            <color indexed="81"/>
            <rFont val="Tahoma"/>
            <charset val="1"/>
          </rPr>
          <t xml:space="preserve">
</t>
        </r>
        <r>
          <rPr>
            <b/>
            <sz val="9"/>
            <color indexed="81"/>
            <rFont val="Tahoma"/>
            <family val="2"/>
          </rPr>
          <t>Paid by Katlego Khotsolo</t>
        </r>
      </text>
    </comment>
  </commentList>
</comments>
</file>

<file path=xl/sharedStrings.xml><?xml version="1.0" encoding="utf-8"?>
<sst xmlns="http://schemas.openxmlformats.org/spreadsheetml/2006/main" count="5498" uniqueCount="678">
  <si>
    <t>Member</t>
  </si>
  <si>
    <t>Peoples Liberator Fund</t>
  </si>
  <si>
    <t>jonas letlhaku</t>
  </si>
  <si>
    <t>EFT</t>
  </si>
  <si>
    <t>Elizabeth Nakuphi Thabeng</t>
  </si>
  <si>
    <t>Matshidiso  Maleshane</t>
  </si>
  <si>
    <t xml:space="preserve">Tumelo  Letlhaku </t>
  </si>
  <si>
    <t>Justice Mxolisi Tyobeka</t>
  </si>
  <si>
    <t>Boitshoko Selekanyane</t>
  </si>
  <si>
    <t>Thapelo Cornelius Moseki</t>
  </si>
  <si>
    <t xml:space="preserve">Boitumelo  Marumo </t>
  </si>
  <si>
    <t>Kedibone  Morokhu</t>
  </si>
  <si>
    <t>Collin Oliphant</t>
  </si>
  <si>
    <t>Gaithitjwe   Letlhaku</t>
  </si>
  <si>
    <t>mmantsho lamone</t>
  </si>
  <si>
    <t xml:space="preserve">Dumisane  Mtotoba </t>
  </si>
  <si>
    <t>115719367256</t>
  </si>
  <si>
    <t>Kgomodile Loate</t>
  </si>
  <si>
    <t xml:space="preserve">Jaftha Nkashe </t>
  </si>
  <si>
    <t xml:space="preserve">Nicholas  Molale </t>
  </si>
  <si>
    <t>Sina Molale</t>
  </si>
  <si>
    <t>daniel moepeng</t>
  </si>
  <si>
    <t>Ekofo Lofembe</t>
  </si>
  <si>
    <t>Gideon Diole</t>
  </si>
  <si>
    <t>Thembi Moepeng</t>
  </si>
  <si>
    <t>Refilwe Lentswe</t>
  </si>
  <si>
    <t>wellington  galogakwe</t>
  </si>
  <si>
    <t>PHILLIO THABISO MTYELA</t>
  </si>
  <si>
    <t>Theona Molokela</t>
  </si>
  <si>
    <t>Euvodia Mothibi</t>
  </si>
  <si>
    <t>Babotshedi Malibe</t>
  </si>
  <si>
    <t>Rosinah Letlhaku</t>
  </si>
  <si>
    <t>Mncedisi Sibiya</t>
  </si>
  <si>
    <t>Macbeth Masupha Sello</t>
  </si>
  <si>
    <t>Lebogang Mafora</t>
  </si>
  <si>
    <t>Thabo Moeti</t>
  </si>
  <si>
    <t>Sylvia Mokhadi</t>
  </si>
  <si>
    <t>Patrick Mateane</t>
  </si>
  <si>
    <t>Tsholofelo Maleshane</t>
  </si>
  <si>
    <t>Katlego  Khotsholo</t>
  </si>
  <si>
    <t>Phineas Mpho Kgajane</t>
  </si>
  <si>
    <t>winnie Gaaratwe</t>
  </si>
  <si>
    <t>Kagiso Isaac Phetoe</t>
  </si>
  <si>
    <t>Gladness Mokgosi</t>
  </si>
  <si>
    <t>Thenjiwe Shazi</t>
  </si>
  <si>
    <t>Ookame Molale</t>
  </si>
  <si>
    <t>Tebogo Itshegetseng</t>
  </si>
  <si>
    <t>Gosego Molale</t>
  </si>
  <si>
    <t>Lenyatso Shadi</t>
  </si>
  <si>
    <t>Pauline Mogomotsi</t>
  </si>
  <si>
    <t xml:space="preserve">Tshepang  Setlhogo </t>
  </si>
  <si>
    <t>Zandie Mancotywa</t>
  </si>
  <si>
    <t>Naomi  Mokhine</t>
  </si>
  <si>
    <t>Michael Boitumelo Kenosi Suping</t>
  </si>
  <si>
    <t>Lesego Bokaba</t>
  </si>
  <si>
    <t>115719367665</t>
  </si>
  <si>
    <t>Julia  Mtyela</t>
  </si>
  <si>
    <t>Tabane Matshego</t>
  </si>
  <si>
    <t>Doni Mosimanekgosi</t>
  </si>
  <si>
    <t>Poloko  khabae</t>
  </si>
  <si>
    <t>Vhuthihi Makhado</t>
  </si>
  <si>
    <t>Tlotlego Evodia Mankuroane</t>
  </si>
  <si>
    <t xml:space="preserve">Freddy  Sonakile </t>
  </si>
  <si>
    <t>Tryphina  Kelly</t>
  </si>
  <si>
    <t>Belinda  Kelly</t>
  </si>
  <si>
    <t>sophy buthelezi</t>
  </si>
  <si>
    <t>Christopher Naude</t>
  </si>
  <si>
    <t>Matshediso Ellen Tyobeka</t>
  </si>
  <si>
    <t xml:space="preserve">Simon  Mamatlhodi </t>
  </si>
  <si>
    <t>Mthobeli Keyizana</t>
  </si>
  <si>
    <t>Monaco frans makwaeba</t>
  </si>
  <si>
    <t>Gasebakwe Mankuroane</t>
  </si>
  <si>
    <t>Kegomoditswe Kgosimore</t>
  </si>
  <si>
    <t>Oratile Belicent Letlhogile</t>
  </si>
  <si>
    <t>Jeff Matlou</t>
  </si>
  <si>
    <t>115719367593</t>
  </si>
  <si>
    <t>Stella Dintoe</t>
  </si>
  <si>
    <t>Kebonemotse Lebotse</t>
  </si>
  <si>
    <t>Ephraim Mbulelo Zukane</t>
  </si>
  <si>
    <t>1157141</t>
  </si>
  <si>
    <t>Nomalizo Florence Sebanyoni</t>
  </si>
  <si>
    <t>115713424</t>
  </si>
  <si>
    <t>Obakeng Kgosiemang</t>
  </si>
  <si>
    <t>Lekgowa  Mahole</t>
  </si>
  <si>
    <t>Violet Molefe</t>
  </si>
  <si>
    <t>115712434</t>
  </si>
  <si>
    <t xml:space="preserve">Mpho  Pilane </t>
  </si>
  <si>
    <t>Ontiretse Molefe</t>
  </si>
  <si>
    <t>Dikagisho  Mokoma</t>
  </si>
  <si>
    <t>Outstanding</t>
  </si>
  <si>
    <t>% outstanding</t>
  </si>
  <si>
    <t>Members in good standing (not owing)</t>
  </si>
  <si>
    <t>Members owing &lt; 10%</t>
  </si>
  <si>
    <t>Members owing &lt; 20%</t>
  </si>
  <si>
    <t>Members owing &lt; 30%</t>
  </si>
  <si>
    <t>Members owing &lt; 50%</t>
  </si>
  <si>
    <t>Members owing &lt; 65%</t>
  </si>
  <si>
    <t>Members owing &gt; 65%</t>
  </si>
  <si>
    <t>Total Penalties</t>
  </si>
  <si>
    <t>Penalty</t>
  </si>
  <si>
    <t>Balance as at Jun 2019</t>
  </si>
  <si>
    <t>Contribution made as at Jun 2019</t>
  </si>
  <si>
    <t>Contribution made (Actual)</t>
  </si>
  <si>
    <t>Penalty Fee</t>
  </si>
  <si>
    <t>Total Contribution for two years</t>
  </si>
  <si>
    <t>Total Contribution for three years ending June</t>
  </si>
  <si>
    <t>Date Join</t>
  </si>
  <si>
    <t>14/08/2018</t>
  </si>
  <si>
    <t>30/07/2018</t>
  </si>
  <si>
    <t xml:space="preserve"> 11/7/2018</t>
  </si>
  <si>
    <t xml:space="preserve"> 4/7/2018</t>
  </si>
  <si>
    <t>23/07/2018</t>
  </si>
  <si>
    <t>21/07/2018</t>
  </si>
  <si>
    <t>15/08/2018</t>
  </si>
  <si>
    <t xml:space="preserve">  3/7/2018</t>
  </si>
  <si>
    <t>28/07/2018</t>
  </si>
  <si>
    <t xml:space="preserve"> 3/7/2018</t>
  </si>
  <si>
    <t>25/07/2018</t>
  </si>
  <si>
    <t>20/08/2018</t>
  </si>
  <si>
    <t>26/08/2018</t>
  </si>
  <si>
    <t>27/08/2018</t>
  </si>
  <si>
    <t>29/06/2018</t>
  </si>
  <si>
    <t>31/08/2018</t>
  </si>
  <si>
    <t>22/08/2018</t>
  </si>
  <si>
    <t xml:space="preserve"> 12/7/2018</t>
  </si>
  <si>
    <t>25/08/2018</t>
  </si>
  <si>
    <t xml:space="preserve"> 1/8/2018</t>
  </si>
  <si>
    <t>21/08/2018</t>
  </si>
  <si>
    <t>31/07/2018</t>
  </si>
  <si>
    <t xml:space="preserve"> 2/8/2018</t>
  </si>
  <si>
    <t xml:space="preserve"> 5/9/2018</t>
  </si>
  <si>
    <t>18/08/2018</t>
  </si>
  <si>
    <t>29/07/2018</t>
  </si>
  <si>
    <t>24/07/2018</t>
  </si>
  <si>
    <t xml:space="preserve"> 11/8/2018</t>
  </si>
  <si>
    <t xml:space="preserve"> 25/9/2018</t>
  </si>
  <si>
    <t>16/02/2019</t>
  </si>
  <si>
    <t xml:space="preserve"> 14/10/2018</t>
  </si>
  <si>
    <t>30/06/2020</t>
  </si>
  <si>
    <t>25/01/2019</t>
  </si>
  <si>
    <t xml:space="preserve"> 16/7/2019</t>
  </si>
  <si>
    <t xml:space="preserve"> 25/10/2019</t>
  </si>
  <si>
    <t>20/08/2019</t>
  </si>
  <si>
    <t>22/07/2019</t>
  </si>
  <si>
    <t>29/11/2018</t>
  </si>
  <si>
    <t>15/10/2018</t>
  </si>
  <si>
    <t>04/12/2019</t>
  </si>
  <si>
    <t>17/09/2018</t>
  </si>
  <si>
    <t>30/07/2019</t>
  </si>
  <si>
    <t xml:space="preserve"> 13/10/2018</t>
  </si>
  <si>
    <t xml:space="preserve"> 16/9/2018</t>
  </si>
  <si>
    <t xml:space="preserve"> 13/3/2019</t>
  </si>
  <si>
    <t xml:space="preserve"> 26/11/2019</t>
  </si>
  <si>
    <t>18/10/2018</t>
  </si>
  <si>
    <t>26/04/2019</t>
  </si>
  <si>
    <t xml:space="preserve"> 25/10/2018</t>
  </si>
  <si>
    <t xml:space="preserve"> 07/8/2019</t>
  </si>
  <si>
    <t xml:space="preserve"> 13/8/2019</t>
  </si>
  <si>
    <t xml:space="preserve"> 25/2/2020</t>
  </si>
  <si>
    <t xml:space="preserve"> 29/9/2018</t>
  </si>
  <si>
    <t>Estimated 3 Year Contribution (Jul 2018-Jun 2021)</t>
  </si>
  <si>
    <t>Total outstanding contribution for three years ending June 2021 ecl. Penalties</t>
  </si>
  <si>
    <t>Total outstanding contribution for three years ending June 2021 Inc. Penalties</t>
  </si>
  <si>
    <t>resign</t>
  </si>
  <si>
    <t>Column1</t>
  </si>
  <si>
    <t>Nick</t>
  </si>
  <si>
    <t>Want to resign</t>
  </si>
  <si>
    <t>Contribution</t>
  </si>
  <si>
    <t xml:space="preserve">Outstanding </t>
  </si>
  <si>
    <t>Penalties</t>
  </si>
  <si>
    <t>4 Months Outstanding</t>
  </si>
  <si>
    <t>4 Months Penalties</t>
  </si>
  <si>
    <t>5.5%</t>
  </si>
  <si>
    <t>Collen Zolile Mbengo</t>
  </si>
  <si>
    <t>Charges @ 1,1%</t>
  </si>
  <si>
    <t>27/10/2021</t>
  </si>
  <si>
    <t>Kabelo  Morubane</t>
  </si>
  <si>
    <t>wait 3 months</t>
  </si>
  <si>
    <t>Pay</t>
  </si>
  <si>
    <t>Interest</t>
  </si>
  <si>
    <t>Late Payment Interest @ 7%</t>
  </si>
  <si>
    <t>Kagiso Mokaila</t>
  </si>
  <si>
    <t>Total</t>
  </si>
  <si>
    <t>Keatlaretse Poo</t>
  </si>
  <si>
    <t>2020/2021 Financial Report</t>
  </si>
  <si>
    <t>Bank Charges @ 1,1%</t>
  </si>
  <si>
    <t>July</t>
  </si>
  <si>
    <t>Term Date</t>
  </si>
  <si>
    <t>Opening Balances</t>
  </si>
  <si>
    <t>Closing Balances</t>
  </si>
  <si>
    <t>Contribution as at June 2019</t>
  </si>
  <si>
    <t>Total Contribution</t>
  </si>
  <si>
    <t>Bank Charges</t>
  </si>
  <si>
    <t>Total Refund Amount</t>
  </si>
  <si>
    <t xml:space="preserve">July </t>
  </si>
  <si>
    <t>August</t>
  </si>
  <si>
    <t>September</t>
  </si>
  <si>
    <t>October</t>
  </si>
  <si>
    <t>November</t>
  </si>
  <si>
    <t>December</t>
  </si>
  <si>
    <t>January</t>
  </si>
  <si>
    <t>February</t>
  </si>
  <si>
    <t>March</t>
  </si>
  <si>
    <t>April</t>
  </si>
  <si>
    <t>May</t>
  </si>
  <si>
    <t>June</t>
  </si>
  <si>
    <t>Contributions</t>
  </si>
  <si>
    <t>Balance</t>
  </si>
  <si>
    <t>Total Outstanding at August 2020</t>
  </si>
  <si>
    <t>Contribution from July - August 2020</t>
  </si>
  <si>
    <t>Estimated 3 Year Contribution (Jul 2018-August 2020)</t>
  </si>
  <si>
    <t>Total outstanding contribution for three years ending August 2020 ecl. Penalties</t>
  </si>
  <si>
    <t>Total outstanding contribution for three period ending August 2020 Inc. Penalties</t>
  </si>
  <si>
    <t>Estimated Contribution for 26 Months - August 2020</t>
  </si>
  <si>
    <t>5,5% Transactional Fees</t>
  </si>
  <si>
    <t>Final Refund Amount</t>
  </si>
  <si>
    <t>Excluding Bank Charges</t>
  </si>
  <si>
    <t>Total Contribution for Current Year</t>
  </si>
  <si>
    <t>July 2021 - April 2022  Cont (Planned)</t>
  </si>
  <si>
    <t>Joseph Sekgalo</t>
  </si>
  <si>
    <t>Balance Brought Forward</t>
  </si>
  <si>
    <t>Total July 2021 - April 2022  Cont (Planned)2</t>
  </si>
  <si>
    <t>Advance Payments</t>
  </si>
  <si>
    <t>No.</t>
  </si>
  <si>
    <t>Balance Brought Forward (Catch-up fee)</t>
  </si>
  <si>
    <t>Estimated 12 Months Contribution (Jul 2018-June 2019)</t>
  </si>
  <si>
    <t>Total Bank Charges @ 1,1%</t>
  </si>
  <si>
    <t xml:space="preserve">Total outstanding contribution for 12 Months </t>
  </si>
  <si>
    <t>Total Contribution for 12 Months</t>
  </si>
  <si>
    <t>Closing Balance</t>
  </si>
  <si>
    <t>Share Value</t>
  </si>
  <si>
    <r>
      <t xml:space="preserve">Total Interest Earned </t>
    </r>
    <r>
      <rPr>
        <sz val="11"/>
        <color theme="1"/>
        <rFont val="Calibri"/>
        <family val="2"/>
        <scheme val="minor"/>
      </rPr>
      <t>@ 5,5%</t>
    </r>
  </si>
  <si>
    <t>Membership Fee</t>
  </si>
  <si>
    <t>Expected Contribution</t>
  </si>
  <si>
    <t>Amount Due</t>
  </si>
  <si>
    <t>Penalty July 2019- June 2020</t>
  </si>
  <si>
    <t>Capped Penalties Current Financial Year</t>
  </si>
  <si>
    <t>Capped Penalties</t>
  </si>
  <si>
    <t>2018-2019</t>
  </si>
  <si>
    <t>2019-2020</t>
  </si>
  <si>
    <t>2020-2021</t>
  </si>
  <si>
    <t>2021-2022 A</t>
  </si>
  <si>
    <t>2021-2022 B</t>
  </si>
  <si>
    <t>Total Contribution for 4 Months</t>
  </si>
  <si>
    <t xml:space="preserve">Total outstanding contribution for 4 Months </t>
  </si>
  <si>
    <t>Penalty Jul 2021-Oct 2021</t>
  </si>
  <si>
    <t>Estimated 12 Months Contribution (Oct 2021-JUNE 2022)</t>
  </si>
  <si>
    <t>Penalty @ 7%</t>
  </si>
  <si>
    <t>Boitshoko Dire</t>
  </si>
  <si>
    <t>Daniel Moepeng</t>
  </si>
  <si>
    <t>Jonas Letlhaku</t>
  </si>
  <si>
    <t>Jonas Moeng</t>
  </si>
  <si>
    <t>Josiah Gaotlhaolwe Montwedi</t>
  </si>
  <si>
    <t>Mmantsho lamone</t>
  </si>
  <si>
    <t>Mmapako kgagane</t>
  </si>
  <si>
    <t>Sophy buthelezi</t>
  </si>
  <si>
    <t>TransactionDate</t>
  </si>
  <si>
    <t>Amount</t>
  </si>
  <si>
    <t>Fee</t>
  </si>
  <si>
    <t>Group</t>
  </si>
  <si>
    <t>PayType</t>
  </si>
  <si>
    <t>Reference</t>
  </si>
  <si>
    <t>115719367211</t>
  </si>
  <si>
    <t>115719367251</t>
  </si>
  <si>
    <t>115719367255</t>
  </si>
  <si>
    <t>115719367269</t>
  </si>
  <si>
    <t>115719367213</t>
  </si>
  <si>
    <t>115719367302</t>
  </si>
  <si>
    <t>115719367243</t>
  </si>
  <si>
    <t>115719367253</t>
  </si>
  <si>
    <t>115719367265</t>
  </si>
  <si>
    <t>115719367362</t>
  </si>
  <si>
    <t>115719367421</t>
  </si>
  <si>
    <t>115719367235</t>
  </si>
  <si>
    <t>Retail Shop</t>
  </si>
  <si>
    <t>115719367441</t>
  </si>
  <si>
    <t>115719367414</t>
  </si>
  <si>
    <t>115719367410</t>
  </si>
  <si>
    <t>115719367446</t>
  </si>
  <si>
    <t>115719367252</t>
  </si>
  <si>
    <t>kabelo  morubane</t>
  </si>
  <si>
    <t>115719367447</t>
  </si>
  <si>
    <t>115719367360</t>
  </si>
  <si>
    <t>115719367448</t>
  </si>
  <si>
    <t>115719367430</t>
  </si>
  <si>
    <t>115719367450</t>
  </si>
  <si>
    <t>115719367464</t>
  </si>
  <si>
    <t>115719367474</t>
  </si>
  <si>
    <t>115719367428</t>
  </si>
  <si>
    <t>115719367440</t>
  </si>
  <si>
    <t>115719367364</t>
  </si>
  <si>
    <t>115719367501</t>
  </si>
  <si>
    <t>115719367411</t>
  </si>
  <si>
    <t>115719367466</t>
  </si>
  <si>
    <t>115719367472</t>
  </si>
  <si>
    <t>115719367431</t>
  </si>
  <si>
    <t>115719367260</t>
  </si>
  <si>
    <t>115719367553</t>
  </si>
  <si>
    <t>115719367521</t>
  </si>
  <si>
    <t>115719367477</t>
  </si>
  <si>
    <t>115719367565</t>
  </si>
  <si>
    <t>Credit Card</t>
  </si>
  <si>
    <t>SFc8601883175779</t>
  </si>
  <si>
    <t>115719367496</t>
  </si>
  <si>
    <t>115719367458</t>
  </si>
  <si>
    <t>115719367462</t>
  </si>
  <si>
    <t>115719367490</t>
  </si>
  <si>
    <t>115719367567</t>
  </si>
  <si>
    <t>115719367491</t>
  </si>
  <si>
    <t>115719367530</t>
  </si>
  <si>
    <t>115719367497</t>
  </si>
  <si>
    <t>115719367586</t>
  </si>
  <si>
    <t>115719367589</t>
  </si>
  <si>
    <t>SFc88f1892368517</t>
  </si>
  <si>
    <t>115719367511</t>
  </si>
  <si>
    <t>115719367518</t>
  </si>
  <si>
    <t>115719367646</t>
  </si>
  <si>
    <t>115719367246</t>
  </si>
  <si>
    <t>115719367463</t>
  </si>
  <si>
    <t>115719367258</t>
  </si>
  <si>
    <t>SFc8f618101632337</t>
  </si>
  <si>
    <t>115719367626</t>
  </si>
  <si>
    <t>115719367495</t>
  </si>
  <si>
    <t>115719367837</t>
  </si>
  <si>
    <t>115719367736</t>
  </si>
  <si>
    <t>SFc88f1811163365</t>
  </si>
  <si>
    <t>115719367726</t>
  </si>
  <si>
    <t>115719367833</t>
  </si>
  <si>
    <t>1157193612459</t>
  </si>
  <si>
    <t>1157193613690</t>
  </si>
  <si>
    <t>1157193613777</t>
  </si>
  <si>
    <t>115719367762</t>
  </si>
  <si>
    <t>115719367731</t>
  </si>
  <si>
    <t>11571936</t>
  </si>
  <si>
    <t>1157193614128</t>
  </si>
  <si>
    <t>SFc88f194192397</t>
  </si>
  <si>
    <t>SFc88f194478763</t>
  </si>
  <si>
    <t>SFc8f61941198037</t>
  </si>
  <si>
    <t>SFc8401942853472</t>
  </si>
  <si>
    <t>115719367413</t>
  </si>
  <si>
    <t>11571484</t>
  </si>
  <si>
    <t>SFc8401952992736</t>
  </si>
  <si>
    <t>SFc8401962790578</t>
  </si>
  <si>
    <t>115711214</t>
  </si>
  <si>
    <t>115711789</t>
  </si>
  <si>
    <t xml:space="preserve">Joseph  Sekgalo </t>
  </si>
  <si>
    <t>115712150</t>
  </si>
  <si>
    <t>115712090</t>
  </si>
  <si>
    <t>1157100271</t>
  </si>
  <si>
    <t>115717851</t>
  </si>
  <si>
    <t>SFc8401972947648</t>
  </si>
  <si>
    <t>115717951</t>
  </si>
  <si>
    <t>115717852</t>
  </si>
  <si>
    <t>115718061</t>
  </si>
  <si>
    <t>115713143</t>
  </si>
  <si>
    <t>11571593</t>
  </si>
  <si>
    <t>115718084</t>
  </si>
  <si>
    <t>115713127</t>
  </si>
  <si>
    <t>SFc8401982969241</t>
  </si>
  <si>
    <t>ATM Deposit</t>
  </si>
  <si>
    <t>SFc8401910147155</t>
  </si>
  <si>
    <t>115713116</t>
  </si>
  <si>
    <t>115719024</t>
  </si>
  <si>
    <t>115719053</t>
  </si>
  <si>
    <t>115718026</t>
  </si>
  <si>
    <t>1157110120</t>
  </si>
  <si>
    <t>11571682</t>
  </si>
  <si>
    <t>115712870</t>
  </si>
  <si>
    <t>115712919</t>
  </si>
  <si>
    <t>115712955</t>
  </si>
  <si>
    <t>1157111087</t>
  </si>
  <si>
    <t>11571677</t>
  </si>
  <si>
    <t>115711830</t>
  </si>
  <si>
    <t>1157113220</t>
  </si>
  <si>
    <t>11571617</t>
  </si>
  <si>
    <t>1157124</t>
  </si>
  <si>
    <t>11571700</t>
  </si>
  <si>
    <t>11571348</t>
  </si>
  <si>
    <t>115712063</t>
  </si>
  <si>
    <t>115711691</t>
  </si>
  <si>
    <t>115712158</t>
  </si>
  <si>
    <t>115712709</t>
  </si>
  <si>
    <t>115711599</t>
  </si>
  <si>
    <t>Bank Charges @ 0,89%</t>
  </si>
  <si>
    <t>Bank Charges @ 0,99%</t>
  </si>
  <si>
    <t>Start Date</t>
  </si>
  <si>
    <t>01/07/2018</t>
  </si>
  <si>
    <t>Bank Charge</t>
  </si>
  <si>
    <t>Membership Fee (Once-Off)</t>
  </si>
  <si>
    <t>Expected Contribution (Current Year)</t>
  </si>
  <si>
    <t xml:space="preserve">Balance Brought Forward </t>
  </si>
  <si>
    <t xml:space="preserve">Catch-up Fee </t>
  </si>
  <si>
    <t xml:space="preserve">Expected Contribution </t>
  </si>
  <si>
    <t>Catch-Up Fee</t>
  </si>
  <si>
    <t>Closing Balance (Inc. Penalties)</t>
  </si>
  <si>
    <t>Total Bank Charges @ 0,89%</t>
  </si>
  <si>
    <t>Balance Brought Forward (*Incl. Catch up Fee)</t>
  </si>
  <si>
    <t>Catch up fee</t>
  </si>
  <si>
    <t>Monthly Contr</t>
  </si>
  <si>
    <t>Created a column indicating monthly contribution to avoid capturing error</t>
  </si>
  <si>
    <t>Total Contribution incl membership fee for 12 Months</t>
  </si>
  <si>
    <t>Total number of members</t>
  </si>
  <si>
    <t>Number of members contributed 2020/21</t>
  </si>
  <si>
    <t>Total contributions</t>
  </si>
  <si>
    <t>Total contributions 2019/20</t>
  </si>
  <si>
    <t>Total contributions 2020/21</t>
  </si>
  <si>
    <t>The catch up fee will cleared once the member pays their monthly contribution consistently. 
Excess in contribution will be allocated to clear the catch up fee once the penalty fees has been settled as well</t>
  </si>
  <si>
    <t>Estimated 04 Months Contribution (Jul 2021-Oct 2021)</t>
  </si>
  <si>
    <t>Contributed between R2400 and more</t>
  </si>
  <si>
    <t>Contributed less than R1 199,99</t>
  </si>
  <si>
    <t>Contributed betweem R1 200 and R2 399,99</t>
  </si>
  <si>
    <r>
      <rPr>
        <sz val="9"/>
        <rFont val="Latha"/>
        <family val="2"/>
      </rPr>
      <t xml:space="preserve">16 Mar 2022
</t>
    </r>
    <r>
      <rPr>
        <sz val="9"/>
        <rFont val="Latha"/>
        <family val="2"/>
      </rPr>
      <t>16 Mar 2022</t>
    </r>
  </si>
  <si>
    <r>
      <rPr>
        <sz val="9"/>
        <rFont val="Latha"/>
        <family val="2"/>
      </rPr>
      <t>R300,00</t>
    </r>
  </si>
  <si>
    <r>
      <rPr>
        <sz val="9"/>
        <rFont val="Latha"/>
        <family val="2"/>
      </rPr>
      <t>R200,00</t>
    </r>
  </si>
  <si>
    <r>
      <rPr>
        <sz val="9"/>
        <rFont val="Latha"/>
        <family val="2"/>
      </rPr>
      <t>R400,00</t>
    </r>
  </si>
  <si>
    <r>
      <rPr>
        <sz val="9"/>
        <rFont val="Latha"/>
        <family val="2"/>
      </rPr>
      <t>R250,00</t>
    </r>
  </si>
  <si>
    <r>
      <rPr>
        <sz val="9"/>
        <rFont val="Latha"/>
        <family val="2"/>
      </rPr>
      <t>-R101,00</t>
    </r>
  </si>
  <si>
    <r>
      <rPr>
        <sz val="9"/>
        <rFont val="Latha"/>
        <family val="2"/>
      </rPr>
      <t>R1 000,00</t>
    </r>
  </si>
  <si>
    <r>
      <rPr>
        <sz val="9"/>
        <rFont val="Latha"/>
        <family val="2"/>
      </rPr>
      <t>R500,00</t>
    </r>
  </si>
  <si>
    <r>
      <rPr>
        <sz val="9"/>
        <rFont val="Latha"/>
        <family val="2"/>
      </rPr>
      <t>R1 500,00</t>
    </r>
  </si>
  <si>
    <r>
      <rPr>
        <sz val="9"/>
        <rFont val="Latha"/>
        <family val="2"/>
      </rPr>
      <t>R600,00</t>
    </r>
  </si>
  <si>
    <r>
      <rPr>
        <sz val="9"/>
        <rFont val="Latha"/>
        <family val="2"/>
      </rPr>
      <t xml:space="preserve">R300,00
</t>
    </r>
    <r>
      <rPr>
        <sz val="9"/>
        <rFont val="Latha"/>
        <family val="2"/>
      </rPr>
      <t>R300,00</t>
    </r>
  </si>
  <si>
    <r>
      <rPr>
        <sz val="9"/>
        <rFont val="Latha"/>
        <family val="2"/>
      </rPr>
      <t>-R0,00</t>
    </r>
  </si>
  <si>
    <r>
      <rPr>
        <sz val="9"/>
        <rFont val="Latha"/>
        <family val="2"/>
      </rPr>
      <t>-R3,30</t>
    </r>
  </si>
  <si>
    <r>
      <rPr>
        <sz val="9"/>
        <rFont val="Latha"/>
        <family val="2"/>
      </rPr>
      <t>-R2,20</t>
    </r>
  </si>
  <si>
    <r>
      <rPr>
        <sz val="9"/>
        <rFont val="Latha"/>
        <family val="2"/>
      </rPr>
      <t>-R2,75</t>
    </r>
  </si>
  <si>
    <r>
      <rPr>
        <sz val="9"/>
        <rFont val="Latha"/>
        <family val="2"/>
      </rPr>
      <t>-R11,00</t>
    </r>
  </si>
  <si>
    <r>
      <rPr>
        <sz val="9"/>
        <rFont val="Latha"/>
        <family val="2"/>
      </rPr>
      <t>-R6,60</t>
    </r>
  </si>
  <si>
    <r>
      <rPr>
        <sz val="9"/>
        <rFont val="Latha"/>
        <family val="2"/>
      </rPr>
      <t xml:space="preserve">-R3,30
</t>
    </r>
    <r>
      <rPr>
        <sz val="9"/>
        <rFont val="Latha"/>
        <family val="2"/>
      </rPr>
      <t>-R3,30</t>
    </r>
  </si>
  <si>
    <t>Gaithijwe Letlhaku</t>
  </si>
  <si>
    <t>Naomi Mokhine</t>
  </si>
  <si>
    <t xml:space="preserve">  Lesego Bokaba</t>
  </si>
  <si>
    <t xml:space="preserve"> wellington galogakwe</t>
  </si>
  <si>
    <t>Nicholas Molale</t>
  </si>
  <si>
    <t xml:space="preserve"> Dumisane Mtotoba</t>
  </si>
  <si>
    <t xml:space="preserve"> kabelo morubane</t>
  </si>
  <si>
    <t xml:space="preserve"> Jeff Matlou</t>
  </si>
  <si>
    <t>Belinda Kelly</t>
  </si>
  <si>
    <r>
      <rPr>
        <sz val="9"/>
        <rFont val="Latha"/>
        <family val="2"/>
      </rPr>
      <t>Freddy Sonakile</t>
    </r>
  </si>
  <si>
    <r>
      <rPr>
        <sz val="9"/>
        <rFont val="Latha"/>
        <family val="2"/>
      </rPr>
      <t>Lenyatso Shadi</t>
    </r>
  </si>
  <si>
    <r>
      <rPr>
        <sz val="9"/>
        <rFont val="Latha"/>
        <family val="2"/>
      </rPr>
      <t>Naomi Mokhine</t>
    </r>
  </si>
  <si>
    <r>
      <rPr>
        <sz val="9"/>
        <rFont val="Latha"/>
        <family val="2"/>
      </rPr>
      <t>Sylvia Mokhadi</t>
    </r>
  </si>
  <si>
    <r>
      <rPr>
        <sz val="9"/>
        <rFont val="Latha"/>
        <family val="2"/>
      </rPr>
      <t>wellington galogakwe</t>
    </r>
  </si>
  <si>
    <r>
      <rPr>
        <sz val="9"/>
        <rFont val="Latha"/>
        <family val="2"/>
      </rPr>
      <t>Nicholas Molale</t>
    </r>
  </si>
  <si>
    <r>
      <rPr>
        <sz val="9"/>
        <rFont val="Latha"/>
        <family val="2"/>
      </rPr>
      <t>Elizabeth Nakuphi Thabeng</t>
    </r>
  </si>
  <si>
    <r>
      <rPr>
        <sz val="9"/>
        <rFont val="Latha"/>
        <family val="2"/>
      </rPr>
      <t>Matshediso Ellen Tyobeka</t>
    </r>
  </si>
  <si>
    <r>
      <rPr>
        <sz val="9"/>
        <rFont val="Latha"/>
        <family val="2"/>
      </rPr>
      <t>Keatlaretse Poo</t>
    </r>
  </si>
  <si>
    <r>
      <rPr>
        <sz val="9"/>
        <rFont val="Latha"/>
        <family val="2"/>
      </rPr>
      <t>Michael Boitumelo Kenosi Suping</t>
    </r>
  </si>
  <si>
    <r>
      <rPr>
        <sz val="9"/>
        <rFont val="Latha"/>
        <family val="2"/>
      </rPr>
      <t>Vhuthihi Makhado</t>
    </r>
  </si>
  <si>
    <r>
      <rPr>
        <sz val="9"/>
        <rFont val="Latha"/>
        <family val="2"/>
      </rPr>
      <t>Lesego Bokaba</t>
    </r>
  </si>
  <si>
    <r>
      <rPr>
        <sz val="9"/>
        <rFont val="Latha"/>
        <family val="2"/>
      </rPr>
      <t>kabelo morubane</t>
    </r>
  </si>
  <si>
    <r>
      <rPr>
        <sz val="9"/>
        <rFont val="Latha"/>
        <family val="2"/>
      </rPr>
      <t>Jeff Matlou</t>
    </r>
  </si>
  <si>
    <r>
      <rPr>
        <sz val="9"/>
        <rFont val="Latha"/>
        <family val="2"/>
      </rPr>
      <t>Belinda Kelly</t>
    </r>
  </si>
  <si>
    <r>
      <rPr>
        <sz val="9"/>
        <rFont val="Latha"/>
        <family val="2"/>
      </rPr>
      <t>Babotshedi Malibe</t>
    </r>
  </si>
  <si>
    <r>
      <rPr>
        <sz val="9"/>
        <rFont val="Latha"/>
        <family val="2"/>
      </rPr>
      <t>Sina Molale</t>
    </r>
  </si>
  <si>
    <r>
      <rPr>
        <sz val="9"/>
        <rFont val="Latha"/>
        <family val="2"/>
      </rPr>
      <t>mmantsho lamone</t>
    </r>
  </si>
  <si>
    <r>
      <rPr>
        <sz val="9"/>
        <rFont val="Latha"/>
        <family val="2"/>
      </rPr>
      <t>Tebogo Itshegetseng</t>
    </r>
  </si>
  <si>
    <r>
      <rPr>
        <sz val="9"/>
        <rFont val="Latha"/>
        <family val="2"/>
      </rPr>
      <t>Rosinah Letlhaku</t>
    </r>
  </si>
  <si>
    <r>
      <rPr>
        <sz val="9"/>
        <rFont val="Latha"/>
        <family val="2"/>
      </rPr>
      <t>jonas letlhaku</t>
    </r>
  </si>
  <si>
    <r>
      <rPr>
        <sz val="9"/>
        <rFont val="Latha"/>
        <family val="2"/>
      </rPr>
      <t>Justice Mxolisi Tyobeka</t>
    </r>
  </si>
  <si>
    <t xml:space="preserve">  kabelo morubane</t>
  </si>
  <si>
    <t>R816,51</t>
  </si>
  <si>
    <t>R879,04</t>
  </si>
  <si>
    <t>R950,26</t>
  </si>
  <si>
    <t>Total Contribution for 8 Months</t>
  </si>
  <si>
    <t>Total contributions 2021/22</t>
  </si>
  <si>
    <t>Total Penalty charged</t>
  </si>
  <si>
    <t>Total penalty 2019/20</t>
  </si>
  <si>
    <t>Total penalty 2020/21</t>
  </si>
  <si>
    <t>Total penalty 2021/22</t>
  </si>
  <si>
    <t>Total penalty Capped</t>
  </si>
  <si>
    <t>Ave monthly contribution 2018/19</t>
  </si>
  <si>
    <t>Ave monthly contribution 2019/20</t>
  </si>
  <si>
    <t>Ave monthly contribution 2020/21</t>
  </si>
  <si>
    <t>Ave monthly contribution 2021/22</t>
  </si>
  <si>
    <t>Communication</t>
  </si>
  <si>
    <t>Finacial report/statement</t>
  </si>
  <si>
    <t>Festive (christmas, new year) and Jan-Mar (school)</t>
  </si>
  <si>
    <t>Mini Survey (google form)</t>
  </si>
  <si>
    <t>Members in goodstanding</t>
  </si>
  <si>
    <t>Bad payers</t>
  </si>
  <si>
    <t>Membership Status</t>
  </si>
  <si>
    <t>Total Contribution for Current 4 Years - Stokfella App</t>
  </si>
  <si>
    <t>Total Contribution for  4 Years (2018-22)</t>
  </si>
  <si>
    <t>N/A</t>
  </si>
  <si>
    <t>Terminated</t>
  </si>
  <si>
    <t>Variences</t>
  </si>
  <si>
    <t>Total for Contribution Current June - July 2022</t>
  </si>
  <si>
    <t>Bank Statement</t>
  </si>
  <si>
    <t>Interest Earned 2021-2022 FYE</t>
  </si>
  <si>
    <t>Interest Earned</t>
  </si>
  <si>
    <t>2021-2022</t>
  </si>
  <si>
    <t>Total Amount Inc. Interest</t>
  </si>
  <si>
    <t>Bank Charges @ 0%</t>
  </si>
  <si>
    <t>Total Claims</t>
  </si>
  <si>
    <t>Sep</t>
  </si>
  <si>
    <t>Oct</t>
  </si>
  <si>
    <t>Nov</t>
  </si>
  <si>
    <t>Dec</t>
  </si>
  <si>
    <t>Jan</t>
  </si>
  <si>
    <t>Feb</t>
  </si>
  <si>
    <t>Mar</t>
  </si>
  <si>
    <t>Jun</t>
  </si>
  <si>
    <t>Month</t>
  </si>
  <si>
    <t>Bad debts</t>
  </si>
  <si>
    <t>Number of members contributed 2022/23</t>
  </si>
  <si>
    <t>Number of members contributed 2021/22</t>
  </si>
  <si>
    <t>Total contributions 2022/23</t>
  </si>
  <si>
    <t>Total penalty 2022/23</t>
  </si>
  <si>
    <t>Aug</t>
  </si>
  <si>
    <t>Penalty July 2022- June 2023</t>
  </si>
  <si>
    <t>Estimated 12 Months Contribution (Jul 2022-June 2023)</t>
  </si>
  <si>
    <t>Ave monthly contribution 2022/23</t>
  </si>
  <si>
    <t>Total penalty due 2022/23</t>
  </si>
  <si>
    <t>Total Contribution for  4 Years (2018-23)</t>
  </si>
  <si>
    <t>Bank Charges @ 0,0%</t>
  </si>
  <si>
    <t>AVG</t>
  </si>
  <si>
    <t>Sept</t>
  </si>
  <si>
    <t>Interest Income</t>
  </si>
  <si>
    <t>Stokfella App</t>
  </si>
  <si>
    <t>Terminations</t>
  </si>
  <si>
    <t>Difference</t>
  </si>
  <si>
    <t>Total Contribution for  4 Years (2018-24)</t>
  </si>
  <si>
    <t>Estimated 12 Months Contribution (Jul 2023-June 2024)</t>
  </si>
  <si>
    <t>Penalty July 2023- June 2024</t>
  </si>
  <si>
    <t>2023-24</t>
  </si>
  <si>
    <t>2022-23</t>
  </si>
  <si>
    <t>Date</t>
  </si>
  <si>
    <t>EFT Claim</t>
  </si>
  <si>
    <t>Trans. Type</t>
  </si>
  <si>
    <t>Claim Request</t>
  </si>
  <si>
    <t>Reason</t>
  </si>
  <si>
    <t>Skills Development for Stokvel Executive and BOD</t>
  </si>
  <si>
    <t>Total Contribution for four years ending August</t>
  </si>
  <si>
    <t>Estimated Contribution for 2018 - August 2022</t>
  </si>
  <si>
    <t>Contribution from July 2019 - August 2022</t>
  </si>
  <si>
    <t>Total Outstanding at August 2022</t>
  </si>
  <si>
    <t>Bank Charges 1,1 %</t>
  </si>
  <si>
    <t>-R14,99</t>
  </si>
  <si>
    <r>
      <rPr>
        <sz val="9"/>
        <rFont val="Arial MT"/>
        <family val="2"/>
      </rPr>
      <t>EFT Claim</t>
    </r>
  </si>
  <si>
    <t>Investment</t>
  </si>
  <si>
    <t>Monthly Contribution 2023/2024</t>
  </si>
  <si>
    <t>Ave monthly contribution 2023/24</t>
  </si>
  <si>
    <t>Number of members contributed 2023/24</t>
  </si>
  <si>
    <t xml:space="preserve">Greater than 50% </t>
  </si>
  <si>
    <t xml:space="preserve">Less than 50% </t>
  </si>
  <si>
    <t xml:space="preserve">Date </t>
  </si>
  <si>
    <t>Deposits</t>
  </si>
  <si>
    <t xml:space="preserve">Withdrawals </t>
  </si>
  <si>
    <t>14/03/2024</t>
  </si>
  <si>
    <t xml:space="preserve">Service Provider/Receipient </t>
  </si>
  <si>
    <t>Membership Termination</t>
  </si>
  <si>
    <t>Loan</t>
  </si>
  <si>
    <t>2024-25</t>
  </si>
  <si>
    <t>01/11/2024</t>
  </si>
  <si>
    <t xml:space="preserve">Opening Balance </t>
  </si>
  <si>
    <t>13/01/2024</t>
  </si>
  <si>
    <t>14/02/2024</t>
  </si>
  <si>
    <t>13/04/2024</t>
  </si>
  <si>
    <t>14/05/2024</t>
  </si>
  <si>
    <t>Deposit Ref</t>
  </si>
  <si>
    <t>14/06/2024</t>
  </si>
  <si>
    <t>26/06/2024</t>
  </si>
  <si>
    <t>28/06/2024</t>
  </si>
  <si>
    <t>14/07/2024</t>
  </si>
  <si>
    <t>14/08/2024</t>
  </si>
  <si>
    <t>14/09/2024</t>
  </si>
  <si>
    <t>14/10/2024</t>
  </si>
  <si>
    <t>14/11/2024</t>
  </si>
  <si>
    <t>14/12/2024</t>
  </si>
  <si>
    <t>06/01/2025</t>
  </si>
  <si>
    <t>580</t>
  </si>
  <si>
    <t>6.75%</t>
  </si>
  <si>
    <t>Member 1</t>
  </si>
  <si>
    <t>Member 2</t>
  </si>
  <si>
    <t>Member 3</t>
  </si>
  <si>
    <t>Member 4</t>
  </si>
  <si>
    <t>Member 5</t>
  </si>
  <si>
    <t>Member 6</t>
  </si>
  <si>
    <t>Member 7</t>
  </si>
  <si>
    <t>Member 8</t>
  </si>
  <si>
    <t>Member 9</t>
  </si>
  <si>
    <t>Member 10</t>
  </si>
  <si>
    <t>Member 11</t>
  </si>
  <si>
    <t>Member 12</t>
  </si>
  <si>
    <t>Member 13</t>
  </si>
  <si>
    <t>Member 14</t>
  </si>
  <si>
    <t>Member 15</t>
  </si>
  <si>
    <t>Member 16</t>
  </si>
  <si>
    <t>Member 17</t>
  </si>
  <si>
    <t>Member 18</t>
  </si>
  <si>
    <t>Member 19</t>
  </si>
  <si>
    <t>Member 20</t>
  </si>
  <si>
    <t>Member 21</t>
  </si>
  <si>
    <t>Member 22</t>
  </si>
  <si>
    <t>Member 23</t>
  </si>
  <si>
    <t>Member 24</t>
  </si>
  <si>
    <t>Member 25</t>
  </si>
  <si>
    <t>Member 26</t>
  </si>
  <si>
    <t>Member 27</t>
  </si>
  <si>
    <t>Member 28</t>
  </si>
  <si>
    <t>Member 29</t>
  </si>
  <si>
    <t>Member 30</t>
  </si>
  <si>
    <t>Member 31</t>
  </si>
  <si>
    <t>Member 32</t>
  </si>
  <si>
    <t>Member 33</t>
  </si>
  <si>
    <t>Member 34</t>
  </si>
  <si>
    <t>Member 35</t>
  </si>
  <si>
    <t>Member 36</t>
  </si>
  <si>
    <t>Member 37</t>
  </si>
  <si>
    <t>Member 38</t>
  </si>
  <si>
    <t>Member 39</t>
  </si>
  <si>
    <t>Member 40</t>
  </si>
  <si>
    <t>Member 41</t>
  </si>
  <si>
    <t>Member 42</t>
  </si>
  <si>
    <t>Member 43</t>
  </si>
  <si>
    <t>Member 44</t>
  </si>
  <si>
    <t>Member 45</t>
  </si>
  <si>
    <t>Member 46</t>
  </si>
  <si>
    <t>Member 47</t>
  </si>
  <si>
    <t>Member 48</t>
  </si>
  <si>
    <t>Member 49</t>
  </si>
  <si>
    <t>Member 50</t>
  </si>
  <si>
    <t>Member 51</t>
  </si>
  <si>
    <t>Member 52</t>
  </si>
  <si>
    <t>Member 53</t>
  </si>
  <si>
    <t>Member 54</t>
  </si>
  <si>
    <t>Member 55</t>
  </si>
  <si>
    <t>Member 56</t>
  </si>
  <si>
    <t>Member 57</t>
  </si>
  <si>
    <t>Member 58</t>
  </si>
  <si>
    <t>Member 59</t>
  </si>
  <si>
    <t>Member 60</t>
  </si>
  <si>
    <t>Member 61</t>
  </si>
  <si>
    <t>Member 62</t>
  </si>
  <si>
    <t>Member 63</t>
  </si>
  <si>
    <t>Member 64</t>
  </si>
  <si>
    <t>Member 65</t>
  </si>
  <si>
    <t>Member 66</t>
  </si>
  <si>
    <t>Member 67</t>
  </si>
  <si>
    <t>Member 68</t>
  </si>
  <si>
    <t>Member 69</t>
  </si>
  <si>
    <t>Member 70</t>
  </si>
  <si>
    <t>Member 71</t>
  </si>
  <si>
    <t>Member 72</t>
  </si>
  <si>
    <t>Member 73</t>
  </si>
  <si>
    <t>Member 74</t>
  </si>
  <si>
    <t>Member 75</t>
  </si>
  <si>
    <t>Member 76</t>
  </si>
  <si>
    <t>Member 77</t>
  </si>
  <si>
    <t>Member 78</t>
  </si>
  <si>
    <t>Member 79</t>
  </si>
  <si>
    <t>Member 80</t>
  </si>
  <si>
    <t>Member 81</t>
  </si>
  <si>
    <t>Member 82</t>
  </si>
  <si>
    <t>Member 83</t>
  </si>
  <si>
    <t>Member 84</t>
  </si>
  <si>
    <t>Member 85</t>
  </si>
  <si>
    <t>Member 86</t>
  </si>
  <si>
    <t>Member 87</t>
  </si>
  <si>
    <t>Member 88</t>
  </si>
  <si>
    <t>Member 89</t>
  </si>
  <si>
    <t xml:space="preserve">Member 1 </t>
  </si>
  <si>
    <t>Treasurer</t>
  </si>
  <si>
    <t>Chairperson</t>
  </si>
  <si>
    <t>JJ Colleage</t>
  </si>
  <si>
    <t>KK Investment</t>
  </si>
  <si>
    <t>Member Z</t>
  </si>
  <si>
    <t>Member J</t>
  </si>
  <si>
    <t>PLF Stokvel</t>
  </si>
  <si>
    <t>Stokvel</t>
  </si>
  <si>
    <t>KK Investments</t>
  </si>
  <si>
    <t>Member TM</t>
  </si>
  <si>
    <t>Member SM</t>
  </si>
  <si>
    <t>Member BM</t>
  </si>
  <si>
    <t>Name</t>
  </si>
  <si>
    <t>Jeffrey Matlou</t>
  </si>
  <si>
    <t>Refilwe Lentswe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</si>
</sst>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0.00;[Red]\-&quot;R&quot;#,##0.00"/>
    <numFmt numFmtId="44" formatCode="_-&quot;R&quot;* #,##0.00_-;\-&quot;R&quot;* #,##0.00_-;_-&quot;R&quot;* &quot;-&quot;??_-;_-@_-"/>
    <numFmt numFmtId="43" formatCode="_-* #,##0.00_-;\-* #,##0.00_-;_-* &quot;-&quot;??_-;_-@_-"/>
    <numFmt numFmtId="164" formatCode="&quot;R&quot;#,##0.00"/>
    <numFmt numFmtId="165" formatCode="_-[$R-1C09]* #,##0.00_-;\-[$R-1C09]* #,##0.00_-;_-[$R-1C09]* &quot;-&quot;??_-;_-@_-"/>
    <numFmt numFmtId="166" formatCode="dd\ mmm\ yyyy;@"/>
    <numFmt numFmtId="167" formatCode="0.0000000"/>
  </numFmts>
  <fonts count="32">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9"/>
      <color theme="1"/>
      <name val="Calibri"/>
      <family val="2"/>
      <scheme val="minor"/>
    </font>
    <font>
      <b/>
      <u val="singleAccounting"/>
      <sz val="9"/>
      <color theme="1"/>
      <name val="Calibri"/>
      <family val="2"/>
      <scheme val="minor"/>
    </font>
    <font>
      <b/>
      <sz val="9"/>
      <color indexed="81"/>
      <name val="Tahoma"/>
      <family val="2"/>
    </font>
    <font>
      <sz val="11"/>
      <name val="Calibri"/>
      <family val="2"/>
      <scheme val="minor"/>
    </font>
    <font>
      <b/>
      <sz val="14"/>
      <color theme="1"/>
      <name val="Calibri"/>
      <family val="2"/>
      <scheme val="minor"/>
    </font>
    <font>
      <sz val="11"/>
      <color theme="4" tint="-0.249977111117893"/>
      <name val="Calibri"/>
      <family val="2"/>
      <scheme val="minor"/>
    </font>
    <font>
      <sz val="11"/>
      <color theme="8" tint="-0.249977111117893"/>
      <name val="Calibri"/>
      <family val="2"/>
      <scheme val="minor"/>
    </font>
    <font>
      <u/>
      <sz val="11"/>
      <color theme="10"/>
      <name val="Calibri"/>
      <family val="2"/>
      <scheme val="minor"/>
    </font>
    <font>
      <b/>
      <sz val="11"/>
      <color theme="0"/>
      <name val="Calibri"/>
      <family val="2"/>
      <scheme val="minor"/>
    </font>
    <font>
      <b/>
      <u/>
      <sz val="11"/>
      <name val="Calibri"/>
      <family val="2"/>
      <scheme val="minor"/>
    </font>
    <font>
      <sz val="9"/>
      <color theme="1"/>
      <name val="Calibri"/>
      <family val="2"/>
      <scheme val="minor"/>
    </font>
    <font>
      <sz val="9"/>
      <color rgb="FF000000"/>
      <name val="Latha"/>
      <family val="2"/>
    </font>
    <font>
      <sz val="9"/>
      <name val="Latha"/>
      <family val="2"/>
    </font>
    <font>
      <sz val="9"/>
      <name val="Latha"/>
    </font>
    <font>
      <sz val="9"/>
      <color rgb="FFFF0000"/>
      <name val="Latha"/>
    </font>
    <font>
      <u val="singleAccounting"/>
      <sz val="11"/>
      <color theme="1"/>
      <name val="Calibri"/>
      <family val="2"/>
      <scheme val="minor"/>
    </font>
    <font>
      <b/>
      <u val="singleAccounting"/>
      <sz val="11"/>
      <color theme="1"/>
      <name val="Calibri"/>
      <family val="2"/>
      <scheme val="minor"/>
    </font>
    <font>
      <b/>
      <sz val="16"/>
      <color theme="1"/>
      <name val="Calibri"/>
      <family val="2"/>
      <scheme val="minor"/>
    </font>
    <font>
      <b/>
      <sz val="11"/>
      <color rgb="FFFF0000"/>
      <name val="Calibri"/>
      <family val="2"/>
      <scheme val="minor"/>
    </font>
    <font>
      <sz val="9"/>
      <name val="Arial MT"/>
    </font>
    <font>
      <b/>
      <sz val="18"/>
      <color theme="1"/>
      <name val="Calibri"/>
      <family val="2"/>
      <scheme val="minor"/>
    </font>
    <font>
      <sz val="9"/>
      <color rgb="FFFF0000"/>
      <name val="Arial MT"/>
    </font>
    <font>
      <sz val="9"/>
      <name val="Arial MT"/>
      <family val="2"/>
    </font>
    <font>
      <sz val="9"/>
      <color indexed="81"/>
      <name val="Tahoma"/>
      <charset val="1"/>
    </font>
    <font>
      <b/>
      <sz val="9"/>
      <color indexed="81"/>
      <name val="Tahoma"/>
      <charset val="1"/>
    </font>
    <font>
      <sz val="9"/>
      <color indexed="81"/>
      <name val="Tahoma"/>
      <family val="2"/>
    </font>
    <font>
      <sz val="11"/>
      <color theme="1"/>
      <name val="Calibri"/>
      <scheme val="minor"/>
    </font>
  </fonts>
  <fills count="23">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theme="5"/>
        <bgColor indexed="64"/>
      </patternFill>
    </fill>
    <fill>
      <patternFill patternType="solid">
        <fgColor rgb="FFFFC0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7"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double">
        <color indexed="64"/>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xf numFmtId="43" fontId="1" fillId="0" borderId="0" applyFont="0" applyFill="0" applyBorder="0" applyAlignment="0" applyProtection="0"/>
  </cellStyleXfs>
  <cellXfs count="321">
    <xf numFmtId="0" fontId="0" fillId="0" borderId="0" xfId="0"/>
    <xf numFmtId="0" fontId="0" fillId="0" borderId="0" xfId="0" applyAlignment="1">
      <alignment horizontal="center"/>
    </xf>
    <xf numFmtId="164" fontId="0" fillId="0" borderId="0" xfId="0" applyNumberFormat="1" applyAlignment="1">
      <alignment horizontal="center"/>
    </xf>
    <xf numFmtId="9" fontId="0" fillId="0" borderId="0" xfId="1" applyFont="1" applyAlignment="1">
      <alignment horizontal="center"/>
    </xf>
    <xf numFmtId="0" fontId="0" fillId="0" borderId="2" xfId="0" applyBorder="1" applyAlignment="1">
      <alignment horizontal="center"/>
    </xf>
    <xf numFmtId="164" fontId="0" fillId="0" borderId="3" xfId="0" applyNumberFormat="1" applyBorder="1" applyAlignment="1">
      <alignment horizontal="center"/>
    </xf>
    <xf numFmtId="9" fontId="0" fillId="0" borderId="4" xfId="1" applyFont="1" applyBorder="1" applyAlignment="1">
      <alignment horizontal="center"/>
    </xf>
    <xf numFmtId="0" fontId="0" fillId="0" borderId="5" xfId="0" applyBorder="1" applyAlignment="1">
      <alignment horizontal="center"/>
    </xf>
    <xf numFmtId="9" fontId="0" fillId="0" borderId="6" xfId="1" applyFont="1" applyBorder="1" applyAlignment="1">
      <alignment horizontal="center"/>
    </xf>
    <xf numFmtId="0" fontId="0" fillId="0" borderId="0" xfId="0" applyAlignment="1">
      <alignment horizontal="center" wrapText="1"/>
    </xf>
    <xf numFmtId="0" fontId="0" fillId="0" borderId="1" xfId="0" applyBorder="1"/>
    <xf numFmtId="0" fontId="3" fillId="0" borderId="1" xfId="0" applyFont="1" applyBorder="1" applyAlignment="1">
      <alignment vertical="top"/>
    </xf>
    <xf numFmtId="0" fontId="3" fillId="0" borderId="1" xfId="2" applyNumberFormat="1" applyFont="1" applyBorder="1" applyAlignment="1">
      <alignment horizontal="center" vertical="top" wrapText="1"/>
    </xf>
    <xf numFmtId="17" fontId="3" fillId="0" borderId="0" xfId="2" applyNumberFormat="1" applyFont="1" applyAlignment="1">
      <alignment horizontal="center" vertical="top"/>
    </xf>
    <xf numFmtId="0" fontId="3" fillId="0" borderId="0" xfId="0" applyFont="1" applyAlignment="1">
      <alignment vertical="top"/>
    </xf>
    <xf numFmtId="164" fontId="0" fillId="0" borderId="3" xfId="0" applyNumberFormat="1" applyBorder="1" applyAlignment="1">
      <alignment horizontal="center" wrapText="1"/>
    </xf>
    <xf numFmtId="0" fontId="0" fillId="0" borderId="7" xfId="0" applyBorder="1" applyAlignment="1">
      <alignment horizontal="center"/>
    </xf>
    <xf numFmtId="0" fontId="0" fillId="3" borderId="0" xfId="0" applyFill="1"/>
    <xf numFmtId="43" fontId="0" fillId="0" borderId="1" xfId="2" applyFont="1" applyFill="1" applyBorder="1" applyAlignment="1">
      <alignment horizontal="center"/>
    </xf>
    <xf numFmtId="43" fontId="2" fillId="0" borderId="1" xfId="2" applyFont="1" applyFill="1" applyBorder="1" applyAlignment="1">
      <alignment horizontal="center"/>
    </xf>
    <xf numFmtId="43" fontId="2" fillId="0" borderId="0" xfId="2" applyFont="1" applyFill="1" applyAlignment="1">
      <alignment horizontal="center"/>
    </xf>
    <xf numFmtId="43" fontId="0" fillId="0" borderId="0" xfId="2" applyFont="1" applyFill="1" applyBorder="1" applyAlignment="1">
      <alignment horizontal="center"/>
    </xf>
    <xf numFmtId="0" fontId="5" fillId="0" borderId="1" xfId="2" applyNumberFormat="1" applyFont="1" applyBorder="1" applyAlignment="1">
      <alignment horizontal="center" vertical="top" wrapText="1"/>
    </xf>
    <xf numFmtId="43" fontId="6" fillId="0" borderId="1" xfId="2" applyFont="1" applyBorder="1" applyAlignment="1">
      <alignment horizontal="center"/>
    </xf>
    <xf numFmtId="164" fontId="6" fillId="0" borderId="1" xfId="2" applyNumberFormat="1" applyFont="1" applyBorder="1" applyAlignment="1">
      <alignment horizontal="center"/>
    </xf>
    <xf numFmtId="164" fontId="0" fillId="4" borderId="1" xfId="0" applyNumberFormat="1" applyFill="1" applyBorder="1" applyAlignment="1">
      <alignment horizontal="center"/>
    </xf>
    <xf numFmtId="164" fontId="0" fillId="4" borderId="8" xfId="0" applyNumberFormat="1" applyFill="1" applyBorder="1" applyAlignment="1">
      <alignment horizontal="center"/>
    </xf>
    <xf numFmtId="164" fontId="0" fillId="2" borderId="1" xfId="0" applyNumberFormat="1" applyFill="1" applyBorder="1" applyAlignment="1">
      <alignment horizontal="center"/>
    </xf>
    <xf numFmtId="0" fontId="0" fillId="0" borderId="1" xfId="0" applyBorder="1" applyAlignment="1">
      <alignment horizontal="center"/>
    </xf>
    <xf numFmtId="0" fontId="0" fillId="3" borderId="1" xfId="0" applyFill="1" applyBorder="1"/>
    <xf numFmtId="2" fontId="0" fillId="0" borderId="0" xfId="0" applyNumberFormat="1" applyAlignment="1">
      <alignment horizontal="center"/>
    </xf>
    <xf numFmtId="17" fontId="3" fillId="5" borderId="0" xfId="2" applyNumberFormat="1" applyFont="1" applyFill="1" applyAlignment="1">
      <alignment horizontal="center" vertical="top"/>
    </xf>
    <xf numFmtId="17" fontId="3" fillId="6" borderId="0" xfId="2" applyNumberFormat="1" applyFont="1" applyFill="1" applyAlignment="1">
      <alignment horizontal="center" vertical="top"/>
    </xf>
    <xf numFmtId="165" fontId="0" fillId="0" borderId="1" xfId="0" applyNumberFormat="1" applyBorder="1"/>
    <xf numFmtId="17" fontId="3" fillId="5" borderId="8" xfId="2" applyNumberFormat="1" applyFont="1" applyFill="1" applyBorder="1" applyAlignment="1">
      <alignment horizontal="center" vertical="top"/>
    </xf>
    <xf numFmtId="0" fontId="3" fillId="5" borderId="8" xfId="2" applyNumberFormat="1" applyFont="1" applyFill="1" applyBorder="1" applyAlignment="1">
      <alignment horizontal="center" vertical="top"/>
    </xf>
    <xf numFmtId="17" fontId="3" fillId="6" borderId="8" xfId="2" applyNumberFormat="1" applyFont="1" applyFill="1" applyBorder="1" applyAlignment="1">
      <alignment horizontal="center" vertical="top"/>
    </xf>
    <xf numFmtId="0" fontId="3" fillId="6" borderId="8" xfId="2" applyNumberFormat="1" applyFont="1" applyFill="1" applyBorder="1" applyAlignment="1">
      <alignment horizontal="center" vertical="top"/>
    </xf>
    <xf numFmtId="0" fontId="3" fillId="6" borderId="7" xfId="2" applyNumberFormat="1" applyFont="1" applyFill="1" applyBorder="1" applyAlignment="1">
      <alignment horizontal="center" vertical="top"/>
    </xf>
    <xf numFmtId="0" fontId="3" fillId="5" borderId="7" xfId="2" applyNumberFormat="1" applyFont="1" applyFill="1" applyBorder="1" applyAlignment="1">
      <alignment horizontal="center" vertical="top" wrapText="1"/>
    </xf>
    <xf numFmtId="17" fontId="3" fillId="5" borderId="8" xfId="2" applyNumberFormat="1" applyFont="1" applyFill="1" applyBorder="1" applyAlignment="1">
      <alignment horizontal="center" vertical="top" wrapText="1"/>
    </xf>
    <xf numFmtId="0" fontId="3" fillId="0" borderId="0" xfId="0" applyFont="1"/>
    <xf numFmtId="17" fontId="3" fillId="0" borderId="1" xfId="0" applyNumberFormat="1" applyFont="1" applyBorder="1"/>
    <xf numFmtId="44" fontId="0" fillId="0" borderId="1" xfId="3" applyFont="1" applyBorder="1"/>
    <xf numFmtId="0" fontId="3" fillId="0" borderId="1" xfId="0" applyFont="1" applyBorder="1"/>
    <xf numFmtId="44" fontId="0" fillId="0" borderId="1" xfId="0" applyNumberFormat="1" applyBorder="1"/>
    <xf numFmtId="0" fontId="8" fillId="0" borderId="1" xfId="0" applyFont="1" applyBorder="1"/>
    <xf numFmtId="43" fontId="0" fillId="0" borderId="0" xfId="0" applyNumberFormat="1"/>
    <xf numFmtId="164" fontId="0" fillId="0" borderId="0" xfId="0" applyNumberFormat="1"/>
    <xf numFmtId="0" fontId="3" fillId="0" borderId="8" xfId="0" applyFont="1" applyBorder="1" applyAlignment="1">
      <alignment vertical="top"/>
    </xf>
    <xf numFmtId="0" fontId="3" fillId="0" borderId="8" xfId="2" applyNumberFormat="1" applyFont="1" applyBorder="1" applyAlignment="1">
      <alignment horizontal="center" vertical="top" wrapText="1"/>
    </xf>
    <xf numFmtId="0" fontId="3" fillId="0" borderId="8" xfId="2" applyNumberFormat="1" applyFont="1" applyBorder="1" applyAlignment="1">
      <alignment horizontal="center" vertical="top"/>
    </xf>
    <xf numFmtId="17" fontId="3" fillId="0" borderId="8" xfId="2" applyNumberFormat="1" applyFont="1" applyBorder="1" applyAlignment="1">
      <alignment horizontal="center" vertical="top"/>
    </xf>
    <xf numFmtId="0" fontId="3" fillId="2" borderId="8" xfId="2" applyNumberFormat="1" applyFont="1" applyFill="1" applyBorder="1" applyAlignment="1">
      <alignment horizontal="center" vertical="top"/>
    </xf>
    <xf numFmtId="0" fontId="0" fillId="0" borderId="1" xfId="0" applyBorder="1" applyAlignment="1">
      <alignment horizontal="left"/>
    </xf>
    <xf numFmtId="165" fontId="0" fillId="0" borderId="1" xfId="0" applyNumberFormat="1" applyBorder="1" applyAlignment="1">
      <alignment horizontal="left"/>
    </xf>
    <xf numFmtId="43" fontId="8" fillId="0" borderId="1" xfId="2" applyFont="1" applyFill="1" applyBorder="1" applyAlignment="1">
      <alignment horizontal="center"/>
    </xf>
    <xf numFmtId="0" fontId="3" fillId="6" borderId="1" xfId="0" applyFont="1" applyFill="1" applyBorder="1" applyAlignment="1">
      <alignment wrapText="1"/>
    </xf>
    <xf numFmtId="44" fontId="0" fillId="0" borderId="0" xfId="0" applyNumberFormat="1"/>
    <xf numFmtId="44" fontId="0" fillId="3" borderId="1" xfId="3" applyFont="1" applyFill="1" applyBorder="1" applyAlignment="1">
      <alignment horizontal="center"/>
    </xf>
    <xf numFmtId="43" fontId="0" fillId="3" borderId="1" xfId="2" applyFont="1" applyFill="1" applyBorder="1" applyAlignment="1">
      <alignment horizontal="center"/>
    </xf>
    <xf numFmtId="0" fontId="3" fillId="3" borderId="8" xfId="2" applyNumberFormat="1" applyFont="1" applyFill="1" applyBorder="1" applyAlignment="1">
      <alignment horizontal="center" vertical="top" wrapText="1"/>
    </xf>
    <xf numFmtId="165" fontId="0" fillId="7" borderId="1" xfId="0" applyNumberFormat="1" applyFill="1" applyBorder="1" applyAlignment="1">
      <alignment horizontal="left"/>
    </xf>
    <xf numFmtId="43" fontId="0" fillId="7" borderId="1" xfId="2" applyFont="1" applyFill="1" applyBorder="1" applyAlignment="1">
      <alignment horizontal="center"/>
    </xf>
    <xf numFmtId="43" fontId="2" fillId="7" borderId="1" xfId="2" applyFont="1" applyFill="1" applyBorder="1" applyAlignment="1">
      <alignment horizontal="center"/>
    </xf>
    <xf numFmtId="43" fontId="8" fillId="7" borderId="1" xfId="2" applyFont="1" applyFill="1" applyBorder="1" applyAlignment="1">
      <alignment horizontal="center"/>
    </xf>
    <xf numFmtId="43" fontId="2" fillId="7" borderId="0" xfId="2" applyFont="1" applyFill="1" applyAlignment="1">
      <alignment horizontal="center"/>
    </xf>
    <xf numFmtId="165" fontId="0" fillId="7" borderId="1" xfId="0" applyNumberFormat="1" applyFill="1" applyBorder="1"/>
    <xf numFmtId="0" fontId="0" fillId="7" borderId="0" xfId="0" applyFill="1"/>
    <xf numFmtId="43" fontId="11" fillId="7" borderId="1" xfId="2" applyFont="1" applyFill="1" applyBorder="1" applyAlignment="1">
      <alignment horizontal="center"/>
    </xf>
    <xf numFmtId="43" fontId="1" fillId="7" borderId="1" xfId="2" applyFont="1" applyFill="1" applyBorder="1" applyAlignment="1">
      <alignment horizontal="center"/>
    </xf>
    <xf numFmtId="0" fontId="10" fillId="7" borderId="0" xfId="0" applyFont="1" applyFill="1"/>
    <xf numFmtId="0" fontId="0" fillId="7" borderId="1" xfId="0" applyFill="1" applyBorder="1" applyAlignment="1">
      <alignment horizontal="left"/>
    </xf>
    <xf numFmtId="44" fontId="0" fillId="7" borderId="1" xfId="3" applyFont="1" applyFill="1" applyBorder="1"/>
    <xf numFmtId="44" fontId="0" fillId="7" borderId="1" xfId="3" applyFont="1" applyFill="1" applyBorder="1" applyAlignment="1">
      <alignment horizontal="center"/>
    </xf>
    <xf numFmtId="44" fontId="0" fillId="7" borderId="1" xfId="0" applyNumberFormat="1" applyFill="1" applyBorder="1"/>
    <xf numFmtId="17" fontId="0" fillId="7" borderId="1" xfId="0" applyNumberFormat="1" applyFill="1" applyBorder="1"/>
    <xf numFmtId="17" fontId="0" fillId="0" borderId="1" xfId="0" applyNumberFormat="1" applyBorder="1"/>
    <xf numFmtId="44" fontId="0" fillId="0" borderId="1" xfId="3" applyFont="1" applyFill="1" applyBorder="1" applyAlignment="1">
      <alignment horizontal="center"/>
    </xf>
    <xf numFmtId="44" fontId="0" fillId="0" borderId="1" xfId="3" applyFont="1" applyFill="1" applyBorder="1"/>
    <xf numFmtId="44" fontId="0" fillId="8" borderId="1" xfId="3" applyFont="1" applyFill="1" applyBorder="1"/>
    <xf numFmtId="44" fontId="12" fillId="0" borderId="0" xfId="4" applyNumberFormat="1"/>
    <xf numFmtId="165" fontId="0" fillId="2" borderId="0" xfId="0" applyNumberFormat="1" applyFill="1"/>
    <xf numFmtId="44" fontId="0" fillId="2" borderId="0" xfId="0" applyNumberFormat="1" applyFill="1"/>
    <xf numFmtId="0" fontId="3" fillId="6" borderId="0" xfId="0" applyFont="1" applyFill="1" applyAlignment="1">
      <alignment wrapText="1"/>
    </xf>
    <xf numFmtId="0" fontId="3" fillId="3" borderId="0" xfId="0" applyFont="1" applyFill="1"/>
    <xf numFmtId="0" fontId="3" fillId="9" borderId="10" xfId="0" applyFont="1" applyFill="1" applyBorder="1" applyAlignment="1">
      <alignment vertical="top" wrapText="1"/>
    </xf>
    <xf numFmtId="165" fontId="3" fillId="0" borderId="11" xfId="0" applyNumberFormat="1" applyFont="1" applyBorder="1"/>
    <xf numFmtId="14" fontId="0" fillId="0" borderId="0" xfId="0" applyNumberFormat="1"/>
    <xf numFmtId="0" fontId="8" fillId="0" borderId="5" xfId="0" applyFont="1" applyBorder="1" applyAlignment="1">
      <alignment horizontal="left"/>
    </xf>
    <xf numFmtId="164" fontId="0" fillId="4" borderId="3" xfId="0" applyNumberFormat="1" applyFill="1" applyBorder="1" applyAlignment="1">
      <alignment horizontal="center"/>
    </xf>
    <xf numFmtId="0" fontId="0" fillId="0" borderId="2" xfId="0" applyBorder="1" applyAlignment="1">
      <alignment horizontal="center" wrapText="1"/>
    </xf>
    <xf numFmtId="164" fontId="0" fillId="0" borderId="12" xfId="0" applyNumberFormat="1" applyBorder="1" applyAlignment="1">
      <alignment horizontal="center"/>
    </xf>
    <xf numFmtId="44" fontId="8" fillId="0" borderId="1" xfId="3" applyFont="1" applyFill="1" applyBorder="1" applyAlignment="1">
      <alignment horizontal="left"/>
    </xf>
    <xf numFmtId="44" fontId="8" fillId="2" borderId="1" xfId="3" applyFont="1" applyFill="1" applyBorder="1" applyAlignment="1">
      <alignment horizontal="left"/>
    </xf>
    <xf numFmtId="44" fontId="14" fillId="0" borderId="1" xfId="3" applyFont="1" applyFill="1" applyBorder="1"/>
    <xf numFmtId="9" fontId="1" fillId="0" borderId="6" xfId="1" applyFont="1" applyBorder="1" applyAlignment="1">
      <alignment horizontal="center"/>
    </xf>
    <xf numFmtId="44" fontId="8" fillId="0" borderId="5" xfId="3" applyFont="1" applyFill="1" applyBorder="1" applyAlignment="1">
      <alignment horizontal="left"/>
    </xf>
    <xf numFmtId="44" fontId="0" fillId="0" borderId="1" xfId="3" applyFont="1" applyBorder="1" applyAlignment="1">
      <alignment horizontal="center"/>
    </xf>
    <xf numFmtId="44" fontId="1" fillId="0" borderId="1" xfId="3" applyFont="1" applyFill="1" applyBorder="1" applyAlignment="1">
      <alignment horizontal="center"/>
    </xf>
    <xf numFmtId="44" fontId="8" fillId="2" borderId="1" xfId="3" applyFont="1" applyFill="1" applyBorder="1" applyAlignment="1">
      <alignment horizontal="center"/>
    </xf>
    <xf numFmtId="0" fontId="8" fillId="11" borderId="1" xfId="0" applyFont="1" applyFill="1" applyBorder="1"/>
    <xf numFmtId="44" fontId="8" fillId="11" borderId="1" xfId="3" applyFont="1" applyFill="1" applyBorder="1" applyAlignment="1">
      <alignment horizontal="left"/>
    </xf>
    <xf numFmtId="44" fontId="0" fillId="11" borderId="1" xfId="3" applyFont="1" applyFill="1" applyBorder="1" applyAlignment="1">
      <alignment horizontal="center"/>
    </xf>
    <xf numFmtId="9" fontId="0" fillId="11" borderId="6" xfId="1" applyFont="1" applyFill="1" applyBorder="1" applyAlignment="1">
      <alignment horizontal="center"/>
    </xf>
    <xf numFmtId="44" fontId="8" fillId="0" borderId="1" xfId="3" applyFont="1" applyBorder="1" applyAlignment="1">
      <alignment horizontal="left"/>
    </xf>
    <xf numFmtId="0" fontId="13" fillId="10" borderId="1" xfId="0" applyFont="1" applyFill="1" applyBorder="1" applyAlignment="1">
      <alignment horizontal="center"/>
    </xf>
    <xf numFmtId="0" fontId="13" fillId="10" borderId="5" xfId="0" applyFont="1" applyFill="1" applyBorder="1" applyAlignment="1">
      <alignment horizontal="center" wrapText="1"/>
    </xf>
    <xf numFmtId="164" fontId="13" fillId="10" borderId="1" xfId="0" applyNumberFormat="1" applyFont="1" applyFill="1" applyBorder="1" applyAlignment="1">
      <alignment horizontal="center" wrapText="1"/>
    </xf>
    <xf numFmtId="164" fontId="13" fillId="10" borderId="1" xfId="0" applyNumberFormat="1" applyFont="1" applyFill="1" applyBorder="1" applyAlignment="1">
      <alignment horizontal="center"/>
    </xf>
    <xf numFmtId="9" fontId="13" fillId="10" borderId="6" xfId="1" applyFont="1" applyFill="1" applyBorder="1" applyAlignment="1">
      <alignment horizontal="center"/>
    </xf>
    <xf numFmtId="44" fontId="0" fillId="12" borderId="1" xfId="3" applyFont="1" applyFill="1" applyBorder="1" applyAlignment="1">
      <alignment horizontal="center"/>
    </xf>
    <xf numFmtId="44" fontId="0" fillId="0" borderId="0" xfId="0" applyNumberFormat="1" applyAlignment="1">
      <alignment horizontal="center"/>
    </xf>
    <xf numFmtId="0" fontId="3" fillId="0" borderId="1" xfId="0" applyFont="1" applyBorder="1" applyAlignment="1">
      <alignment vertical="top" wrapText="1"/>
    </xf>
    <xf numFmtId="17" fontId="3" fillId="2" borderId="8" xfId="2" applyNumberFormat="1" applyFont="1" applyFill="1" applyBorder="1" applyAlignment="1">
      <alignment horizontal="center" vertical="top" wrapText="1"/>
    </xf>
    <xf numFmtId="17" fontId="3" fillId="13" borderId="0" xfId="2" applyNumberFormat="1" applyFont="1" applyFill="1" applyBorder="1" applyAlignment="1">
      <alignment horizontal="center" vertical="top"/>
    </xf>
    <xf numFmtId="0" fontId="3" fillId="0" borderId="0" xfId="2" applyNumberFormat="1" applyFont="1" applyBorder="1" applyAlignment="1">
      <alignment horizontal="center" vertical="top" wrapText="1"/>
    </xf>
    <xf numFmtId="44" fontId="3" fillId="0" borderId="13" xfId="0" applyNumberFormat="1" applyFont="1" applyBorder="1"/>
    <xf numFmtId="17" fontId="3" fillId="0" borderId="8" xfId="2" applyNumberFormat="1" applyFont="1" applyFill="1" applyBorder="1" applyAlignment="1">
      <alignment horizontal="center" vertical="top" wrapText="1"/>
    </xf>
    <xf numFmtId="165" fontId="2" fillId="0" borderId="1" xfId="0" applyNumberFormat="1" applyFont="1" applyBorder="1"/>
    <xf numFmtId="0" fontId="3" fillId="5" borderId="8" xfId="2" applyNumberFormat="1" applyFont="1" applyFill="1" applyBorder="1" applyAlignment="1">
      <alignment horizontal="center" vertical="top" wrapText="1"/>
    </xf>
    <xf numFmtId="14" fontId="0" fillId="0" borderId="1" xfId="0" applyNumberFormat="1" applyBorder="1"/>
    <xf numFmtId="14" fontId="0" fillId="3" borderId="1" xfId="0" applyNumberFormat="1" applyFill="1" applyBorder="1"/>
    <xf numFmtId="165" fontId="0" fillId="0" borderId="14" xfId="0" applyNumberFormat="1" applyBorder="1"/>
    <xf numFmtId="14" fontId="0" fillId="13" borderId="0" xfId="0" applyNumberFormat="1" applyFill="1"/>
    <xf numFmtId="0" fontId="0" fillId="13" borderId="0" xfId="0" applyFill="1"/>
    <xf numFmtId="14" fontId="0" fillId="3" borderId="0" xfId="0" applyNumberFormat="1" applyFill="1"/>
    <xf numFmtId="2" fontId="0" fillId="3" borderId="0" xfId="0" applyNumberFormat="1" applyFill="1"/>
    <xf numFmtId="2" fontId="0" fillId="0" borderId="0" xfId="0" applyNumberFormat="1"/>
    <xf numFmtId="0" fontId="0" fillId="14" borderId="1" xfId="0" applyFill="1" applyBorder="1"/>
    <xf numFmtId="44" fontId="0" fillId="14" borderId="1" xfId="3" applyFont="1" applyFill="1" applyBorder="1"/>
    <xf numFmtId="44" fontId="0" fillId="14" borderId="1" xfId="3" applyFont="1" applyFill="1" applyBorder="1" applyAlignment="1">
      <alignment horizontal="center"/>
    </xf>
    <xf numFmtId="165" fontId="0" fillId="14" borderId="1" xfId="0" applyNumberFormat="1" applyFill="1" applyBorder="1"/>
    <xf numFmtId="165" fontId="3" fillId="14" borderId="11" xfId="0" applyNumberFormat="1" applyFont="1" applyFill="1" applyBorder="1"/>
    <xf numFmtId="0" fontId="0" fillId="14" borderId="0" xfId="0" applyFill="1"/>
    <xf numFmtId="165" fontId="2" fillId="14" borderId="1" xfId="0" applyNumberFormat="1" applyFont="1" applyFill="1" applyBorder="1"/>
    <xf numFmtId="14" fontId="0" fillId="14" borderId="0" xfId="0" applyNumberFormat="1" applyFill="1"/>
    <xf numFmtId="165" fontId="0" fillId="14" borderId="14" xfId="0" applyNumberFormat="1" applyFill="1" applyBorder="1"/>
    <xf numFmtId="0" fontId="3" fillId="15" borderId="1" xfId="0" applyFont="1" applyFill="1" applyBorder="1" applyAlignment="1">
      <alignment vertical="top" wrapText="1"/>
    </xf>
    <xf numFmtId="44" fontId="0" fillId="15" borderId="1" xfId="3" applyFont="1" applyFill="1" applyBorder="1"/>
    <xf numFmtId="0" fontId="0" fillId="15" borderId="0" xfId="0" applyFill="1"/>
    <xf numFmtId="14" fontId="0" fillId="14" borderId="1" xfId="0" applyNumberFormat="1" applyFill="1" applyBorder="1"/>
    <xf numFmtId="14" fontId="0" fillId="15" borderId="0" xfId="0" applyNumberFormat="1" applyFill="1"/>
    <xf numFmtId="0" fontId="0" fillId="15" borderId="1" xfId="0" applyFill="1" applyBorder="1"/>
    <xf numFmtId="0" fontId="0" fillId="16" borderId="0" xfId="0" applyFill="1"/>
    <xf numFmtId="14" fontId="0" fillId="2" borderId="0" xfId="0" applyNumberFormat="1" applyFill="1"/>
    <xf numFmtId="0" fontId="0" fillId="2" borderId="0" xfId="0" applyFill="1"/>
    <xf numFmtId="14" fontId="0" fillId="17" borderId="0" xfId="0" applyNumberFormat="1" applyFill="1"/>
    <xf numFmtId="0" fontId="0" fillId="17" borderId="0" xfId="0" applyFill="1"/>
    <xf numFmtId="0" fontId="3" fillId="0" borderId="1" xfId="2" applyNumberFormat="1" applyFont="1" applyBorder="1" applyAlignment="1">
      <alignment vertical="top" wrapText="1"/>
    </xf>
    <xf numFmtId="0" fontId="3" fillId="0" borderId="0" xfId="2" applyNumberFormat="1" applyFont="1" applyBorder="1" applyAlignment="1">
      <alignment vertical="top" wrapText="1"/>
    </xf>
    <xf numFmtId="17" fontId="3" fillId="13" borderId="0" xfId="2" applyNumberFormat="1" applyFont="1" applyFill="1" applyBorder="1" applyAlignment="1">
      <alignment vertical="top"/>
    </xf>
    <xf numFmtId="17" fontId="3" fillId="2" borderId="8" xfId="2" applyNumberFormat="1" applyFont="1" applyFill="1" applyBorder="1" applyAlignment="1">
      <alignment vertical="top" wrapText="1"/>
    </xf>
    <xf numFmtId="0" fontId="3" fillId="5" borderId="8" xfId="2" applyNumberFormat="1" applyFont="1" applyFill="1" applyBorder="1" applyAlignment="1">
      <alignment vertical="top"/>
    </xf>
    <xf numFmtId="0" fontId="3" fillId="5" borderId="7" xfId="2" applyNumberFormat="1" applyFont="1" applyFill="1" applyBorder="1" applyAlignment="1">
      <alignment vertical="top"/>
    </xf>
    <xf numFmtId="0" fontId="3" fillId="5" borderId="7" xfId="2" applyNumberFormat="1" applyFont="1" applyFill="1" applyBorder="1" applyAlignment="1">
      <alignment vertical="top" wrapText="1"/>
    </xf>
    <xf numFmtId="44" fontId="0" fillId="0" borderId="5" xfId="3" applyFont="1" applyFill="1" applyBorder="1" applyAlignment="1"/>
    <xf numFmtId="44" fontId="0" fillId="0" borderId="1" xfId="3" applyFont="1" applyFill="1" applyBorder="1" applyAlignment="1"/>
    <xf numFmtId="44" fontId="0" fillId="15" borderId="1" xfId="3" applyFont="1" applyFill="1" applyBorder="1" applyAlignment="1"/>
    <xf numFmtId="165" fontId="0" fillId="0" borderId="11" xfId="0" applyNumberFormat="1" applyBorder="1"/>
    <xf numFmtId="44" fontId="0" fillId="2" borderId="5" xfId="3" applyFont="1" applyFill="1" applyBorder="1" applyAlignment="1"/>
    <xf numFmtId="44" fontId="0" fillId="14" borderId="1" xfId="3" applyFont="1" applyFill="1" applyBorder="1" applyAlignment="1"/>
    <xf numFmtId="44" fontId="0" fillId="14" borderId="5" xfId="3" applyFont="1" applyFill="1" applyBorder="1" applyAlignment="1"/>
    <xf numFmtId="44" fontId="0" fillId="15" borderId="0" xfId="0" applyNumberFormat="1" applyFill="1"/>
    <xf numFmtId="0" fontId="0" fillId="0" borderId="0" xfId="0" applyAlignment="1">
      <alignment vertical="top" wrapText="1"/>
    </xf>
    <xf numFmtId="165" fontId="0" fillId="13" borderId="1" xfId="0" applyNumberFormat="1" applyFill="1" applyBorder="1"/>
    <xf numFmtId="165" fontId="0" fillId="2" borderId="1" xfId="0" applyNumberFormat="1" applyFill="1" applyBorder="1"/>
    <xf numFmtId="165" fontId="0" fillId="5" borderId="1" xfId="0" applyNumberFormat="1" applyFill="1" applyBorder="1"/>
    <xf numFmtId="0" fontId="0" fillId="5" borderId="0" xfId="0" applyFill="1"/>
    <xf numFmtId="9" fontId="0" fillId="0" borderId="0" xfId="1" applyFont="1" applyFill="1" applyBorder="1" applyAlignment="1"/>
    <xf numFmtId="44" fontId="3" fillId="0" borderId="0" xfId="0" applyNumberFormat="1" applyFont="1"/>
    <xf numFmtId="44" fontId="0" fillId="0" borderId="0" xfId="0" applyNumberFormat="1" applyAlignment="1">
      <alignment wrapText="1"/>
    </xf>
    <xf numFmtId="44" fontId="3" fillId="13" borderId="13" xfId="0" applyNumberFormat="1" applyFont="1" applyFill="1" applyBorder="1"/>
    <xf numFmtId="44" fontId="3" fillId="13" borderId="0" xfId="0" applyNumberFormat="1" applyFont="1" applyFill="1"/>
    <xf numFmtId="44" fontId="0" fillId="13" borderId="0" xfId="0" applyNumberFormat="1" applyFill="1"/>
    <xf numFmtId="0" fontId="0" fillId="18" borderId="0" xfId="0" applyFill="1"/>
    <xf numFmtId="44" fontId="3" fillId="5" borderId="13" xfId="0" applyNumberFormat="1" applyFont="1" applyFill="1" applyBorder="1"/>
    <xf numFmtId="44" fontId="3" fillId="2" borderId="13" xfId="0" applyNumberFormat="1" applyFont="1" applyFill="1" applyBorder="1"/>
    <xf numFmtId="44" fontId="3" fillId="2" borderId="0" xfId="0" applyNumberFormat="1" applyFont="1" applyFill="1"/>
    <xf numFmtId="44" fontId="3" fillId="5" borderId="0" xfId="0" applyNumberFormat="1" applyFont="1" applyFill="1"/>
    <xf numFmtId="17" fontId="3" fillId="13" borderId="1" xfId="2" applyNumberFormat="1" applyFont="1" applyFill="1" applyBorder="1" applyAlignment="1">
      <alignment horizontal="center" vertical="top"/>
    </xf>
    <xf numFmtId="17" fontId="3" fillId="2" borderId="1" xfId="2" applyNumberFormat="1" applyFont="1" applyFill="1" applyBorder="1" applyAlignment="1">
      <alignment horizontal="center" vertical="top" wrapText="1"/>
    </xf>
    <xf numFmtId="17" fontId="3" fillId="0" borderId="1" xfId="2" applyNumberFormat="1" applyFont="1" applyFill="1" applyBorder="1" applyAlignment="1">
      <alignment horizontal="center" vertical="top" wrapText="1"/>
    </xf>
    <xf numFmtId="0" fontId="3" fillId="5" borderId="1" xfId="2" applyNumberFormat="1" applyFont="1" applyFill="1" applyBorder="1" applyAlignment="1">
      <alignment horizontal="center" vertical="top"/>
    </xf>
    <xf numFmtId="0" fontId="3" fillId="9" borderId="1" xfId="0" applyFont="1" applyFill="1" applyBorder="1" applyAlignment="1">
      <alignment vertical="top" wrapText="1"/>
    </xf>
    <xf numFmtId="165" fontId="3" fillId="0" borderId="1" xfId="0" applyNumberFormat="1" applyFont="1" applyBorder="1"/>
    <xf numFmtId="0" fontId="3" fillId="0" borderId="6" xfId="2" applyNumberFormat="1" applyFont="1" applyBorder="1" applyAlignment="1">
      <alignment horizontal="center" vertical="top" wrapText="1"/>
    </xf>
    <xf numFmtId="44" fontId="0" fillId="0" borderId="6" xfId="3" applyFont="1" applyFill="1" applyBorder="1" applyAlignment="1">
      <alignment horizontal="center"/>
    </xf>
    <xf numFmtId="44" fontId="0" fillId="14" borderId="6" xfId="3" applyFont="1" applyFill="1" applyBorder="1" applyAlignment="1">
      <alignment horizontal="center"/>
    </xf>
    <xf numFmtId="0" fontId="3" fillId="0" borderId="5" xfId="2" applyNumberFormat="1" applyFont="1" applyBorder="1" applyAlignment="1">
      <alignment horizontal="center" vertical="top" wrapText="1"/>
    </xf>
    <xf numFmtId="44" fontId="0" fillId="0" borderId="5" xfId="3" applyFont="1" applyFill="1" applyBorder="1" applyAlignment="1">
      <alignment horizontal="center"/>
    </xf>
    <xf numFmtId="44" fontId="0" fillId="14" borderId="5" xfId="3" applyFont="1" applyFill="1" applyBorder="1" applyAlignment="1">
      <alignment horizontal="center"/>
    </xf>
    <xf numFmtId="44" fontId="3" fillId="0" borderId="1" xfId="0" applyNumberFormat="1" applyFont="1" applyBorder="1"/>
    <xf numFmtId="0" fontId="3" fillId="19" borderId="0" xfId="2" applyNumberFormat="1" applyFont="1" applyFill="1" applyBorder="1" applyAlignment="1">
      <alignment horizontal="center" vertical="top" wrapText="1"/>
    </xf>
    <xf numFmtId="44" fontId="0" fillId="19" borderId="1" xfId="3" applyFont="1" applyFill="1" applyBorder="1" applyAlignment="1">
      <alignment horizontal="center"/>
    </xf>
    <xf numFmtId="44" fontId="3" fillId="19" borderId="13" xfId="0" applyNumberFormat="1" applyFont="1" applyFill="1" applyBorder="1"/>
    <xf numFmtId="0" fontId="0" fillId="19" borderId="0" xfId="0" applyFill="1"/>
    <xf numFmtId="0" fontId="3" fillId="19" borderId="1" xfId="2" applyNumberFormat="1" applyFont="1" applyFill="1" applyBorder="1" applyAlignment="1">
      <alignment horizontal="center" vertical="top" wrapText="1"/>
    </xf>
    <xf numFmtId="44" fontId="3" fillId="19" borderId="0" xfId="0" applyNumberFormat="1" applyFont="1" applyFill="1"/>
    <xf numFmtId="0" fontId="0" fillId="0" borderId="0" xfId="0" applyAlignment="1">
      <alignment wrapText="1"/>
    </xf>
    <xf numFmtId="9" fontId="0" fillId="0" borderId="0" xfId="1" applyFont="1" applyAlignment="1">
      <alignment horizontal="center" vertical="top" wrapText="1"/>
    </xf>
    <xf numFmtId="0" fontId="0" fillId="0" borderId="0" xfId="0" applyAlignment="1">
      <alignment horizontal="center" vertical="top" wrapText="1"/>
    </xf>
    <xf numFmtId="44" fontId="0" fillId="0" borderId="0" xfId="0" applyNumberFormat="1" applyAlignment="1">
      <alignment horizontal="center" vertical="top" wrapText="1"/>
    </xf>
    <xf numFmtId="0" fontId="0" fillId="15" borderId="0" xfId="0" applyFill="1" applyAlignment="1">
      <alignment wrapText="1"/>
    </xf>
    <xf numFmtId="9" fontId="3" fillId="0" borderId="0" xfId="1" applyFont="1" applyBorder="1"/>
    <xf numFmtId="0" fontId="0" fillId="12" borderId="0" xfId="0" applyFill="1"/>
    <xf numFmtId="0" fontId="3" fillId="0" borderId="1" xfId="2" applyNumberFormat="1" applyFont="1" applyFill="1" applyBorder="1" applyAlignment="1">
      <alignment vertical="top" wrapText="1"/>
    </xf>
    <xf numFmtId="0" fontId="15" fillId="0" borderId="0" xfId="0" applyFont="1" applyAlignment="1">
      <alignment horizontal="left" wrapText="1"/>
    </xf>
    <xf numFmtId="166" fontId="16" fillId="0" borderId="15" xfId="0" applyNumberFormat="1" applyFont="1" applyBorder="1" applyAlignment="1">
      <alignment horizontal="left" vertical="top" shrinkToFit="1"/>
    </xf>
    <xf numFmtId="166" fontId="16" fillId="0" borderId="16" xfId="0" applyNumberFormat="1" applyFont="1" applyBorder="1" applyAlignment="1">
      <alignment horizontal="left" vertical="top" shrinkToFit="1"/>
    </xf>
    <xf numFmtId="0" fontId="0" fillId="0" borderId="17" xfId="0" applyBorder="1" applyAlignment="1">
      <alignment horizontal="left" vertical="top" wrapText="1"/>
    </xf>
    <xf numFmtId="0" fontId="18" fillId="0" borderId="18" xfId="0" applyFont="1" applyBorder="1" applyAlignment="1">
      <alignment horizontal="left" vertical="top" wrapText="1"/>
    </xf>
    <xf numFmtId="0" fontId="18" fillId="0" borderId="19" xfId="0" applyFont="1" applyBorder="1" applyAlignment="1">
      <alignment horizontal="left" vertical="top" wrapText="1"/>
    </xf>
    <xf numFmtId="0" fontId="0" fillId="0" borderId="20" xfId="0" applyBorder="1" applyAlignment="1">
      <alignment horizontal="left" vertical="top" wrapText="1"/>
    </xf>
    <xf numFmtId="0" fontId="0" fillId="0" borderId="1" xfId="0" applyBorder="1" applyAlignment="1">
      <alignment horizontal="left" vertical="center" wrapText="1"/>
    </xf>
    <xf numFmtId="0" fontId="0" fillId="0" borderId="0" xfId="0" applyAlignment="1">
      <alignment horizontal="left"/>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0" fillId="0" borderId="1" xfId="0" applyBorder="1" applyAlignment="1">
      <alignment horizontal="left" vertical="top"/>
    </xf>
    <xf numFmtId="0" fontId="19" fillId="0" borderId="19" xfId="0" applyFont="1" applyBorder="1" applyAlignment="1">
      <alignment horizontal="left" vertical="top" wrapText="1"/>
    </xf>
    <xf numFmtId="165" fontId="0" fillId="13" borderId="14" xfId="0" applyNumberFormat="1" applyFill="1" applyBorder="1"/>
    <xf numFmtId="165" fontId="0" fillId="2" borderId="14" xfId="0" applyNumberFormat="1" applyFill="1" applyBorder="1"/>
    <xf numFmtId="165" fontId="0" fillId="5" borderId="14" xfId="0" applyNumberFormat="1" applyFill="1" applyBorder="1"/>
    <xf numFmtId="165" fontId="20" fillId="0" borderId="0" xfId="0" applyNumberFormat="1" applyFont="1"/>
    <xf numFmtId="164" fontId="0" fillId="0" borderId="0" xfId="0" applyNumberFormat="1" applyAlignment="1">
      <alignment horizontal="center" vertical="top" wrapText="1"/>
    </xf>
    <xf numFmtId="165" fontId="21" fillId="0" borderId="11" xfId="0" applyNumberFormat="1" applyFont="1" applyBorder="1"/>
    <xf numFmtId="1" fontId="0" fillId="0" borderId="0" xfId="0" applyNumberFormat="1"/>
    <xf numFmtId="0" fontId="3" fillId="0" borderId="0" xfId="0" applyFont="1" applyAlignment="1">
      <alignment vertical="top" wrapText="1"/>
    </xf>
    <xf numFmtId="44" fontId="0" fillId="8" borderId="5" xfId="3" applyFont="1" applyFill="1" applyBorder="1" applyAlignment="1"/>
    <xf numFmtId="165" fontId="2" fillId="3" borderId="1" xfId="0" applyNumberFormat="1" applyFont="1" applyFill="1" applyBorder="1"/>
    <xf numFmtId="0" fontId="0" fillId="2" borderId="1" xfId="0" applyFill="1" applyBorder="1"/>
    <xf numFmtId="165" fontId="3" fillId="0" borderId="21" xfId="0" applyNumberFormat="1" applyFont="1" applyBorder="1"/>
    <xf numFmtId="0" fontId="3" fillId="9" borderId="22" xfId="0" applyFont="1" applyFill="1" applyBorder="1" applyAlignment="1">
      <alignment vertical="top" wrapText="1"/>
    </xf>
    <xf numFmtId="0" fontId="0" fillId="0" borderId="6" xfId="0" applyBorder="1"/>
    <xf numFmtId="0" fontId="3" fillId="20" borderId="1" xfId="0" applyFont="1" applyFill="1" applyBorder="1" applyAlignment="1">
      <alignment vertical="top"/>
    </xf>
    <xf numFmtId="0" fontId="3" fillId="20" borderId="1" xfId="0" applyFont="1" applyFill="1" applyBorder="1" applyAlignment="1">
      <alignment vertical="top" wrapText="1"/>
    </xf>
    <xf numFmtId="165" fontId="0" fillId="20" borderId="1" xfId="0" applyNumberFormat="1" applyFill="1" applyBorder="1"/>
    <xf numFmtId="165" fontId="0" fillId="20" borderId="14" xfId="0" applyNumberFormat="1" applyFill="1" applyBorder="1"/>
    <xf numFmtId="0" fontId="22" fillId="0" borderId="0" xfId="0" applyFont="1"/>
    <xf numFmtId="44" fontId="23" fillId="0" borderId="9" xfId="3" applyFont="1" applyBorder="1"/>
    <xf numFmtId="44" fontId="20" fillId="0" borderId="0" xfId="3" applyFont="1"/>
    <xf numFmtId="0" fontId="3" fillId="0" borderId="0" xfId="0" applyFont="1" applyAlignment="1">
      <alignment horizontal="center" vertical="top" wrapText="1"/>
    </xf>
    <xf numFmtId="165" fontId="0" fillId="3" borderId="14" xfId="0" applyNumberFormat="1" applyFill="1" applyBorder="1"/>
    <xf numFmtId="165" fontId="0" fillId="0" borderId="0" xfId="0" applyNumberFormat="1" applyAlignment="1">
      <alignment horizontal="center" vertical="top" wrapText="1"/>
    </xf>
    <xf numFmtId="8" fontId="0" fillId="0" borderId="1" xfId="3" applyNumberFormat="1" applyFont="1" applyBorder="1"/>
    <xf numFmtId="8" fontId="24" fillId="0" borderId="19" xfId="0" applyNumberFormat="1" applyFont="1" applyBorder="1" applyAlignment="1">
      <alignment vertical="top" wrapText="1"/>
    </xf>
    <xf numFmtId="0" fontId="24" fillId="0" borderId="16" xfId="0" applyFont="1" applyBorder="1" applyAlignment="1">
      <alignment vertical="top" wrapText="1"/>
    </xf>
    <xf numFmtId="44" fontId="0" fillId="7" borderId="0" xfId="0" applyNumberFormat="1" applyFill="1" applyAlignment="1">
      <alignment horizontal="center" vertical="top" wrapText="1"/>
    </xf>
    <xf numFmtId="164" fontId="0" fillId="7" borderId="0" xfId="0" applyNumberFormat="1" applyFill="1" applyAlignment="1">
      <alignment horizontal="center" vertical="top" wrapText="1"/>
    </xf>
    <xf numFmtId="44" fontId="0" fillId="0" borderId="0" xfId="3" applyFont="1" applyAlignment="1">
      <alignment horizontal="center" vertical="top" wrapText="1"/>
    </xf>
    <xf numFmtId="44" fontId="23" fillId="0" borderId="0" xfId="3" applyFont="1" applyFill="1"/>
    <xf numFmtId="165" fontId="0" fillId="3" borderId="1" xfId="0" applyNumberFormat="1" applyFill="1" applyBorder="1"/>
    <xf numFmtId="165" fontId="0" fillId="0" borderId="0" xfId="0" applyNumberFormat="1"/>
    <xf numFmtId="165" fontId="0" fillId="14" borderId="0" xfId="0" applyNumberFormat="1" applyFill="1"/>
    <xf numFmtId="44" fontId="0" fillId="0" borderId="0" xfId="3" applyFont="1"/>
    <xf numFmtId="44" fontId="0" fillId="0" borderId="0" xfId="3" applyFont="1" applyFill="1"/>
    <xf numFmtId="44" fontId="2" fillId="0" borderId="0" xfId="0" applyNumberFormat="1" applyFont="1"/>
    <xf numFmtId="165" fontId="3" fillId="13" borderId="9" xfId="0" applyNumberFormat="1" applyFont="1" applyFill="1" applyBorder="1"/>
    <xf numFmtId="44" fontId="3" fillId="0" borderId="9" xfId="0" applyNumberFormat="1" applyFont="1" applyBorder="1"/>
    <xf numFmtId="44" fontId="0" fillId="0" borderId="9" xfId="3" applyFont="1" applyFill="1" applyBorder="1" applyAlignment="1">
      <alignment horizontal="center"/>
    </xf>
    <xf numFmtId="44" fontId="3" fillId="19" borderId="9" xfId="0" applyNumberFormat="1" applyFont="1" applyFill="1" applyBorder="1"/>
    <xf numFmtId="44" fontId="3" fillId="2" borderId="9" xfId="0" applyNumberFormat="1" applyFont="1" applyFill="1" applyBorder="1"/>
    <xf numFmtId="44" fontId="3" fillId="5" borderId="9" xfId="0" applyNumberFormat="1" applyFont="1" applyFill="1" applyBorder="1"/>
    <xf numFmtId="49" fontId="0" fillId="0" borderId="0" xfId="0" applyNumberFormat="1"/>
    <xf numFmtId="49" fontId="0" fillId="12" borderId="0" xfId="0" applyNumberFormat="1" applyFill="1"/>
    <xf numFmtId="49" fontId="15" fillId="0" borderId="0" xfId="0" applyNumberFormat="1" applyFont="1" applyAlignment="1">
      <alignment horizontal="left" wrapText="1"/>
    </xf>
    <xf numFmtId="49" fontId="3" fillId="0" borderId="0" xfId="0" applyNumberFormat="1" applyFont="1"/>
    <xf numFmtId="0" fontId="3" fillId="0" borderId="1" xfId="2" applyNumberFormat="1" applyFont="1" applyFill="1" applyBorder="1" applyAlignment="1">
      <alignment horizontal="center" vertical="top" wrapText="1"/>
    </xf>
    <xf numFmtId="0" fontId="3" fillId="0" borderId="6" xfId="2" applyNumberFormat="1" applyFont="1" applyFill="1" applyBorder="1" applyAlignment="1">
      <alignment horizontal="center" vertical="top" wrapText="1"/>
    </xf>
    <xf numFmtId="0" fontId="3" fillId="0" borderId="5" xfId="2" applyNumberFormat="1" applyFont="1" applyFill="1" applyBorder="1" applyAlignment="1">
      <alignment horizontal="center" vertical="top" wrapText="1"/>
    </xf>
    <xf numFmtId="49" fontId="0" fillId="19" borderId="0" xfId="0" applyNumberFormat="1" applyFill="1"/>
    <xf numFmtId="44" fontId="0" fillId="0" borderId="3" xfId="3" applyFont="1" applyBorder="1"/>
    <xf numFmtId="44" fontId="0" fillId="0" borderId="3" xfId="3" applyFont="1" applyFill="1" applyBorder="1" applyAlignment="1">
      <alignment horizontal="center"/>
    </xf>
    <xf numFmtId="44" fontId="0" fillId="0" borderId="3" xfId="3" applyFont="1" applyFill="1" applyBorder="1"/>
    <xf numFmtId="44" fontId="0" fillId="3" borderId="3" xfId="3" applyFont="1" applyFill="1" applyBorder="1" applyAlignment="1">
      <alignment horizontal="center"/>
    </xf>
    <xf numFmtId="44" fontId="0" fillId="0" borderId="3" xfId="0" applyNumberFormat="1" applyBorder="1"/>
    <xf numFmtId="17" fontId="0" fillId="0" borderId="3" xfId="0" applyNumberFormat="1" applyBorder="1"/>
    <xf numFmtId="44" fontId="0" fillId="0" borderId="23" xfId="0" applyNumberFormat="1" applyBorder="1"/>
    <xf numFmtId="8" fontId="24" fillId="0" borderId="19" xfId="0" applyNumberFormat="1" applyFont="1" applyBorder="1" applyAlignment="1">
      <alignment horizontal="left" vertical="top" wrapText="1"/>
    </xf>
    <xf numFmtId="0" fontId="24" fillId="0" borderId="0" xfId="0" applyFont="1"/>
    <xf numFmtId="8" fontId="24" fillId="0" borderId="0" xfId="0" applyNumberFormat="1" applyFont="1" applyAlignment="1">
      <alignment horizontal="left" vertical="top" wrapText="1"/>
    </xf>
    <xf numFmtId="44" fontId="26" fillId="0" borderId="1" xfId="3" applyFont="1" applyFill="1" applyBorder="1" applyAlignment="1">
      <alignment horizontal="right" vertical="top" wrapText="1"/>
    </xf>
    <xf numFmtId="0" fontId="24" fillId="0" borderId="1" xfId="0" applyFont="1" applyBorder="1" applyAlignment="1">
      <alignment vertical="top" wrapText="1"/>
    </xf>
    <xf numFmtId="8" fontId="26" fillId="0" borderId="1" xfId="3" applyNumberFormat="1" applyFont="1" applyFill="1" applyBorder="1" applyAlignment="1">
      <alignment horizontal="right" vertical="top" wrapText="1"/>
    </xf>
    <xf numFmtId="8" fontId="0" fillId="0" borderId="0" xfId="0" applyNumberFormat="1"/>
    <xf numFmtId="8" fontId="0" fillId="0" borderId="1" xfId="0" applyNumberFormat="1" applyBorder="1"/>
    <xf numFmtId="44" fontId="8" fillId="0" borderId="1" xfId="3" applyFont="1" applyBorder="1" applyAlignment="1"/>
    <xf numFmtId="44" fontId="8" fillId="0" borderId="1" xfId="3" applyFont="1" applyFill="1" applyBorder="1" applyAlignment="1"/>
    <xf numFmtId="0" fontId="8" fillId="0" borderId="1" xfId="0" applyFont="1" applyBorder="1" applyAlignment="1">
      <alignment horizontal="left" vertical="top" wrapText="1"/>
    </xf>
    <xf numFmtId="0" fontId="3" fillId="0" borderId="1" xfId="3" applyNumberFormat="1" applyFont="1" applyBorder="1" applyAlignment="1">
      <alignment horizontal="left"/>
    </xf>
    <xf numFmtId="8" fontId="0" fillId="0" borderId="8" xfId="3" applyNumberFormat="1" applyFont="1" applyBorder="1"/>
    <xf numFmtId="44" fontId="0" fillId="0" borderId="8" xfId="3" applyFont="1" applyBorder="1"/>
    <xf numFmtId="8" fontId="23" fillId="0" borderId="9" xfId="3" applyNumberFormat="1" applyFont="1" applyBorder="1"/>
    <xf numFmtId="8" fontId="0" fillId="3" borderId="1" xfId="3" applyNumberFormat="1" applyFont="1" applyFill="1" applyBorder="1"/>
    <xf numFmtId="44" fontId="0" fillId="15" borderId="8" xfId="3" applyFont="1" applyFill="1" applyBorder="1"/>
    <xf numFmtId="8" fontId="0" fillId="3" borderId="0" xfId="0" applyNumberFormat="1" applyFill="1"/>
    <xf numFmtId="49" fontId="0" fillId="3" borderId="0" xfId="0" applyNumberFormat="1" applyFill="1"/>
    <xf numFmtId="8" fontId="23" fillId="0" borderId="0" xfId="3" applyNumberFormat="1" applyFont="1" applyBorder="1"/>
    <xf numFmtId="0" fontId="0" fillId="22" borderId="0" xfId="0" applyFill="1"/>
    <xf numFmtId="17" fontId="3" fillId="22" borderId="1" xfId="0" applyNumberFormat="1" applyFont="1" applyFill="1" applyBorder="1"/>
    <xf numFmtId="0" fontId="3" fillId="22" borderId="1" xfId="0" applyFont="1" applyFill="1" applyBorder="1"/>
    <xf numFmtId="9" fontId="0" fillId="0" borderId="1" xfId="1" applyFont="1" applyBorder="1"/>
    <xf numFmtId="9" fontId="0" fillId="0" borderId="0" xfId="1" applyFont="1"/>
    <xf numFmtId="9" fontId="0" fillId="0" borderId="1" xfId="1" applyFont="1" applyFill="1" applyBorder="1"/>
    <xf numFmtId="10" fontId="0" fillId="0" borderId="1" xfId="1" applyNumberFormat="1" applyFont="1" applyFill="1" applyBorder="1"/>
    <xf numFmtId="167" fontId="0" fillId="0" borderId="0" xfId="3" applyNumberFormat="1" applyFont="1"/>
    <xf numFmtId="2" fontId="0" fillId="0" borderId="0" xfId="1" applyNumberFormat="1" applyFont="1"/>
    <xf numFmtId="8" fontId="0" fillId="3" borderId="8" xfId="3" applyNumberFormat="1" applyFont="1" applyFill="1" applyBorder="1"/>
    <xf numFmtId="9" fontId="0" fillId="21" borderId="1" xfId="1" applyFont="1" applyFill="1" applyBorder="1"/>
    <xf numFmtId="8" fontId="0" fillId="0" borderId="0" xfId="3" applyNumberFormat="1" applyFont="1"/>
    <xf numFmtId="9" fontId="31" fillId="0" borderId="12" xfId="0" applyNumberFormat="1" applyFont="1" applyBorder="1" applyAlignment="1">
      <alignment horizontal="center"/>
    </xf>
    <xf numFmtId="0" fontId="0" fillId="0" borderId="1" xfId="3" applyNumberFormat="1" applyFont="1" applyBorder="1"/>
    <xf numFmtId="0" fontId="0" fillId="0" borderId="0" xfId="3" applyNumberFormat="1" applyFont="1"/>
    <xf numFmtId="8" fontId="0" fillId="0" borderId="8" xfId="0" applyNumberFormat="1" applyBorder="1"/>
    <xf numFmtId="0" fontId="3" fillId="0" borderId="8" xfId="0" applyFont="1" applyBorder="1" applyAlignment="1">
      <alignment horizontal="left" vertical="top"/>
    </xf>
    <xf numFmtId="0" fontId="9" fillId="0" borderId="0" xfId="0" applyFont="1" applyAlignment="1">
      <alignment horizontal="left"/>
    </xf>
    <xf numFmtId="0" fontId="3" fillId="6" borderId="1" xfId="0" applyFont="1" applyFill="1" applyBorder="1" applyAlignment="1">
      <alignment horizontal="left" wrapText="1"/>
    </xf>
    <xf numFmtId="0" fontId="0" fillId="7" borderId="1" xfId="0" applyFill="1" applyBorder="1" applyAlignment="1">
      <alignment horizontal="left" vertical="top"/>
    </xf>
    <xf numFmtId="0" fontId="25" fillId="0" borderId="0" xfId="0" applyFont="1" applyAlignment="1">
      <alignment horizontal="left"/>
    </xf>
    <xf numFmtId="0" fontId="0" fillId="0" borderId="3" xfId="0" applyBorder="1" applyAlignment="1">
      <alignment horizontal="left" vertical="top"/>
    </xf>
    <xf numFmtId="0" fontId="22" fillId="0" borderId="0" xfId="0" applyFont="1" applyAlignment="1">
      <alignment horizontal="center"/>
    </xf>
  </cellXfs>
  <cellStyles count="6">
    <cellStyle name="Comma" xfId="2" builtinId="3"/>
    <cellStyle name="Comma 2" xfId="5" xr:uid="{00000000-0005-0000-0000-000001000000}"/>
    <cellStyle name="Currency" xfId="3" builtinId="4"/>
    <cellStyle name="Hyperlink" xfId="4" builtinId="8"/>
    <cellStyle name="Normal" xfId="0" builtinId="0"/>
    <cellStyle name="Percent" xfId="1" builtinId="5"/>
  </cellStyles>
  <dxfs count="81">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border diagonalUp="0" diagonalDown="0" outline="0">
        <left style="thin">
          <color indexed="64"/>
        </left>
        <right style="thin">
          <color indexed="64"/>
        </right>
        <top style="thin">
          <color indexed="64"/>
        </top>
        <bottom style="thin">
          <color indexed="64"/>
        </bottom>
      </border>
    </dxf>
    <dxf>
      <numFmt numFmtId="164" formatCode="&quot;R&quot;#,##0.00"/>
      <fill>
        <patternFill patternType="solid">
          <fgColor indexed="64"/>
          <bgColor theme="9"/>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numFmt numFmtId="164" formatCode="&quot;R&quot;#,##0.00"/>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numFmt numFmtId="164" formatCode="&quot;R&quot;#,##0.0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Calibri"/>
        <scheme val="minor"/>
      </font>
      <numFmt numFmtId="34" formatCode="_-&quot;R&quot;* #,##0.00_-;\-&quot;R&quot;* #,##0.00_-;_-&quot;R&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numFmt numFmtId="164" formatCode="&quot;R&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numFmt numFmtId="164" formatCode="&quot;R&quot;#,##0.00"/>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Members Contribution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Recon!$J$1:$P$1</c:f>
              <c:strCache>
                <c:ptCount val="7"/>
                <c:pt idx="0">
                  <c:v>Members in good standing (not owing)</c:v>
                </c:pt>
                <c:pt idx="1">
                  <c:v>Members owing &lt; 10%</c:v>
                </c:pt>
                <c:pt idx="2">
                  <c:v>Members owing &lt; 20%</c:v>
                </c:pt>
                <c:pt idx="3">
                  <c:v>Members owing &lt; 30%</c:v>
                </c:pt>
                <c:pt idx="4">
                  <c:v>Members owing &lt; 50%</c:v>
                </c:pt>
                <c:pt idx="5">
                  <c:v>Members owing &lt; 65%</c:v>
                </c:pt>
                <c:pt idx="6">
                  <c:v>Members owing &gt; 65%</c:v>
                </c:pt>
              </c:strCache>
            </c:strRef>
          </c:cat>
          <c:val>
            <c:numRef>
              <c:f>Recon!$J$2:$P$2</c:f>
              <c:numCache>
                <c:formatCode>General</c:formatCode>
                <c:ptCount val="7"/>
                <c:pt idx="0">
                  <c:v>9</c:v>
                </c:pt>
                <c:pt idx="1">
                  <c:v>2</c:v>
                </c:pt>
                <c:pt idx="2">
                  <c:v>4</c:v>
                </c:pt>
                <c:pt idx="3">
                  <c:v>1</c:v>
                </c:pt>
                <c:pt idx="4">
                  <c:v>2</c:v>
                </c:pt>
                <c:pt idx="5">
                  <c:v>2</c:v>
                </c:pt>
                <c:pt idx="6">
                  <c:v>67</c:v>
                </c:pt>
              </c:numCache>
            </c:numRef>
          </c:val>
          <c:extLst>
            <c:ext xmlns:c16="http://schemas.microsoft.com/office/drawing/2014/chart" uri="{C3380CC4-5D6E-409C-BE32-E72D297353CC}">
              <c16:uniqueId val="{00000000-B401-44B2-A55A-C49C4D054BB6}"/>
            </c:ext>
          </c:extLst>
        </c:ser>
        <c:ser>
          <c:idx val="1"/>
          <c:order val="1"/>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Recon!$J$1:$P$1</c:f>
              <c:strCache>
                <c:ptCount val="7"/>
                <c:pt idx="0">
                  <c:v>Members in good standing (not owing)</c:v>
                </c:pt>
                <c:pt idx="1">
                  <c:v>Members owing &lt; 10%</c:v>
                </c:pt>
                <c:pt idx="2">
                  <c:v>Members owing &lt; 20%</c:v>
                </c:pt>
                <c:pt idx="3">
                  <c:v>Members owing &lt; 30%</c:v>
                </c:pt>
                <c:pt idx="4">
                  <c:v>Members owing &lt; 50%</c:v>
                </c:pt>
                <c:pt idx="5">
                  <c:v>Members owing &lt; 65%</c:v>
                </c:pt>
                <c:pt idx="6">
                  <c:v>Members owing &gt; 65%</c:v>
                </c:pt>
              </c:strCache>
            </c:strRef>
          </c:cat>
          <c:val>
            <c:numRef>
              <c:f>Recon!$H$2</c:f>
              <c:numCache>
                <c:formatCode>"R"#\ ##0.00</c:formatCode>
                <c:ptCount val="1"/>
              </c:numCache>
            </c:numRef>
          </c:val>
          <c:extLst>
            <c:ext xmlns:c16="http://schemas.microsoft.com/office/drawing/2014/chart" uri="{C3380CC4-5D6E-409C-BE32-E72D297353CC}">
              <c16:uniqueId val="{00000001-B401-44B2-A55A-C49C4D054BB6}"/>
            </c:ext>
          </c:extLst>
        </c:ser>
        <c:dLbls>
          <c:dLblPos val="outEnd"/>
          <c:showLegendKey val="0"/>
          <c:showVal val="1"/>
          <c:showCatName val="0"/>
          <c:showSerName val="0"/>
          <c:showPercent val="0"/>
          <c:showBubbleSize val="0"/>
        </c:dLbls>
        <c:gapWidth val="164"/>
        <c:overlap val="-22"/>
        <c:axId val="287547456"/>
        <c:axId val="287551768"/>
      </c:barChart>
      <c:catAx>
        <c:axId val="287547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51768"/>
        <c:crosses val="autoZero"/>
        <c:auto val="1"/>
        <c:lblAlgn val="ctr"/>
        <c:lblOffset val="100"/>
        <c:noMultiLvlLbl val="0"/>
      </c:catAx>
      <c:valAx>
        <c:axId val="287551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4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MEMBERS CONTRIBUTION IN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Recon!$J$20:$P$20</c:f>
              <c:strCache>
                <c:ptCount val="7"/>
                <c:pt idx="0">
                  <c:v>Members in good standing (not owing)</c:v>
                </c:pt>
                <c:pt idx="1">
                  <c:v>Members owing &lt; 10%</c:v>
                </c:pt>
                <c:pt idx="2">
                  <c:v>Members owing &lt; 20%</c:v>
                </c:pt>
                <c:pt idx="3">
                  <c:v>Members owing &lt; 30%</c:v>
                </c:pt>
                <c:pt idx="4">
                  <c:v>Members owing &lt; 50%</c:v>
                </c:pt>
                <c:pt idx="5">
                  <c:v>Members owing &lt; 65%</c:v>
                </c:pt>
                <c:pt idx="6">
                  <c:v>Members owing &gt; 65%</c:v>
                </c:pt>
              </c:strCache>
            </c:strRef>
          </c:cat>
          <c:val>
            <c:numRef>
              <c:f>Recon!$J$21:$P$21</c:f>
              <c:numCache>
                <c:formatCode>0%</c:formatCode>
                <c:ptCount val="7"/>
                <c:pt idx="0">
                  <c:v>0.10465116279069768</c:v>
                </c:pt>
                <c:pt idx="1">
                  <c:v>2.3255813953488372E-2</c:v>
                </c:pt>
                <c:pt idx="2">
                  <c:v>4.6511627906976744E-2</c:v>
                </c:pt>
                <c:pt idx="3">
                  <c:v>1.1627906976744186E-2</c:v>
                </c:pt>
                <c:pt idx="4">
                  <c:v>2.3255813953488372E-2</c:v>
                </c:pt>
                <c:pt idx="5">
                  <c:v>2.3255813953488372E-2</c:v>
                </c:pt>
                <c:pt idx="6">
                  <c:v>0.77906976744186052</c:v>
                </c:pt>
              </c:numCache>
            </c:numRef>
          </c:val>
          <c:extLst>
            <c:ext xmlns:c16="http://schemas.microsoft.com/office/drawing/2014/chart" uri="{C3380CC4-5D6E-409C-BE32-E72D297353CC}">
              <c16:uniqueId val="{00000000-72F6-4BD7-BC21-EE9BBA0D3217}"/>
            </c:ext>
          </c:extLst>
        </c:ser>
        <c:dLbls>
          <c:showLegendKey val="0"/>
          <c:showVal val="0"/>
          <c:showCatName val="0"/>
          <c:showSerName val="0"/>
          <c:showPercent val="0"/>
          <c:showBubbleSize val="0"/>
        </c:dLbls>
        <c:gapWidth val="164"/>
        <c:overlap val="-22"/>
        <c:axId val="287554904"/>
        <c:axId val="287554120"/>
      </c:barChart>
      <c:catAx>
        <c:axId val="2875549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54120"/>
        <c:crosses val="autoZero"/>
        <c:auto val="1"/>
        <c:lblAlgn val="ctr"/>
        <c:lblOffset val="100"/>
        <c:noMultiLvlLbl val="0"/>
      </c:catAx>
      <c:valAx>
        <c:axId val="2875541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5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of members contributed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Dashboard!$A$3:$A$6</c:f>
              <c:strCache>
                <c:ptCount val="4"/>
                <c:pt idx="0">
                  <c:v>Number of members contributed 2020/21</c:v>
                </c:pt>
                <c:pt idx="1">
                  <c:v>Number of members contributed 2021/22</c:v>
                </c:pt>
                <c:pt idx="2">
                  <c:v>Number of members contributed 2022/23</c:v>
                </c:pt>
                <c:pt idx="3">
                  <c:v>Number of members contributed 2023/24</c:v>
                </c:pt>
              </c:strCache>
            </c:strRef>
          </c:cat>
          <c:val>
            <c:numRef>
              <c:f>Dashboard!$B$3:$B$6</c:f>
              <c:numCache>
                <c:formatCode>0%</c:formatCode>
                <c:ptCount val="4"/>
                <c:pt idx="0">
                  <c:v>0.67441860465116277</c:v>
                </c:pt>
                <c:pt idx="1">
                  <c:v>0.54651162790697672</c:v>
                </c:pt>
                <c:pt idx="2">
                  <c:v>0.63953488372093026</c:v>
                </c:pt>
                <c:pt idx="3">
                  <c:v>0.30985915492957744</c:v>
                </c:pt>
              </c:numCache>
            </c:numRef>
          </c:val>
          <c:extLst>
            <c:ext xmlns:c16="http://schemas.microsoft.com/office/drawing/2014/chart" uri="{C3380CC4-5D6E-409C-BE32-E72D297353CC}">
              <c16:uniqueId val="{00000000-196D-4C65-BEBD-3BCD95ED63B7}"/>
            </c:ext>
          </c:extLst>
        </c:ser>
        <c:dLbls>
          <c:showLegendKey val="0"/>
          <c:showVal val="0"/>
          <c:showCatName val="0"/>
          <c:showSerName val="0"/>
          <c:showPercent val="0"/>
          <c:showBubbleSize val="0"/>
        </c:dLbls>
        <c:gapWidth val="100"/>
        <c:overlap val="-24"/>
        <c:axId val="287552944"/>
        <c:axId val="287553336"/>
      </c:barChart>
      <c:catAx>
        <c:axId val="287552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53336"/>
        <c:crosses val="autoZero"/>
        <c:auto val="1"/>
        <c:lblAlgn val="ctr"/>
        <c:lblOffset val="100"/>
        <c:noMultiLvlLbl val="0"/>
      </c:catAx>
      <c:valAx>
        <c:axId val="287553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52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r>
              <a:rPr lang="en-US" b="1"/>
              <a:t>Total Contribution by Year</a:t>
            </a: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72665117465246"/>
          <c:y val="0.16110137237045868"/>
          <c:w val="0.85709233365931026"/>
          <c:h val="0.68520329087705301"/>
        </c:manualLayout>
      </c:layout>
      <c:barChart>
        <c:barDir val="col"/>
        <c:grouping val="clustered"/>
        <c:varyColors val="0"/>
        <c:ser>
          <c:idx val="0"/>
          <c:order val="0"/>
          <c:spPr>
            <a:solidFill>
              <a:schemeClr val="accent1">
                <a:lumMod val="20000"/>
                <a:lumOff val="80000"/>
              </a:schemeClr>
            </a:solid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Dashboard!$A$8:$A$11</c:f>
              <c:strCache>
                <c:ptCount val="4"/>
                <c:pt idx="0">
                  <c:v>Total contributions</c:v>
                </c:pt>
                <c:pt idx="1">
                  <c:v>Total contributions 2019/20</c:v>
                </c:pt>
                <c:pt idx="2">
                  <c:v>Total contributions 2020/21</c:v>
                </c:pt>
                <c:pt idx="3">
                  <c:v>Total contributions 2021/22</c:v>
                </c:pt>
              </c:strCache>
            </c:strRef>
          </c:cat>
          <c:val>
            <c:numRef>
              <c:f>Dashboard!$B$8:$B$11</c:f>
              <c:numCache>
                <c:formatCode>_("R"* #,##0.00_);_("R"* \(#,##0.00\);_("R"* "-"??_);_(@_)</c:formatCode>
                <c:ptCount val="4"/>
                <c:pt idx="0">
                  <c:v>326892.70999999996</c:v>
                </c:pt>
                <c:pt idx="1">
                  <c:v>107188.89</c:v>
                </c:pt>
                <c:pt idx="2">
                  <c:v>88663.819999999992</c:v>
                </c:pt>
                <c:pt idx="3">
                  <c:v>79640</c:v>
                </c:pt>
              </c:numCache>
            </c:numRef>
          </c:val>
          <c:extLst>
            <c:ext xmlns:c16="http://schemas.microsoft.com/office/drawing/2014/chart" uri="{C3380CC4-5D6E-409C-BE32-E72D297353CC}">
              <c16:uniqueId val="{00000000-1B10-4ED5-B92E-EA6601430C3B}"/>
            </c:ext>
          </c:extLst>
        </c:ser>
        <c:dLbls>
          <c:showLegendKey val="0"/>
          <c:showVal val="0"/>
          <c:showCatName val="0"/>
          <c:showSerName val="0"/>
          <c:showPercent val="0"/>
          <c:showBubbleSize val="0"/>
        </c:dLbls>
        <c:gapWidth val="164"/>
        <c:overlap val="-35"/>
        <c:axId val="287553728"/>
        <c:axId val="510727224"/>
      </c:barChart>
      <c:catAx>
        <c:axId val="28755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510727224"/>
        <c:crosses val="autoZero"/>
        <c:auto val="1"/>
        <c:lblAlgn val="ctr"/>
        <c:lblOffset val="100"/>
        <c:noMultiLvlLbl val="0"/>
      </c:catAx>
      <c:valAx>
        <c:axId val="510727224"/>
        <c:scaling>
          <c:orientation val="minMax"/>
        </c:scaling>
        <c:delete val="0"/>
        <c:axPos val="l"/>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50000"/>
                    <a:lumOff val="50000"/>
                  </a:schemeClr>
                </a:solidFill>
                <a:latin typeface="+mn-lt"/>
                <a:ea typeface="+mn-ea"/>
                <a:cs typeface="+mn-cs"/>
              </a:defRPr>
            </a:pPr>
            <a:endParaRPr lang="en-US"/>
          </a:p>
        </c:txPr>
        <c:crossAx val="287553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Total Penalty charge per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1"/>
          <c:showCatName val="0"/>
          <c:showSerName val="0"/>
          <c:showPercent val="0"/>
          <c:showBubbleSize val="0"/>
        </c:dLbls>
        <c:gapWidth val="65"/>
        <c:shape val="box"/>
        <c:axId val="510722912"/>
        <c:axId val="510723304"/>
        <c:axId val="0"/>
        <c:extLst>
          <c:ext xmlns:c15="http://schemas.microsoft.com/office/drawing/2012/chart" uri="{02D57815-91ED-43cb-92C2-25804820EDAC}">
            <c15:filteredBarSeries>
              <c15:ser>
                <c:idx val="0"/>
                <c:order val="0"/>
                <c:tx>
                  <c:strRef>
                    <c:extLst>
                      <c:ext uri="{02D57815-91ED-43cb-92C2-25804820EDAC}">
                        <c15:formulaRef>
                          <c15:sqref>Dashboard!$A$15</c15:sqref>
                        </c15:formulaRef>
                      </c:ext>
                    </c:extLst>
                    <c:strCache>
                      <c:ptCount val="1"/>
                      <c:pt idx="0">
                        <c:v>Total Penalty charged</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ullRef>
                          <c15:sqref>Dashboard!$B$15</c15:sqref>
                        </c15:fullRef>
                        <c15:formulaRef>
                          <c15:sqref/>
                        </c15:formulaRef>
                      </c:ext>
                    </c:extLst>
                    <c:numCache>
                      <c:formatCode>"R"#\ ##0.00</c:formatCode>
                      <c:ptCount val="0"/>
                    </c:numCache>
                  </c:numRef>
                </c:val>
                <c:extLst>
                  <c:ext xmlns:c16="http://schemas.microsoft.com/office/drawing/2014/chart" uri="{C3380CC4-5D6E-409C-BE32-E72D297353CC}">
                    <c16:uniqueId val="{00000000-05D9-4538-849E-DDD3B3FC476D}"/>
                  </c:ext>
                </c:extLst>
              </c15:ser>
            </c15:filteredBarSeries>
            <c15:filteredBarSeries>
              <c15:ser>
                <c:idx val="2"/>
                <c:order val="1"/>
                <c:tx>
                  <c:strRef>
                    <c:extLst xmlns:c15="http://schemas.microsoft.com/office/drawing/2012/chart">
                      <c:ext xmlns:c15="http://schemas.microsoft.com/office/drawing/2012/chart" uri="{02D57815-91ED-43cb-92C2-25804820EDAC}">
                        <c15:formulaRef>
                          <c15:sqref>Dashboard!$A$16</c15:sqref>
                        </c15:formulaRef>
                      </c:ext>
                    </c:extLst>
                    <c:strCache>
                      <c:ptCount val="1"/>
                      <c:pt idx="0">
                        <c:v>Total penalty 2019/20</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extLst>
                      <c:ext xmlns:c15="http://schemas.microsoft.com/office/drawing/2012/chart" uri="{02D57815-91ED-43cb-92C2-25804820EDAC}">
                        <c15:fullRef>
                          <c15:sqref>Dashboard!$B$16</c15:sqref>
                        </c15:fullRef>
                        <c15:formulaRef>
                          <c15:sqref/>
                        </c15:formulaRef>
                      </c:ext>
                    </c:extLst>
                    <c:numCache>
                      <c:formatCode>"R"#\ ##0.00</c:formatCode>
                      <c:ptCount val="0"/>
                    </c:numCache>
                  </c:numRef>
                </c:val>
                <c:extLst xmlns:c15="http://schemas.microsoft.com/office/drawing/2012/chart">
                  <c:ext xmlns:c16="http://schemas.microsoft.com/office/drawing/2014/chart" uri="{C3380CC4-5D6E-409C-BE32-E72D297353CC}">
                    <c16:uniqueId val="{00000002-05D9-4538-849E-DDD3B3FC476D}"/>
                  </c:ext>
                </c:extLst>
              </c15:ser>
            </c15:filteredBarSeries>
            <c15:filteredBarSeries>
              <c15:ser>
                <c:idx val="3"/>
                <c:order val="2"/>
                <c:tx>
                  <c:strRef>
                    <c:extLst xmlns:c15="http://schemas.microsoft.com/office/drawing/2012/chart">
                      <c:ext xmlns:c15="http://schemas.microsoft.com/office/drawing/2012/chart" uri="{02D57815-91ED-43cb-92C2-25804820EDAC}">
                        <c15:formulaRef>
                          <c15:sqref>Dashboard!$A$17</c15:sqref>
                        </c15:formulaRef>
                      </c:ext>
                    </c:extLst>
                    <c:strCache>
                      <c:ptCount val="1"/>
                      <c:pt idx="0">
                        <c:v>Total penalty 2020/21</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extLst>
                      <c:ext xmlns:c15="http://schemas.microsoft.com/office/drawing/2012/chart" uri="{02D57815-91ED-43cb-92C2-25804820EDAC}">
                        <c15:fullRef>
                          <c15:sqref>Dashboard!$B$17</c15:sqref>
                        </c15:fullRef>
                        <c15:formulaRef>
                          <c15:sqref/>
                        </c15:formulaRef>
                      </c:ext>
                    </c:extLst>
                    <c:numCache>
                      <c:formatCode>"R"#\ ##0.00</c:formatCode>
                      <c:ptCount val="0"/>
                    </c:numCache>
                  </c:numRef>
                </c:val>
                <c:extLst xmlns:c15="http://schemas.microsoft.com/office/drawing/2012/chart">
                  <c:ext xmlns:c16="http://schemas.microsoft.com/office/drawing/2014/chart" uri="{C3380CC4-5D6E-409C-BE32-E72D297353CC}">
                    <c16:uniqueId val="{00000003-05D9-4538-849E-DDD3B3FC476D}"/>
                  </c:ext>
                </c:extLst>
              </c15:ser>
            </c15:filteredBarSeries>
            <c15:filteredBarSeries>
              <c15:ser>
                <c:idx val="4"/>
                <c:order val="3"/>
                <c:tx>
                  <c:strRef>
                    <c:extLst xmlns:c15="http://schemas.microsoft.com/office/drawing/2012/chart">
                      <c:ext xmlns:c15="http://schemas.microsoft.com/office/drawing/2012/chart" uri="{02D57815-91ED-43cb-92C2-25804820EDAC}">
                        <c15:formulaRef>
                          <c15:sqref>Dashboard!$A$18</c15:sqref>
                        </c15:formulaRef>
                      </c:ext>
                    </c:extLst>
                    <c:strCache>
                      <c:ptCount val="1"/>
                      <c:pt idx="0">
                        <c:v>Total penalty 2021/22</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extLst>
                      <c:ext xmlns:c15="http://schemas.microsoft.com/office/drawing/2012/chart" uri="{02D57815-91ED-43cb-92C2-25804820EDAC}">
                        <c15:fullRef>
                          <c15:sqref>Dashboard!$B$18</c15:sqref>
                        </c15:fullRef>
                        <c15:formulaRef>
                          <c15:sqref/>
                        </c15:formulaRef>
                      </c:ext>
                    </c:extLst>
                    <c:numCache>
                      <c:formatCode>"R"#\ ##0.00</c:formatCode>
                      <c:ptCount val="0"/>
                    </c:numCache>
                  </c:numRef>
                </c:val>
                <c:extLst xmlns:c15="http://schemas.microsoft.com/office/drawing/2012/chart">
                  <c:ext xmlns:c16="http://schemas.microsoft.com/office/drawing/2014/chart" uri="{C3380CC4-5D6E-409C-BE32-E72D297353CC}">
                    <c16:uniqueId val="{00000004-05D9-4538-849E-DDD3B3FC476D}"/>
                  </c:ext>
                </c:extLst>
              </c15:ser>
            </c15:filteredBarSeries>
          </c:ext>
        </c:extLst>
      </c:bar3DChart>
      <c:catAx>
        <c:axId val="510722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0723304"/>
        <c:crosses val="autoZero"/>
        <c:auto val="1"/>
        <c:lblAlgn val="ctr"/>
        <c:lblOffset val="100"/>
        <c:noMultiLvlLbl val="0"/>
      </c:catAx>
      <c:valAx>
        <c:axId val="510723304"/>
        <c:scaling>
          <c:orientation val="minMax"/>
        </c:scaling>
        <c:delete val="0"/>
        <c:axPos val="l"/>
        <c:majorGridlines>
          <c:spPr>
            <a:ln w="9525" cap="flat" cmpd="sng" algn="ctr">
              <a:solidFill>
                <a:schemeClr val="dk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crossAx val="51072291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Capped Penalty Fee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Dashboard!$A$30</c:f>
              <c:strCache>
                <c:ptCount val="1"/>
                <c:pt idx="0">
                  <c:v>Total Penalty charged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0598031036041818E-2"/>
                  <c:y val="-6.4889901125929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F1-4F3F-9986-39A9263703E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Dashboard!$B$30</c:f>
              <c:numCache>
                <c:formatCode>"R"#\ ##0.00</c:formatCode>
                <c:ptCount val="1"/>
                <c:pt idx="0">
                  <c:v>1987035.5864561559</c:v>
                </c:pt>
              </c:numCache>
            </c:numRef>
          </c:val>
          <c:extLst>
            <c:ext xmlns:c16="http://schemas.microsoft.com/office/drawing/2014/chart" uri="{C3380CC4-5D6E-409C-BE32-E72D297353CC}">
              <c16:uniqueId val="{00000000-2FF1-4F3F-9986-39A9263703EB}"/>
            </c:ext>
          </c:extLst>
        </c:ser>
        <c:ser>
          <c:idx val="1"/>
          <c:order val="1"/>
          <c:tx>
            <c:strRef>
              <c:f>Dashboard!$A$31</c:f>
              <c:strCache>
                <c:ptCount val="1"/>
                <c:pt idx="0">
                  <c:v>Total penalty Capped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3.6033305522542178E-2"/>
                  <c:y val="-6.4889901125929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F1-4F3F-9986-39A9263703E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Dashboard!$B$31</c:f>
              <c:numCache>
                <c:formatCode>"R"#\ ##0.00</c:formatCode>
                <c:ptCount val="1"/>
                <c:pt idx="0">
                  <c:v>513679.02611839637</c:v>
                </c:pt>
              </c:numCache>
            </c:numRef>
          </c:val>
          <c:extLst>
            <c:ext xmlns:c16="http://schemas.microsoft.com/office/drawing/2014/chart" uri="{C3380CC4-5D6E-409C-BE32-E72D297353CC}">
              <c16:uniqueId val="{00000001-2FF1-4F3F-9986-39A9263703EB}"/>
            </c:ext>
          </c:extLst>
        </c:ser>
        <c:ser>
          <c:idx val="2"/>
          <c:order val="2"/>
          <c:tx>
            <c:strRef>
              <c:f>Dashboard!$A$32</c:f>
              <c:strCache>
                <c:ptCount val="1"/>
                <c:pt idx="0">
                  <c:v>Total penalty due 2022/23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4.8750942765792282E-2"/>
                  <c:y val="-6.0834282305558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F1-4F3F-9986-39A9263703E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Dashboard!$B$32</c:f>
              <c:numCache>
                <c:formatCode>"R"#\ ##0.00</c:formatCode>
                <c:ptCount val="1"/>
                <c:pt idx="0">
                  <c:v>1473356.5603377593</c:v>
                </c:pt>
              </c:numCache>
            </c:numRef>
          </c:val>
          <c:extLst>
            <c:ext xmlns:c16="http://schemas.microsoft.com/office/drawing/2014/chart" uri="{C3380CC4-5D6E-409C-BE32-E72D297353CC}">
              <c16:uniqueId val="{00000002-2FF1-4F3F-9986-39A9263703EB}"/>
            </c:ext>
          </c:extLst>
        </c:ser>
        <c:dLbls>
          <c:showLegendKey val="0"/>
          <c:showVal val="0"/>
          <c:showCatName val="0"/>
          <c:showSerName val="0"/>
          <c:showPercent val="0"/>
          <c:showBubbleSize val="0"/>
        </c:dLbls>
        <c:gapWidth val="150"/>
        <c:shape val="box"/>
        <c:axId val="510727616"/>
        <c:axId val="510728008"/>
        <c:axId val="0"/>
      </c:bar3DChart>
      <c:catAx>
        <c:axId val="510727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28008"/>
        <c:crosses val="autoZero"/>
        <c:auto val="1"/>
        <c:lblAlgn val="ctr"/>
        <c:lblOffset val="100"/>
        <c:noMultiLvlLbl val="0"/>
      </c:catAx>
      <c:valAx>
        <c:axId val="510728008"/>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27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Dashboard!$B$59</c:f>
              <c:strCache>
                <c:ptCount val="1"/>
                <c:pt idx="0">
                  <c:v>Contributions</c:v>
                </c:pt>
              </c:strCache>
            </c:strRef>
          </c:tx>
          <c:spPr>
            <a:solidFill>
              <a:schemeClr val="accent1"/>
            </a:solidFill>
            <a:ln>
              <a:noFill/>
            </a:ln>
            <a:effectLst/>
          </c:spPr>
          <c:invertIfNegative val="0"/>
          <c:cat>
            <c:strRef>
              <c:f>Dashboard!$A$60:$A$71</c:f>
              <c:strCache>
                <c:ptCount val="12"/>
                <c:pt idx="0">
                  <c:v>July </c:v>
                </c:pt>
                <c:pt idx="1">
                  <c:v>Aug</c:v>
                </c:pt>
                <c:pt idx="2">
                  <c:v>Sep</c:v>
                </c:pt>
                <c:pt idx="3">
                  <c:v>Oct</c:v>
                </c:pt>
                <c:pt idx="4">
                  <c:v>Nov</c:v>
                </c:pt>
                <c:pt idx="5">
                  <c:v>Dec</c:v>
                </c:pt>
                <c:pt idx="6">
                  <c:v>Jan</c:v>
                </c:pt>
                <c:pt idx="7">
                  <c:v>Feb</c:v>
                </c:pt>
                <c:pt idx="8">
                  <c:v>Mar</c:v>
                </c:pt>
                <c:pt idx="9">
                  <c:v>April</c:v>
                </c:pt>
                <c:pt idx="10">
                  <c:v>May</c:v>
                </c:pt>
                <c:pt idx="11">
                  <c:v>Jun</c:v>
                </c:pt>
              </c:strCache>
            </c:strRef>
          </c:cat>
          <c:val>
            <c:numRef>
              <c:f>Dashboard!$B$60:$B$71</c:f>
              <c:numCache>
                <c:formatCode>_-[$R-1C09]* #\ ##0.00_-;\-[$R-1C09]* #\ ##0.00_-;_-[$R-1C09]* "-"??_-;_-@_-</c:formatCode>
                <c:ptCount val="12"/>
                <c:pt idx="0">
                  <c:v>5100</c:v>
                </c:pt>
                <c:pt idx="1">
                  <c:v>1650</c:v>
                </c:pt>
                <c:pt idx="2">
                  <c:v>6450</c:v>
                </c:pt>
                <c:pt idx="3">
                  <c:v>3700</c:v>
                </c:pt>
                <c:pt idx="4">
                  <c:v>3600</c:v>
                </c:pt>
                <c:pt idx="5">
                  <c:v>3000</c:v>
                </c:pt>
                <c:pt idx="6">
                  <c:v>4200</c:v>
                </c:pt>
                <c:pt idx="7">
                  <c:v>5900</c:v>
                </c:pt>
                <c:pt idx="8" formatCode="_(&quot;R&quot;* #,##0.00_);_(&quot;R&quot;* \(#,##0.00\);_(&quot;R&quot;* &quot;-&quot;??_);_(@_)">
                  <c:v>3700</c:v>
                </c:pt>
                <c:pt idx="9" formatCode="_(&quot;R&quot;* #,##0.00_);_(&quot;R&quot;* \(#,##0.00\);_(&quot;R&quot;* &quot;-&quot;??_);_(@_)">
                  <c:v>4100</c:v>
                </c:pt>
                <c:pt idx="10" formatCode="_(&quot;R&quot;* #,##0.00_);_(&quot;R&quot;* \(#,##0.00\);_(&quot;R&quot;* &quot;-&quot;??_);_(@_)">
                  <c:v>4400</c:v>
                </c:pt>
                <c:pt idx="11" formatCode="_(&quot;R&quot;* #,##0.00_);_(&quot;R&quot;* \(#,##0.00\);_(&quot;R&quot;* &quot;-&quot;??_);_(@_)">
                  <c:v>5600</c:v>
                </c:pt>
              </c:numCache>
            </c:numRef>
          </c:val>
          <c:extLst>
            <c:ext xmlns:c16="http://schemas.microsoft.com/office/drawing/2014/chart" uri="{C3380CC4-5D6E-409C-BE32-E72D297353CC}">
              <c16:uniqueId val="{00000000-395C-45CE-AB2C-C4DB21178D56}"/>
            </c:ext>
          </c:extLst>
        </c:ser>
        <c:dLbls>
          <c:showLegendKey val="0"/>
          <c:showVal val="0"/>
          <c:showCatName val="0"/>
          <c:showSerName val="0"/>
          <c:showPercent val="0"/>
          <c:showBubbleSize val="0"/>
        </c:dLbls>
        <c:gapWidth val="219"/>
        <c:axId val="510723696"/>
        <c:axId val="510728400"/>
      </c:barChart>
      <c:catAx>
        <c:axId val="51072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0728400"/>
        <c:crosses val="autoZero"/>
        <c:auto val="1"/>
        <c:lblAlgn val="ctr"/>
        <c:lblOffset val="100"/>
        <c:noMultiLvlLbl val="0"/>
      </c:catAx>
      <c:valAx>
        <c:axId val="510728400"/>
        <c:scaling>
          <c:orientation val="minMax"/>
        </c:scaling>
        <c:delete val="0"/>
        <c:axPos val="l"/>
        <c:majorGridlines>
          <c:spPr>
            <a:ln w="9525" cap="flat" cmpd="sng" algn="ctr">
              <a:solidFill>
                <a:schemeClr val="bg1">
                  <a:lumMod val="75000"/>
                </a:schemeClr>
              </a:solidFill>
              <a:round/>
            </a:ln>
            <a:effectLst/>
          </c:spPr>
        </c:majorGridlines>
        <c:numFmt formatCode="_-[$R-1C09]* #\ ##0.00_-;\-[$R-1C09]* #\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0723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Contributions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Dashboard!$A$47:$A$52</c:f>
              <c:strCache>
                <c:ptCount val="6"/>
                <c:pt idx="0">
                  <c:v>Ave monthly contribution 2018/19</c:v>
                </c:pt>
                <c:pt idx="1">
                  <c:v>Ave monthly contribution 2019/20</c:v>
                </c:pt>
                <c:pt idx="2">
                  <c:v>Ave monthly contribution 2020/21</c:v>
                </c:pt>
                <c:pt idx="3">
                  <c:v>Ave monthly contribution 2021/22</c:v>
                </c:pt>
                <c:pt idx="4">
                  <c:v>Ave monthly contribution 2022/23</c:v>
                </c:pt>
                <c:pt idx="5">
                  <c:v>Ave monthly contribution 2023/24</c:v>
                </c:pt>
              </c:strCache>
            </c:strRef>
          </c:cat>
          <c:val>
            <c:numRef>
              <c:f>Dashboard!$B$47:$B$52</c:f>
              <c:numCache>
                <c:formatCode>_("R"* #,##0.00_);_("R"* \(#,##0.00\);_("R"* "-"??_);_(@_)</c:formatCode>
                <c:ptCount val="6"/>
                <c:pt idx="0">
                  <c:v>9175.8333333333339</c:v>
                </c:pt>
                <c:pt idx="1">
                  <c:v>9099.0741666666672</c:v>
                </c:pt>
                <c:pt idx="2">
                  <c:v>7388.6516666666676</c:v>
                </c:pt>
                <c:pt idx="3">
                  <c:v>6398.75</c:v>
                </c:pt>
                <c:pt idx="4">
                  <c:v>4916.67</c:v>
                </c:pt>
                <c:pt idx="5">
                  <c:v>4144.4444444444443</c:v>
                </c:pt>
              </c:numCache>
            </c:numRef>
          </c:val>
          <c:extLst>
            <c:ext xmlns:c16="http://schemas.microsoft.com/office/drawing/2014/chart" uri="{C3380CC4-5D6E-409C-BE32-E72D297353CC}">
              <c16:uniqueId val="{00000000-A0A6-4179-B305-1CCCD3B8390E}"/>
            </c:ext>
          </c:extLst>
        </c:ser>
        <c:dLbls>
          <c:showLegendKey val="0"/>
          <c:showVal val="0"/>
          <c:showCatName val="0"/>
          <c:showSerName val="0"/>
          <c:showPercent val="0"/>
          <c:showBubbleSize val="0"/>
        </c:dLbls>
        <c:gapWidth val="219"/>
        <c:overlap val="-27"/>
        <c:axId val="510725656"/>
        <c:axId val="510726832"/>
      </c:barChart>
      <c:catAx>
        <c:axId val="510725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26832"/>
        <c:crosses val="autoZero"/>
        <c:auto val="1"/>
        <c:lblAlgn val="ctr"/>
        <c:lblOffset val="100"/>
        <c:noMultiLvlLbl val="0"/>
      </c:catAx>
      <c:valAx>
        <c:axId val="51072683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25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Chart Title</a:t>
          </a:r>
        </a:p>
      </cx:txPr>
    </cx:title>
    <cx:plotArea>
      <cx:plotAreaRegion>
        <cx:series layoutId="funnel" uniqueId="{774E9A34-D3FC-47AB-8529-1751CA570E89}">
          <cx:dataLabels>
            <cx:spPr>
              <a:solidFill>
                <a:schemeClr val="accent2"/>
              </a:solidFill>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533400</xdr:colOff>
      <xdr:row>2</xdr:row>
      <xdr:rowOff>109537</xdr:rowOff>
    </xdr:from>
    <xdr:to>
      <xdr:col>13</xdr:col>
      <xdr:colOff>523875</xdr:colOff>
      <xdr:row>17</xdr:row>
      <xdr:rowOff>185737</xdr:rowOff>
    </xdr:to>
    <xdr:graphicFrame macro="">
      <xdr:nvGraphicFramePr>
        <xdr:cNvPr id="3" name="Chart 2">
          <a:extLst>
            <a:ext uri="{FF2B5EF4-FFF2-40B4-BE49-F238E27FC236}">
              <a16:creationId xmlns:a16="http://schemas.microsoft.com/office/drawing/2014/main" id="{33F59BD1-DAB5-4E25-B0C5-4ECFB2B6D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22</xdr:row>
      <xdr:rowOff>33337</xdr:rowOff>
    </xdr:from>
    <xdr:to>
      <xdr:col>13</xdr:col>
      <xdr:colOff>514350</xdr:colOff>
      <xdr:row>38</xdr:row>
      <xdr:rowOff>109537</xdr:rowOff>
    </xdr:to>
    <xdr:graphicFrame macro="">
      <xdr:nvGraphicFramePr>
        <xdr:cNvPr id="4" name="Chart 3">
          <a:extLst>
            <a:ext uri="{FF2B5EF4-FFF2-40B4-BE49-F238E27FC236}">
              <a16:creationId xmlns:a16="http://schemas.microsoft.com/office/drawing/2014/main" id="{BC840406-37E8-4035-B181-1960E296F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917574</xdr:colOff>
      <xdr:row>0</xdr:row>
      <xdr:rowOff>104775</xdr:rowOff>
    </xdr:from>
    <xdr:to>
      <xdr:col>16</xdr:col>
      <xdr:colOff>76199</xdr:colOff>
      <xdr:row>9</xdr:row>
      <xdr:rowOff>210911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22679</xdr:colOff>
      <xdr:row>0</xdr:row>
      <xdr:rowOff>102506</xdr:rowOff>
    </xdr:from>
    <xdr:to>
      <xdr:col>26</xdr:col>
      <xdr:colOff>63500</xdr:colOff>
      <xdr:row>9</xdr:row>
      <xdr:rowOff>222250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1070427</xdr:colOff>
      <xdr:row>10</xdr:row>
      <xdr:rowOff>79828</xdr:rowOff>
    </xdr:from>
    <xdr:to>
      <xdr:col>16</xdr:col>
      <xdr:colOff>108856</xdr:colOff>
      <xdr:row>25</xdr:row>
      <xdr:rowOff>185964</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1088571</xdr:colOff>
      <xdr:row>27</xdr:row>
      <xdr:rowOff>91167</xdr:rowOff>
    </xdr:from>
    <xdr:to>
      <xdr:col>16</xdr:col>
      <xdr:colOff>158750</xdr:colOff>
      <xdr:row>42</xdr:row>
      <xdr:rowOff>174625</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1398984</xdr:colOff>
      <xdr:row>65</xdr:row>
      <xdr:rowOff>182163</xdr:rowOff>
    </xdr:from>
    <xdr:to>
      <xdr:col>14</xdr:col>
      <xdr:colOff>220265</xdr:colOff>
      <xdr:row>80</xdr:row>
      <xdr:rowOff>67863</xdr:rowOff>
    </xdr:to>
    <xdr:graphicFrame macro="">
      <xdr:nvGraphicFramePr>
        <xdr:cNvPr id="6" name="Chart 3">
          <a:extLst>
            <a:ext uri="{FF2B5EF4-FFF2-40B4-BE49-F238E27FC236}">
              <a16:creationId xmlns:a16="http://schemas.microsoft.com/office/drawing/2014/main" id="{EBE80F85-256C-6FBD-246A-A0CE3A604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1075532</xdr:colOff>
      <xdr:row>45</xdr:row>
      <xdr:rowOff>57150</xdr:rowOff>
    </xdr:from>
    <xdr:to>
      <xdr:col>13</xdr:col>
      <xdr:colOff>408782</xdr:colOff>
      <xdr:row>55</xdr:row>
      <xdr:rowOff>61912</xdr:rowOff>
    </xdr:to>
    <xdr:graphicFrame macro="">
      <xdr:nvGraphicFramePr>
        <xdr:cNvPr id="8" name="Chart 7">
          <a:extLst>
            <a:ext uri="{FF2B5EF4-FFF2-40B4-BE49-F238E27FC236}">
              <a16:creationId xmlns:a16="http://schemas.microsoft.com/office/drawing/2014/main" id="{00000000-0008-0000-0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590550</xdr:colOff>
      <xdr:row>1</xdr:row>
      <xdr:rowOff>738187</xdr:rowOff>
    </xdr:from>
    <xdr:to>
      <xdr:col>18</xdr:col>
      <xdr:colOff>285750</xdr:colOff>
      <xdr:row>14</xdr:row>
      <xdr:rowOff>109537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B7CC744-29D3-41CD-A7A6-13A2613F67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58188" y="919162"/>
              <a:ext cx="4876800" cy="2595563"/>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Downloads/Peoples%20Liberator%20Fund_AllMemberPayments_2022_05_14%2001_05_5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69">
          <cell r="D69">
            <v>300</v>
          </cell>
        </row>
        <row r="70">
          <cell r="D70">
            <v>3000</v>
          </cell>
        </row>
        <row r="71">
          <cell r="D71">
            <v>400</v>
          </cell>
        </row>
        <row r="72">
          <cell r="D72">
            <v>200</v>
          </cell>
        </row>
        <row r="73">
          <cell r="D73">
            <v>200</v>
          </cell>
        </row>
        <row r="74">
          <cell r="D74">
            <v>200</v>
          </cell>
        </row>
        <row r="75">
          <cell r="D75">
            <v>200</v>
          </cell>
        </row>
        <row r="76">
          <cell r="D76">
            <v>200</v>
          </cell>
        </row>
        <row r="77">
          <cell r="D77">
            <v>400</v>
          </cell>
        </row>
        <row r="78">
          <cell r="D78">
            <v>300</v>
          </cell>
        </row>
        <row r="79">
          <cell r="D79">
            <v>500</v>
          </cell>
        </row>
        <row r="80">
          <cell r="D80">
            <v>300</v>
          </cell>
        </row>
        <row r="81">
          <cell r="D81">
            <v>400</v>
          </cell>
        </row>
        <row r="83">
          <cell r="D83">
            <v>200</v>
          </cell>
        </row>
        <row r="84">
          <cell r="D84">
            <v>200</v>
          </cell>
        </row>
        <row r="85">
          <cell r="D85">
            <v>300</v>
          </cell>
        </row>
        <row r="86">
          <cell r="D86">
            <v>1200</v>
          </cell>
        </row>
        <row r="87">
          <cell r="D87">
            <v>1200</v>
          </cell>
        </row>
        <row r="88">
          <cell r="D88">
            <v>400</v>
          </cell>
        </row>
        <row r="89">
          <cell r="D89">
            <v>300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92" totalsRowCount="1" headerRowDxfId="80" dataDxfId="78" headerRowBorderDxfId="79" tableBorderDxfId="77" totalsRowBorderDxfId="76">
  <autoFilter ref="A1:H91" xr:uid="{00000000-0009-0000-0100-000001000000}"/>
  <tableColumns count="8">
    <tableColumn id="1" xr3:uid="{00000000-0010-0000-0000-000001000000}" name="Member" dataDxfId="75" totalsRowDxfId="74"/>
    <tableColumn id="10" xr3:uid="{00000000-0010-0000-0000-00000A000000}" name="Balance Brought Forward" dataDxfId="73" totalsRowDxfId="72"/>
    <tableColumn id="2" xr3:uid="{00000000-0010-0000-0000-000002000000}" name="July 2021 - April 2022  Cont (Planned)" dataDxfId="71" totalsRowDxfId="70"/>
    <tableColumn id="15" xr3:uid="{00000000-0010-0000-0000-00000F000000}" name="Total July 2021 - April 2022  Cont (Planned)2" dataDxfId="69" totalsRowDxfId="68" dataCellStyle="Currency">
      <calculatedColumnFormula>B2+C2</calculatedColumnFormula>
    </tableColumn>
    <tableColumn id="3" xr3:uid="{00000000-0010-0000-0000-000003000000}" name="Contribution made (Actual)" dataDxfId="67" totalsRowDxfId="66" dataCellStyle="Comma"/>
    <tableColumn id="4" xr3:uid="{00000000-0010-0000-0000-000004000000}" name="Outstanding" dataDxfId="65" totalsRowDxfId="64"/>
    <tableColumn id="5" xr3:uid="{00000000-0010-0000-0000-000005000000}" name="% outstanding" dataDxfId="63" totalsRowDxfId="62" dataCellStyle="Percent"/>
    <tableColumn id="7" xr3:uid="{00000000-0010-0000-0000-000007000000}" name="Column1" dataDxfId="61" totalsRow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2"/>
  <sheetViews>
    <sheetView zoomScaleNormal="100" workbookViewId="0">
      <pane ySplit="1" topLeftCell="A2" activePane="bottomLeft" state="frozen"/>
      <selection activeCell="C1" sqref="C1"/>
      <selection pane="bottomLeft" activeCell="D14" sqref="D14"/>
    </sheetView>
  </sheetViews>
  <sheetFormatPr defaultRowHeight="14.25"/>
  <cols>
    <col min="1" max="1" width="34.1328125" style="1" customWidth="1"/>
    <col min="2" max="2" width="12.265625" style="1" customWidth="1"/>
    <col min="3" max="6" width="12.59765625" style="2" customWidth="1"/>
    <col min="7" max="7" width="12.59765625" style="3" customWidth="1"/>
    <col min="8" max="8" width="12.59765625" style="10" customWidth="1"/>
    <col min="9" max="9" width="4.265625" customWidth="1"/>
    <col min="10" max="10" width="21" style="1" customWidth="1"/>
    <col min="11" max="11" width="15.265625" style="1" customWidth="1"/>
    <col min="12" max="12" width="14.1328125" style="1" customWidth="1"/>
    <col min="13" max="13" width="13" style="1" customWidth="1"/>
    <col min="14" max="14" width="14" customWidth="1"/>
    <col min="15" max="15" width="12" customWidth="1"/>
    <col min="16" max="16" width="13.1328125" customWidth="1"/>
  </cols>
  <sheetData>
    <row r="1" spans="1:16" ht="68.25" customHeight="1">
      <c r="A1" s="4" t="s">
        <v>0</v>
      </c>
      <c r="B1" s="91" t="s">
        <v>220</v>
      </c>
      <c r="C1" s="15" t="s">
        <v>218</v>
      </c>
      <c r="D1" s="15" t="s">
        <v>221</v>
      </c>
      <c r="E1" s="15" t="s">
        <v>102</v>
      </c>
      <c r="F1" s="5" t="s">
        <v>89</v>
      </c>
      <c r="G1" s="6" t="s">
        <v>90</v>
      </c>
      <c r="H1" s="5" t="s">
        <v>164</v>
      </c>
      <c r="J1" s="9" t="s">
        <v>91</v>
      </c>
      <c r="K1" s="9" t="s">
        <v>92</v>
      </c>
      <c r="L1" s="9" t="s">
        <v>93</v>
      </c>
      <c r="M1" s="9" t="s">
        <v>94</v>
      </c>
      <c r="N1" s="9" t="s">
        <v>95</v>
      </c>
      <c r="O1" s="9" t="s">
        <v>96</v>
      </c>
      <c r="P1" s="9" t="s">
        <v>97</v>
      </c>
    </row>
    <row r="2" spans="1:16" ht="20.25" customHeight="1">
      <c r="A2" s="89" t="s">
        <v>573</v>
      </c>
      <c r="B2" s="97">
        <v>500</v>
      </c>
      <c r="C2" s="98">
        <f t="shared" ref="C2:C7" si="0">200*10</f>
        <v>2000</v>
      </c>
      <c r="D2" s="98">
        <f>B2+C2</f>
        <v>2500</v>
      </c>
      <c r="E2" s="99">
        <v>2200</v>
      </c>
      <c r="F2" s="98">
        <f>B2+C2-E2</f>
        <v>300</v>
      </c>
      <c r="G2" s="96">
        <f>F2/D2</f>
        <v>0.12</v>
      </c>
      <c r="H2" s="90"/>
      <c r="J2" s="1">
        <v>9</v>
      </c>
      <c r="K2" s="1">
        <v>2</v>
      </c>
      <c r="L2" s="1">
        <v>4</v>
      </c>
      <c r="M2" s="1">
        <v>1</v>
      </c>
      <c r="N2" s="1">
        <v>2</v>
      </c>
      <c r="O2" s="1">
        <v>2</v>
      </c>
      <c r="P2" s="1">
        <v>67</v>
      </c>
    </row>
    <row r="3" spans="1:16" ht="21.75" customHeight="1">
      <c r="A3" s="46" t="s">
        <v>574</v>
      </c>
      <c r="B3" s="93">
        <v>1100</v>
      </c>
      <c r="C3" s="98">
        <f t="shared" si="0"/>
        <v>2000</v>
      </c>
      <c r="D3" s="98">
        <f t="shared" ref="D3:D33" si="1">B3+C3</f>
        <v>3100</v>
      </c>
      <c r="E3" s="99">
        <v>1400</v>
      </c>
      <c r="F3" s="98">
        <f t="shared" ref="F3:F66" si="2">B3+C3-E3</f>
        <v>1700</v>
      </c>
      <c r="G3" s="96">
        <f t="shared" ref="G3:G66" si="3">F3/D3</f>
        <v>0.54838709677419351</v>
      </c>
      <c r="H3" s="27"/>
      <c r="P3">
        <f>SUM(J2:P2)</f>
        <v>87</v>
      </c>
    </row>
    <row r="4" spans="1:16" ht="21.75" customHeight="1">
      <c r="A4" s="89" t="s">
        <v>575</v>
      </c>
      <c r="B4" s="93">
        <v>5700</v>
      </c>
      <c r="C4" s="98">
        <f t="shared" si="0"/>
        <v>2000</v>
      </c>
      <c r="D4" s="98">
        <f t="shared" si="1"/>
        <v>7700</v>
      </c>
      <c r="E4" s="99">
        <v>0</v>
      </c>
      <c r="F4" s="98">
        <f t="shared" si="2"/>
        <v>7700</v>
      </c>
      <c r="G4" s="96">
        <f t="shared" si="3"/>
        <v>1</v>
      </c>
      <c r="H4" s="25"/>
    </row>
    <row r="5" spans="1:16" ht="21.75" customHeight="1">
      <c r="A5" s="46" t="s">
        <v>576</v>
      </c>
      <c r="B5" s="93">
        <v>7000</v>
      </c>
      <c r="C5" s="98">
        <f t="shared" si="0"/>
        <v>2000</v>
      </c>
      <c r="D5" s="98">
        <f t="shared" si="1"/>
        <v>9000</v>
      </c>
      <c r="E5" s="99">
        <v>0</v>
      </c>
      <c r="F5" s="98">
        <f t="shared" si="2"/>
        <v>9000</v>
      </c>
      <c r="G5" s="96">
        <f t="shared" si="3"/>
        <v>1</v>
      </c>
      <c r="H5" s="25"/>
    </row>
    <row r="6" spans="1:16">
      <c r="A6" s="89" t="s">
        <v>577</v>
      </c>
      <c r="B6" s="93">
        <v>1761.33</v>
      </c>
      <c r="C6" s="98">
        <f t="shared" si="0"/>
        <v>2000</v>
      </c>
      <c r="D6" s="98">
        <f t="shared" si="1"/>
        <v>3761.33</v>
      </c>
      <c r="E6" s="99">
        <v>0</v>
      </c>
      <c r="F6" s="98">
        <f t="shared" si="2"/>
        <v>3761.33</v>
      </c>
      <c r="G6" s="96">
        <f t="shared" si="3"/>
        <v>1</v>
      </c>
      <c r="H6" s="25"/>
    </row>
    <row r="7" spans="1:16">
      <c r="A7" s="46" t="s">
        <v>578</v>
      </c>
      <c r="B7" s="93">
        <v>4100</v>
      </c>
      <c r="C7" s="98">
        <f t="shared" si="0"/>
        <v>2000</v>
      </c>
      <c r="D7" s="98">
        <f t="shared" si="1"/>
        <v>6100</v>
      </c>
      <c r="E7" s="99">
        <v>500</v>
      </c>
      <c r="F7" s="98">
        <f t="shared" si="2"/>
        <v>5600</v>
      </c>
      <c r="G7" s="96">
        <f t="shared" si="3"/>
        <v>0.91803278688524592</v>
      </c>
      <c r="H7" s="25"/>
    </row>
    <row r="8" spans="1:16">
      <c r="A8" s="89" t="s">
        <v>579</v>
      </c>
      <c r="B8" s="94">
        <v>7300</v>
      </c>
      <c r="C8" s="98">
        <v>2000</v>
      </c>
      <c r="D8" s="98">
        <f t="shared" si="1"/>
        <v>9300</v>
      </c>
      <c r="E8" s="99">
        <v>0</v>
      </c>
      <c r="F8" s="98">
        <f t="shared" si="2"/>
        <v>9300</v>
      </c>
      <c r="G8" s="96">
        <f t="shared" si="3"/>
        <v>1</v>
      </c>
      <c r="H8" s="25"/>
    </row>
    <row r="9" spans="1:16">
      <c r="A9" s="46" t="s">
        <v>580</v>
      </c>
      <c r="B9" s="93">
        <v>5100</v>
      </c>
      <c r="C9" s="98">
        <f t="shared" ref="C9:C33" si="4">200*10</f>
        <v>2000</v>
      </c>
      <c r="D9" s="98">
        <f t="shared" si="1"/>
        <v>7100</v>
      </c>
      <c r="E9" s="99">
        <v>200</v>
      </c>
      <c r="F9" s="98">
        <f t="shared" si="2"/>
        <v>6900</v>
      </c>
      <c r="G9" s="96">
        <f t="shared" si="3"/>
        <v>0.971830985915493</v>
      </c>
      <c r="H9" s="25"/>
    </row>
    <row r="10" spans="1:16">
      <c r="A10" s="89" t="s">
        <v>581</v>
      </c>
      <c r="B10" s="93">
        <v>2400</v>
      </c>
      <c r="C10" s="98">
        <f t="shared" si="4"/>
        <v>2000</v>
      </c>
      <c r="D10" s="98">
        <f t="shared" si="1"/>
        <v>4400</v>
      </c>
      <c r="E10" s="99">
        <v>0</v>
      </c>
      <c r="F10" s="98">
        <f t="shared" si="2"/>
        <v>4400</v>
      </c>
      <c r="G10" s="96">
        <f t="shared" si="3"/>
        <v>1</v>
      </c>
      <c r="H10" s="25"/>
    </row>
    <row r="11" spans="1:16">
      <c r="A11" s="46" t="s">
        <v>582</v>
      </c>
      <c r="B11" s="93">
        <v>6600</v>
      </c>
      <c r="C11" s="98">
        <f t="shared" si="4"/>
        <v>2000</v>
      </c>
      <c r="D11" s="98">
        <f t="shared" si="1"/>
        <v>8600</v>
      </c>
      <c r="E11" s="99">
        <v>800</v>
      </c>
      <c r="F11" s="98">
        <f t="shared" si="2"/>
        <v>7800</v>
      </c>
      <c r="G11" s="96">
        <f t="shared" si="3"/>
        <v>0.90697674418604646</v>
      </c>
      <c r="H11" s="25"/>
    </row>
    <row r="12" spans="1:16">
      <c r="A12" s="89" t="s">
        <v>583</v>
      </c>
      <c r="B12" s="93">
        <v>850</v>
      </c>
      <c r="C12" s="98">
        <f t="shared" si="4"/>
        <v>2000</v>
      </c>
      <c r="D12" s="98">
        <f t="shared" si="1"/>
        <v>2850</v>
      </c>
      <c r="E12" s="99">
        <v>0</v>
      </c>
      <c r="F12" s="98">
        <f t="shared" si="2"/>
        <v>2850</v>
      </c>
      <c r="G12" s="96">
        <f t="shared" si="3"/>
        <v>1</v>
      </c>
      <c r="H12" s="25"/>
    </row>
    <row r="13" spans="1:16">
      <c r="A13" s="46" t="s">
        <v>584</v>
      </c>
      <c r="B13" s="93">
        <v>-650</v>
      </c>
      <c r="C13" s="98">
        <f t="shared" si="4"/>
        <v>2000</v>
      </c>
      <c r="D13" s="98">
        <f t="shared" si="1"/>
        <v>1350</v>
      </c>
      <c r="E13" s="99">
        <v>1300</v>
      </c>
      <c r="F13" s="98">
        <f t="shared" si="2"/>
        <v>50</v>
      </c>
      <c r="G13" s="96">
        <f t="shared" si="3"/>
        <v>3.7037037037037035E-2</v>
      </c>
      <c r="H13" s="25"/>
    </row>
    <row r="14" spans="1:16">
      <c r="A14" s="89" t="s">
        <v>585</v>
      </c>
      <c r="B14" s="93">
        <v>500</v>
      </c>
      <c r="C14" s="98">
        <f t="shared" si="4"/>
        <v>2000</v>
      </c>
      <c r="D14" s="98">
        <f t="shared" si="1"/>
        <v>2500</v>
      </c>
      <c r="E14" s="99">
        <v>0</v>
      </c>
      <c r="F14" s="98">
        <f t="shared" si="2"/>
        <v>2500</v>
      </c>
      <c r="G14" s="96">
        <f t="shared" si="3"/>
        <v>1</v>
      </c>
      <c r="H14" s="25"/>
    </row>
    <row r="15" spans="1:16">
      <c r="A15" s="46" t="s">
        <v>586</v>
      </c>
      <c r="B15" s="93">
        <v>7100</v>
      </c>
      <c r="C15" s="98">
        <f t="shared" si="4"/>
        <v>2000</v>
      </c>
      <c r="D15" s="98">
        <f t="shared" si="1"/>
        <v>9100</v>
      </c>
      <c r="E15" s="99">
        <v>800</v>
      </c>
      <c r="F15" s="98">
        <f t="shared" si="2"/>
        <v>8300</v>
      </c>
      <c r="G15" s="96">
        <f t="shared" si="3"/>
        <v>0.91208791208791207</v>
      </c>
      <c r="H15" s="25"/>
    </row>
    <row r="16" spans="1:16">
      <c r="A16" s="89" t="s">
        <v>587</v>
      </c>
      <c r="B16" s="93">
        <v>5100</v>
      </c>
      <c r="C16" s="98">
        <f t="shared" si="4"/>
        <v>2000</v>
      </c>
      <c r="D16" s="98">
        <f t="shared" si="1"/>
        <v>7100</v>
      </c>
      <c r="E16" s="99">
        <v>0</v>
      </c>
      <c r="F16" s="98">
        <f t="shared" si="2"/>
        <v>7100</v>
      </c>
      <c r="G16" s="96">
        <f t="shared" si="3"/>
        <v>1</v>
      </c>
      <c r="H16" s="25"/>
    </row>
    <row r="17" spans="1:16">
      <c r="A17" s="46" t="s">
        <v>588</v>
      </c>
      <c r="B17" s="93">
        <v>5900</v>
      </c>
      <c r="C17" s="98">
        <f t="shared" si="4"/>
        <v>2000</v>
      </c>
      <c r="D17" s="98">
        <f t="shared" si="1"/>
        <v>7900</v>
      </c>
      <c r="E17" s="99">
        <v>0</v>
      </c>
      <c r="F17" s="98">
        <f t="shared" si="2"/>
        <v>7900</v>
      </c>
      <c r="G17" s="96">
        <f t="shared" si="3"/>
        <v>1</v>
      </c>
      <c r="H17" s="25"/>
    </row>
    <row r="18" spans="1:16">
      <c r="A18" s="89" t="s">
        <v>589</v>
      </c>
      <c r="B18" s="93">
        <v>-4100</v>
      </c>
      <c r="C18" s="98">
        <f t="shared" si="4"/>
        <v>2000</v>
      </c>
      <c r="D18" s="98">
        <f t="shared" si="1"/>
        <v>-2100</v>
      </c>
      <c r="E18" s="99">
        <v>1500</v>
      </c>
      <c r="F18" s="111">
        <v>0</v>
      </c>
      <c r="G18" s="96">
        <f t="shared" si="3"/>
        <v>0</v>
      </c>
      <c r="H18" s="25">
        <f>2100+1500</f>
        <v>3600</v>
      </c>
    </row>
    <row r="19" spans="1:16">
      <c r="A19" s="46" t="s">
        <v>590</v>
      </c>
      <c r="B19" s="93">
        <v>100</v>
      </c>
      <c r="C19" s="98">
        <f t="shared" si="4"/>
        <v>2000</v>
      </c>
      <c r="D19" s="98">
        <f t="shared" si="1"/>
        <v>2100</v>
      </c>
      <c r="E19" s="99">
        <v>1400</v>
      </c>
      <c r="F19" s="98">
        <f t="shared" si="2"/>
        <v>700</v>
      </c>
      <c r="G19" s="96">
        <f t="shared" si="3"/>
        <v>0.33333333333333331</v>
      </c>
      <c r="H19" s="25"/>
    </row>
    <row r="20" spans="1:16" ht="28.5">
      <c r="A20" s="89" t="s">
        <v>591</v>
      </c>
      <c r="B20" s="93">
        <v>6700</v>
      </c>
      <c r="C20" s="98">
        <f t="shared" si="4"/>
        <v>2000</v>
      </c>
      <c r="D20" s="98">
        <f t="shared" si="1"/>
        <v>8700</v>
      </c>
      <c r="E20" s="99">
        <v>0</v>
      </c>
      <c r="F20" s="98">
        <f t="shared" si="2"/>
        <v>8700</v>
      </c>
      <c r="G20" s="96">
        <f t="shared" si="3"/>
        <v>1</v>
      </c>
      <c r="H20" s="25"/>
      <c r="J20" s="9" t="s">
        <v>91</v>
      </c>
      <c r="K20" s="9" t="s">
        <v>92</v>
      </c>
      <c r="L20" s="9" t="s">
        <v>93</v>
      </c>
      <c r="M20" s="9" t="s">
        <v>94</v>
      </c>
      <c r="N20" s="9" t="s">
        <v>95</v>
      </c>
      <c r="O20" s="9" t="s">
        <v>96</v>
      </c>
      <c r="P20" s="9" t="s">
        <v>97</v>
      </c>
    </row>
    <row r="21" spans="1:16" ht="13.5" customHeight="1">
      <c r="A21" s="46" t="s">
        <v>592</v>
      </c>
      <c r="B21" s="93">
        <v>430</v>
      </c>
      <c r="C21" s="98">
        <f t="shared" si="4"/>
        <v>2000</v>
      </c>
      <c r="D21" s="98">
        <f t="shared" si="1"/>
        <v>2430</v>
      </c>
      <c r="E21" s="99">
        <v>200</v>
      </c>
      <c r="F21" s="98">
        <f t="shared" si="2"/>
        <v>2230</v>
      </c>
      <c r="G21" s="96">
        <f t="shared" si="3"/>
        <v>0.91769547325102885</v>
      </c>
      <c r="H21" s="25"/>
      <c r="I21">
        <v>86</v>
      </c>
      <c r="J21" s="3">
        <f>J2/I21</f>
        <v>0.10465116279069768</v>
      </c>
      <c r="K21" s="3">
        <f>K2/I21</f>
        <v>2.3255813953488372E-2</v>
      </c>
      <c r="L21" s="3">
        <f>L2/I21</f>
        <v>4.6511627906976744E-2</v>
      </c>
      <c r="M21" s="3">
        <f>M2/I21</f>
        <v>1.1627906976744186E-2</v>
      </c>
      <c r="N21" s="3">
        <f>N2/I21</f>
        <v>2.3255813953488372E-2</v>
      </c>
      <c r="O21" s="3">
        <f>O2/I21</f>
        <v>2.3255813953488372E-2</v>
      </c>
      <c r="P21" s="3">
        <f>P2/I21</f>
        <v>0.77906976744186052</v>
      </c>
    </row>
    <row r="22" spans="1:16">
      <c r="A22" s="89" t="s">
        <v>593</v>
      </c>
      <c r="B22" s="93">
        <v>5900</v>
      </c>
      <c r="C22" s="98">
        <f t="shared" si="4"/>
        <v>2000</v>
      </c>
      <c r="D22" s="98">
        <f t="shared" si="1"/>
        <v>7900</v>
      </c>
      <c r="E22" s="99">
        <v>0</v>
      </c>
      <c r="F22" s="98">
        <f t="shared" si="2"/>
        <v>7900</v>
      </c>
      <c r="G22" s="96">
        <f t="shared" si="3"/>
        <v>1</v>
      </c>
      <c r="H22" s="25"/>
    </row>
    <row r="23" spans="1:16">
      <c r="A23" s="46" t="s">
        <v>594</v>
      </c>
      <c r="B23" s="93">
        <v>2700</v>
      </c>
      <c r="C23" s="98">
        <f t="shared" si="4"/>
        <v>2000</v>
      </c>
      <c r="D23" s="98">
        <f t="shared" si="1"/>
        <v>4700</v>
      </c>
      <c r="E23" s="99">
        <v>200</v>
      </c>
      <c r="F23" s="98">
        <f t="shared" si="2"/>
        <v>4500</v>
      </c>
      <c r="G23" s="96">
        <f t="shared" si="3"/>
        <v>0.95744680851063835</v>
      </c>
      <c r="H23" s="25"/>
    </row>
    <row r="24" spans="1:16" ht="18" customHeight="1">
      <c r="A24" s="89" t="s">
        <v>595</v>
      </c>
      <c r="B24" s="93">
        <v>6700</v>
      </c>
      <c r="C24" s="98">
        <f t="shared" si="4"/>
        <v>2000</v>
      </c>
      <c r="D24" s="98">
        <f t="shared" si="1"/>
        <v>8700</v>
      </c>
      <c r="E24" s="99">
        <v>0</v>
      </c>
      <c r="F24" s="98">
        <f t="shared" si="2"/>
        <v>8700</v>
      </c>
      <c r="G24" s="96">
        <f t="shared" si="3"/>
        <v>1</v>
      </c>
      <c r="H24" s="25"/>
    </row>
    <row r="25" spans="1:16">
      <c r="A25" s="46" t="s">
        <v>596</v>
      </c>
      <c r="B25" s="93">
        <v>0</v>
      </c>
      <c r="C25" s="98">
        <f t="shared" si="4"/>
        <v>2000</v>
      </c>
      <c r="D25" s="98">
        <f t="shared" si="1"/>
        <v>2000</v>
      </c>
      <c r="E25" s="99">
        <v>2700</v>
      </c>
      <c r="F25" s="98">
        <v>0</v>
      </c>
      <c r="G25" s="96">
        <f>F25/D25</f>
        <v>0</v>
      </c>
      <c r="H25" s="25">
        <f>Table1[[#This Row],[Contribution made (Actual)]]-Table1[[#This Row],[Total July 2021 - April 2022  Cont (Planned)2]]</f>
        <v>700</v>
      </c>
    </row>
    <row r="26" spans="1:16" ht="12" customHeight="1">
      <c r="A26" s="89" t="s">
        <v>597</v>
      </c>
      <c r="B26" s="93">
        <v>350</v>
      </c>
      <c r="C26" s="98">
        <f t="shared" si="4"/>
        <v>2000</v>
      </c>
      <c r="D26" s="98">
        <f t="shared" si="1"/>
        <v>2350</v>
      </c>
      <c r="E26" s="99">
        <v>2700</v>
      </c>
      <c r="F26" s="98">
        <v>0</v>
      </c>
      <c r="G26" s="96">
        <f t="shared" si="3"/>
        <v>0</v>
      </c>
      <c r="H26" s="25">
        <f>Table1[[#This Row],[Contribution made (Actual)]]-Table1[[#This Row],[Total July 2021 - April 2022  Cont (Planned)2]]</f>
        <v>350</v>
      </c>
    </row>
    <row r="27" spans="1:16" ht="15.75" customHeight="1">
      <c r="A27" s="46" t="s">
        <v>598</v>
      </c>
      <c r="B27" s="93">
        <v>5100</v>
      </c>
      <c r="C27" s="98">
        <f t="shared" si="4"/>
        <v>2000</v>
      </c>
      <c r="D27" s="98">
        <f t="shared" si="1"/>
        <v>7100</v>
      </c>
      <c r="E27" s="99">
        <v>0</v>
      </c>
      <c r="F27" s="98">
        <f t="shared" si="2"/>
        <v>7100</v>
      </c>
      <c r="G27" s="96">
        <f t="shared" si="3"/>
        <v>1</v>
      </c>
      <c r="H27" s="25"/>
    </row>
    <row r="28" spans="1:16">
      <c r="A28" s="89" t="s">
        <v>599</v>
      </c>
      <c r="B28" s="93">
        <v>6100</v>
      </c>
      <c r="C28" s="98">
        <f t="shared" si="4"/>
        <v>2000</v>
      </c>
      <c r="D28" s="98">
        <f t="shared" si="1"/>
        <v>8100</v>
      </c>
      <c r="E28" s="99">
        <v>0</v>
      </c>
      <c r="F28" s="98">
        <f t="shared" si="2"/>
        <v>8100</v>
      </c>
      <c r="G28" s="96">
        <f t="shared" si="3"/>
        <v>1</v>
      </c>
      <c r="H28" s="25"/>
    </row>
    <row r="29" spans="1:16">
      <c r="A29" s="46" t="s">
        <v>600</v>
      </c>
      <c r="B29" s="93">
        <v>6700</v>
      </c>
      <c r="C29" s="98">
        <f t="shared" si="4"/>
        <v>2000</v>
      </c>
      <c r="D29" s="98">
        <f t="shared" si="1"/>
        <v>8700</v>
      </c>
      <c r="E29" s="99">
        <v>0</v>
      </c>
      <c r="F29" s="98">
        <f t="shared" si="2"/>
        <v>8700</v>
      </c>
      <c r="G29" s="96">
        <f t="shared" si="3"/>
        <v>1</v>
      </c>
      <c r="H29" s="25"/>
    </row>
    <row r="30" spans="1:16">
      <c r="A30" s="89" t="s">
        <v>601</v>
      </c>
      <c r="B30" s="93">
        <v>1600</v>
      </c>
      <c r="C30" s="98">
        <f t="shared" si="4"/>
        <v>2000</v>
      </c>
      <c r="D30" s="98">
        <f t="shared" si="1"/>
        <v>3600</v>
      </c>
      <c r="E30" s="99">
        <v>0</v>
      </c>
      <c r="F30" s="98">
        <f t="shared" si="2"/>
        <v>3600</v>
      </c>
      <c r="G30" s="96">
        <f t="shared" si="3"/>
        <v>1</v>
      </c>
      <c r="H30" s="25"/>
    </row>
    <row r="31" spans="1:16">
      <c r="A31" s="46" t="s">
        <v>602</v>
      </c>
      <c r="B31" s="93">
        <v>1100</v>
      </c>
      <c r="C31" s="98">
        <f t="shared" si="4"/>
        <v>2000</v>
      </c>
      <c r="D31" s="98">
        <f t="shared" si="1"/>
        <v>3100</v>
      </c>
      <c r="E31" s="99">
        <v>3300</v>
      </c>
      <c r="F31" s="98">
        <v>0</v>
      </c>
      <c r="G31" s="96">
        <f t="shared" si="3"/>
        <v>0</v>
      </c>
      <c r="H31" s="25">
        <f>Table1[[#This Row],[Contribution made (Actual)]]-Table1[[#This Row],[Total July 2021 - April 2022  Cont (Planned)2]]</f>
        <v>200</v>
      </c>
    </row>
    <row r="32" spans="1:16" ht="16.5" customHeight="1">
      <c r="A32" s="89" t="s">
        <v>603</v>
      </c>
      <c r="B32" s="93">
        <v>400</v>
      </c>
      <c r="C32" s="98">
        <f t="shared" si="4"/>
        <v>2000</v>
      </c>
      <c r="D32" s="98">
        <f t="shared" si="1"/>
        <v>2400</v>
      </c>
      <c r="E32" s="99">
        <v>2500</v>
      </c>
      <c r="F32" s="98">
        <v>0</v>
      </c>
      <c r="G32" s="96">
        <f t="shared" si="3"/>
        <v>0</v>
      </c>
      <c r="H32" s="25">
        <f>Table1[[#This Row],[Contribution made (Actual)]]-Table1[[#This Row],[Total July 2021 - April 2022  Cont (Planned)2]]</f>
        <v>100</v>
      </c>
    </row>
    <row r="33" spans="1:10" ht="14.25" customHeight="1">
      <c r="A33" s="46" t="s">
        <v>604</v>
      </c>
      <c r="B33" s="93">
        <v>5900</v>
      </c>
      <c r="C33" s="98">
        <f t="shared" si="4"/>
        <v>2000</v>
      </c>
      <c r="D33" s="98">
        <f t="shared" si="1"/>
        <v>7900</v>
      </c>
      <c r="E33" s="99">
        <v>0</v>
      </c>
      <c r="F33" s="98">
        <f t="shared" si="2"/>
        <v>7900</v>
      </c>
      <c r="G33" s="96">
        <f t="shared" si="3"/>
        <v>1</v>
      </c>
      <c r="H33" s="25"/>
    </row>
    <row r="34" spans="1:10" ht="14.25" customHeight="1">
      <c r="A34" s="89" t="s">
        <v>605</v>
      </c>
      <c r="B34" s="94">
        <v>7300</v>
      </c>
      <c r="C34" s="98">
        <v>2000</v>
      </c>
      <c r="D34" s="98">
        <f t="shared" ref="D34:D65" si="5">B34+C34</f>
        <v>9300</v>
      </c>
      <c r="E34" s="99">
        <v>500</v>
      </c>
      <c r="F34" s="98">
        <f t="shared" si="2"/>
        <v>8800</v>
      </c>
      <c r="G34" s="96">
        <f t="shared" si="3"/>
        <v>0.94623655913978499</v>
      </c>
      <c r="H34" s="25"/>
    </row>
    <row r="35" spans="1:10" ht="20.25" customHeight="1">
      <c r="A35" s="46" t="s">
        <v>606</v>
      </c>
      <c r="B35" s="93">
        <v>6700</v>
      </c>
      <c r="C35" s="98">
        <f>200*10</f>
        <v>2000</v>
      </c>
      <c r="D35" s="98">
        <f t="shared" si="5"/>
        <v>8700</v>
      </c>
      <c r="E35" s="99">
        <v>0</v>
      </c>
      <c r="F35" s="98">
        <f t="shared" si="2"/>
        <v>8700</v>
      </c>
      <c r="G35" s="96">
        <f t="shared" si="3"/>
        <v>1</v>
      </c>
      <c r="H35" s="25"/>
    </row>
    <row r="36" spans="1:10">
      <c r="A36" s="89" t="s">
        <v>607</v>
      </c>
      <c r="B36" s="100">
        <v>7300</v>
      </c>
      <c r="C36" s="98">
        <f>200*10</f>
        <v>2000</v>
      </c>
      <c r="D36" s="98">
        <f t="shared" si="5"/>
        <v>9300</v>
      </c>
      <c r="E36" s="99">
        <v>1100</v>
      </c>
      <c r="F36" s="98">
        <f t="shared" si="2"/>
        <v>8200</v>
      </c>
      <c r="G36" s="96">
        <f t="shared" si="3"/>
        <v>0.88172043010752688</v>
      </c>
      <c r="H36" s="25"/>
    </row>
    <row r="37" spans="1:10">
      <c r="A37" s="46" t="s">
        <v>608</v>
      </c>
      <c r="B37" s="93">
        <v>3900</v>
      </c>
      <c r="C37" s="98">
        <v>2000</v>
      </c>
      <c r="D37" s="98">
        <f t="shared" si="5"/>
        <v>5900</v>
      </c>
      <c r="E37" s="99">
        <v>0</v>
      </c>
      <c r="F37" s="98">
        <f t="shared" si="2"/>
        <v>5900</v>
      </c>
      <c r="G37" s="96">
        <f t="shared" si="3"/>
        <v>1</v>
      </c>
      <c r="H37" s="25"/>
    </row>
    <row r="38" spans="1:10">
      <c r="A38" s="89" t="s">
        <v>609</v>
      </c>
      <c r="B38" s="93">
        <v>3850</v>
      </c>
      <c r="C38" s="98">
        <f t="shared" ref="C38:C69" si="6">200*10</f>
        <v>2000</v>
      </c>
      <c r="D38" s="98">
        <f t="shared" si="5"/>
        <v>5850</v>
      </c>
      <c r="E38" s="99">
        <v>400</v>
      </c>
      <c r="F38" s="98">
        <f t="shared" si="2"/>
        <v>5450</v>
      </c>
      <c r="G38" s="96">
        <f t="shared" si="3"/>
        <v>0.93162393162393164</v>
      </c>
      <c r="H38" s="25"/>
    </row>
    <row r="39" spans="1:10">
      <c r="A39" s="46" t="s">
        <v>610</v>
      </c>
      <c r="B39" s="93">
        <v>6700</v>
      </c>
      <c r="C39" s="98">
        <f t="shared" si="6"/>
        <v>2000</v>
      </c>
      <c r="D39" s="98">
        <f t="shared" si="5"/>
        <v>8700</v>
      </c>
      <c r="E39" s="99">
        <v>0</v>
      </c>
      <c r="F39" s="98">
        <f t="shared" si="2"/>
        <v>8700</v>
      </c>
      <c r="G39" s="96">
        <f t="shared" si="3"/>
        <v>1</v>
      </c>
      <c r="H39" s="25"/>
    </row>
    <row r="40" spans="1:10">
      <c r="A40" s="89" t="s">
        <v>611</v>
      </c>
      <c r="B40" s="93">
        <v>4890</v>
      </c>
      <c r="C40" s="98">
        <f t="shared" si="6"/>
        <v>2000</v>
      </c>
      <c r="D40" s="98">
        <f t="shared" si="5"/>
        <v>6890</v>
      </c>
      <c r="E40" s="99">
        <v>690</v>
      </c>
      <c r="F40" s="98">
        <f t="shared" si="2"/>
        <v>6200</v>
      </c>
      <c r="G40" s="96">
        <f t="shared" si="3"/>
        <v>0.89985486211901311</v>
      </c>
      <c r="H40" s="25"/>
    </row>
    <row r="41" spans="1:10">
      <c r="A41" s="46" t="s">
        <v>612</v>
      </c>
      <c r="B41" s="93">
        <v>500</v>
      </c>
      <c r="C41" s="98">
        <f t="shared" si="6"/>
        <v>2000</v>
      </c>
      <c r="D41" s="98">
        <f t="shared" si="5"/>
        <v>2500</v>
      </c>
      <c r="E41" s="99">
        <v>0</v>
      </c>
      <c r="F41" s="98">
        <f t="shared" si="2"/>
        <v>2500</v>
      </c>
      <c r="G41" s="96">
        <f t="shared" si="3"/>
        <v>1</v>
      </c>
      <c r="H41" s="25"/>
    </row>
    <row r="42" spans="1:10">
      <c r="A42" s="89" t="s">
        <v>613</v>
      </c>
      <c r="B42" s="93">
        <v>4100</v>
      </c>
      <c r="C42" s="98">
        <f t="shared" si="6"/>
        <v>2000</v>
      </c>
      <c r="D42" s="98">
        <f t="shared" si="5"/>
        <v>6100</v>
      </c>
      <c r="E42" s="99">
        <v>0</v>
      </c>
      <c r="F42" s="98">
        <f t="shared" si="2"/>
        <v>6100</v>
      </c>
      <c r="G42" s="96">
        <f t="shared" si="3"/>
        <v>1</v>
      </c>
      <c r="H42" s="25"/>
    </row>
    <row r="43" spans="1:10">
      <c r="A43" s="46" t="s">
        <v>614</v>
      </c>
      <c r="B43" s="93">
        <v>3461.11</v>
      </c>
      <c r="C43" s="98">
        <f t="shared" si="6"/>
        <v>2000</v>
      </c>
      <c r="D43" s="98">
        <f t="shared" si="5"/>
        <v>5461.1100000000006</v>
      </c>
      <c r="E43" s="99">
        <v>900</v>
      </c>
      <c r="F43" s="98">
        <f t="shared" si="2"/>
        <v>4561.1100000000006</v>
      </c>
      <c r="G43" s="96">
        <f t="shared" si="3"/>
        <v>0.83519833879925509</v>
      </c>
      <c r="H43" s="25"/>
    </row>
    <row r="44" spans="1:10">
      <c r="A44" s="89" t="s">
        <v>615</v>
      </c>
      <c r="B44" s="93">
        <v>-1130</v>
      </c>
      <c r="C44" s="98">
        <f t="shared" si="6"/>
        <v>2000</v>
      </c>
      <c r="D44" s="98">
        <f t="shared" si="5"/>
        <v>870</v>
      </c>
      <c r="E44" s="99">
        <v>2500</v>
      </c>
      <c r="F44" s="98">
        <v>0</v>
      </c>
      <c r="G44" s="96">
        <f t="shared" si="3"/>
        <v>0</v>
      </c>
      <c r="H44" s="25">
        <f>Table1[[#This Row],[Contribution made (Actual)]]-Table1[[#This Row],[Total July 2021 - April 2022  Cont (Planned)2]]</f>
        <v>1630</v>
      </c>
    </row>
    <row r="45" spans="1:10">
      <c r="A45" s="46" t="s">
        <v>616</v>
      </c>
      <c r="B45" s="93">
        <v>1500</v>
      </c>
      <c r="C45" s="98">
        <f t="shared" si="6"/>
        <v>2000</v>
      </c>
      <c r="D45" s="98">
        <f t="shared" si="5"/>
        <v>3500</v>
      </c>
      <c r="E45" s="99">
        <v>0</v>
      </c>
      <c r="F45" s="98">
        <f t="shared" si="2"/>
        <v>3500</v>
      </c>
      <c r="G45" s="96">
        <f t="shared" si="3"/>
        <v>1</v>
      </c>
      <c r="H45" s="25" t="s">
        <v>165</v>
      </c>
    </row>
    <row r="46" spans="1:10">
      <c r="A46" s="89" t="s">
        <v>617</v>
      </c>
      <c r="B46" s="93">
        <v>1600</v>
      </c>
      <c r="C46" s="98">
        <f t="shared" si="6"/>
        <v>2000</v>
      </c>
      <c r="D46" s="98">
        <f t="shared" si="5"/>
        <v>3600</v>
      </c>
      <c r="E46" s="99">
        <v>2900</v>
      </c>
      <c r="F46" s="98">
        <f t="shared" si="2"/>
        <v>700</v>
      </c>
      <c r="G46" s="96">
        <f t="shared" si="3"/>
        <v>0.19444444444444445</v>
      </c>
      <c r="H46" s="25"/>
    </row>
    <row r="47" spans="1:10">
      <c r="A47" s="46" t="s">
        <v>618</v>
      </c>
      <c r="B47" s="93">
        <v>4700</v>
      </c>
      <c r="C47" s="98">
        <f t="shared" si="6"/>
        <v>2000</v>
      </c>
      <c r="D47" s="98">
        <f t="shared" si="5"/>
        <v>6700</v>
      </c>
      <c r="E47" s="99">
        <v>0</v>
      </c>
      <c r="F47" s="98">
        <f t="shared" si="2"/>
        <v>6700</v>
      </c>
      <c r="G47" s="96">
        <f t="shared" si="3"/>
        <v>1</v>
      </c>
      <c r="H47" s="25"/>
    </row>
    <row r="48" spans="1:10">
      <c r="A48" s="89" t="s">
        <v>619</v>
      </c>
      <c r="B48" s="93">
        <v>-710</v>
      </c>
      <c r="C48" s="98">
        <f t="shared" si="6"/>
        <v>2000</v>
      </c>
      <c r="D48" s="98">
        <f t="shared" si="5"/>
        <v>1290</v>
      </c>
      <c r="E48" s="99">
        <v>2000</v>
      </c>
      <c r="F48" s="98">
        <v>0</v>
      </c>
      <c r="G48" s="96">
        <f t="shared" si="3"/>
        <v>0</v>
      </c>
      <c r="H48" s="25">
        <v>1420</v>
      </c>
      <c r="J48" s="1">
        <f>710+2000-1290</f>
        <v>1420</v>
      </c>
    </row>
    <row r="49" spans="1:12">
      <c r="A49" s="46" t="s">
        <v>620</v>
      </c>
      <c r="B49" s="93">
        <v>1890</v>
      </c>
      <c r="C49" s="98">
        <f t="shared" si="6"/>
        <v>2000</v>
      </c>
      <c r="D49" s="98">
        <f t="shared" si="5"/>
        <v>3890</v>
      </c>
      <c r="E49" s="99">
        <v>2500</v>
      </c>
      <c r="F49" s="98">
        <f t="shared" si="2"/>
        <v>1390</v>
      </c>
      <c r="G49" s="96">
        <f t="shared" si="3"/>
        <v>0.35732647814910024</v>
      </c>
      <c r="H49" s="25"/>
    </row>
    <row r="50" spans="1:12">
      <c r="A50" s="89" t="s">
        <v>621</v>
      </c>
      <c r="B50" s="93">
        <v>6700</v>
      </c>
      <c r="C50" s="98">
        <f t="shared" si="6"/>
        <v>2000</v>
      </c>
      <c r="D50" s="98">
        <f t="shared" si="5"/>
        <v>8700</v>
      </c>
      <c r="E50" s="99">
        <v>0</v>
      </c>
      <c r="F50" s="98">
        <f t="shared" si="2"/>
        <v>8700</v>
      </c>
      <c r="G50" s="96">
        <f t="shared" si="3"/>
        <v>1</v>
      </c>
      <c r="H50" s="25"/>
    </row>
    <row r="51" spans="1:12">
      <c r="A51" s="46" t="s">
        <v>622</v>
      </c>
      <c r="B51" s="93">
        <v>6300</v>
      </c>
      <c r="C51" s="98">
        <f t="shared" si="6"/>
        <v>2000</v>
      </c>
      <c r="D51" s="98">
        <f t="shared" si="5"/>
        <v>8300</v>
      </c>
      <c r="E51" s="99">
        <v>0</v>
      </c>
      <c r="F51" s="98">
        <f t="shared" si="2"/>
        <v>8300</v>
      </c>
      <c r="G51" s="96">
        <f t="shared" si="3"/>
        <v>1</v>
      </c>
      <c r="H51" s="25"/>
    </row>
    <row r="52" spans="1:12">
      <c r="A52" s="89" t="s">
        <v>623</v>
      </c>
      <c r="B52" s="93">
        <v>7050</v>
      </c>
      <c r="C52" s="98">
        <f t="shared" si="6"/>
        <v>2000</v>
      </c>
      <c r="D52" s="98">
        <f t="shared" si="5"/>
        <v>9050</v>
      </c>
      <c r="E52" s="99">
        <v>0</v>
      </c>
      <c r="F52" s="98">
        <f t="shared" si="2"/>
        <v>9050</v>
      </c>
      <c r="G52" s="96">
        <f t="shared" si="3"/>
        <v>1</v>
      </c>
      <c r="H52" s="25"/>
    </row>
    <row r="53" spans="1:12">
      <c r="A53" s="46" t="s">
        <v>624</v>
      </c>
      <c r="B53" s="93">
        <v>1800</v>
      </c>
      <c r="C53" s="98">
        <f t="shared" si="6"/>
        <v>2000</v>
      </c>
      <c r="D53" s="98">
        <f t="shared" si="5"/>
        <v>3800</v>
      </c>
      <c r="E53" s="99">
        <v>0</v>
      </c>
      <c r="F53" s="98">
        <f t="shared" si="2"/>
        <v>3800</v>
      </c>
      <c r="G53" s="96">
        <f t="shared" si="3"/>
        <v>1</v>
      </c>
      <c r="H53" s="25"/>
    </row>
    <row r="54" spans="1:12">
      <c r="A54" s="89" t="s">
        <v>625</v>
      </c>
      <c r="B54" s="93">
        <v>-520</v>
      </c>
      <c r="C54" s="98">
        <f t="shared" si="6"/>
        <v>2000</v>
      </c>
      <c r="D54" s="98">
        <f t="shared" si="5"/>
        <v>1480</v>
      </c>
      <c r="E54" s="99">
        <v>1250</v>
      </c>
      <c r="F54" s="98">
        <f t="shared" si="2"/>
        <v>230</v>
      </c>
      <c r="G54" s="96">
        <f t="shared" si="3"/>
        <v>0.1554054054054054</v>
      </c>
      <c r="H54" s="25"/>
    </row>
    <row r="55" spans="1:12">
      <c r="A55" s="46" t="s">
        <v>626</v>
      </c>
      <c r="B55" s="93">
        <v>1700</v>
      </c>
      <c r="C55" s="98">
        <f t="shared" si="6"/>
        <v>2000</v>
      </c>
      <c r="D55" s="98">
        <f t="shared" si="5"/>
        <v>3700</v>
      </c>
      <c r="E55" s="99">
        <v>1600</v>
      </c>
      <c r="F55" s="98">
        <f t="shared" si="2"/>
        <v>2100</v>
      </c>
      <c r="G55" s="96">
        <f t="shared" si="3"/>
        <v>0.56756756756756754</v>
      </c>
      <c r="H55" s="25"/>
    </row>
    <row r="56" spans="1:12">
      <c r="A56" s="89" t="s">
        <v>627</v>
      </c>
      <c r="B56" s="93">
        <v>90</v>
      </c>
      <c r="C56" s="98">
        <f t="shared" si="6"/>
        <v>2000</v>
      </c>
      <c r="D56" s="98">
        <f t="shared" si="5"/>
        <v>2090</v>
      </c>
      <c r="E56" s="99">
        <v>2750</v>
      </c>
      <c r="F56" s="98">
        <v>0</v>
      </c>
      <c r="G56" s="96">
        <f t="shared" si="3"/>
        <v>0</v>
      </c>
      <c r="H56" s="25">
        <f>Table1[[#This Row],[Contribution made (Actual)]]-Table1[[#This Row],[Total July 2021 - April 2022  Cont (Planned)2]]</f>
        <v>660</v>
      </c>
      <c r="J56" s="112"/>
    </row>
    <row r="57" spans="1:12">
      <c r="A57" s="46" t="s">
        <v>628</v>
      </c>
      <c r="B57" s="93">
        <v>4100</v>
      </c>
      <c r="C57" s="98">
        <f t="shared" si="6"/>
        <v>2000</v>
      </c>
      <c r="D57" s="98">
        <f t="shared" si="5"/>
        <v>6100</v>
      </c>
      <c r="E57" s="99">
        <v>0</v>
      </c>
      <c r="F57" s="98">
        <f t="shared" si="2"/>
        <v>6100</v>
      </c>
      <c r="G57" s="96">
        <f t="shared" si="3"/>
        <v>1</v>
      </c>
      <c r="H57" s="25"/>
    </row>
    <row r="58" spans="1:12">
      <c r="A58" s="89" t="s">
        <v>629</v>
      </c>
      <c r="B58" s="93">
        <v>6200</v>
      </c>
      <c r="C58" s="98">
        <f t="shared" si="6"/>
        <v>2000</v>
      </c>
      <c r="D58" s="98">
        <f t="shared" si="5"/>
        <v>8200</v>
      </c>
      <c r="E58" s="99">
        <v>0</v>
      </c>
      <c r="F58" s="98">
        <f t="shared" si="2"/>
        <v>8200</v>
      </c>
      <c r="G58" s="96">
        <f t="shared" si="3"/>
        <v>1</v>
      </c>
      <c r="H58" s="25"/>
      <c r="J58" s="2"/>
    </row>
    <row r="59" spans="1:12">
      <c r="A59" s="46" t="s">
        <v>630</v>
      </c>
      <c r="B59" s="93">
        <v>6500</v>
      </c>
      <c r="C59" s="98">
        <f t="shared" si="6"/>
        <v>2000</v>
      </c>
      <c r="D59" s="98">
        <f t="shared" si="5"/>
        <v>8500</v>
      </c>
      <c r="E59" s="99">
        <v>0</v>
      </c>
      <c r="F59" s="98">
        <f t="shared" si="2"/>
        <v>8500</v>
      </c>
      <c r="G59" s="96">
        <f t="shared" si="3"/>
        <v>1</v>
      </c>
      <c r="H59" s="25" t="s">
        <v>166</v>
      </c>
    </row>
    <row r="60" spans="1:12">
      <c r="A60" s="89" t="s">
        <v>631</v>
      </c>
      <c r="B60" s="93">
        <v>2400</v>
      </c>
      <c r="C60" s="98">
        <f t="shared" si="6"/>
        <v>2000</v>
      </c>
      <c r="D60" s="98">
        <f t="shared" si="5"/>
        <v>4400</v>
      </c>
      <c r="E60" s="99">
        <v>3250</v>
      </c>
      <c r="F60" s="98">
        <f t="shared" si="2"/>
        <v>1150</v>
      </c>
      <c r="G60" s="96">
        <f t="shared" si="3"/>
        <v>0.26136363636363635</v>
      </c>
      <c r="H60" s="25"/>
      <c r="J60" s="28" t="s">
        <v>167</v>
      </c>
      <c r="K60" s="2">
        <v>5100</v>
      </c>
    </row>
    <row r="61" spans="1:12">
      <c r="A61" s="46" t="s">
        <v>632</v>
      </c>
      <c r="B61" s="93">
        <v>6900</v>
      </c>
      <c r="C61" s="98">
        <f t="shared" si="6"/>
        <v>2000</v>
      </c>
      <c r="D61" s="98">
        <f t="shared" si="5"/>
        <v>8900</v>
      </c>
      <c r="E61" s="99">
        <v>0</v>
      </c>
      <c r="F61" s="98">
        <f t="shared" si="2"/>
        <v>8900</v>
      </c>
      <c r="G61" s="96">
        <f t="shared" si="3"/>
        <v>1</v>
      </c>
      <c r="H61" s="25"/>
      <c r="J61" s="28" t="s">
        <v>168</v>
      </c>
      <c r="K61" s="2">
        <v>2100</v>
      </c>
      <c r="L61" s="1" t="s">
        <v>178</v>
      </c>
    </row>
    <row r="62" spans="1:12">
      <c r="A62" s="89" t="s">
        <v>633</v>
      </c>
      <c r="B62" s="93">
        <v>4500</v>
      </c>
      <c r="C62" s="98">
        <f t="shared" si="6"/>
        <v>2000</v>
      </c>
      <c r="D62" s="98">
        <f t="shared" si="5"/>
        <v>6500</v>
      </c>
      <c r="E62" s="99">
        <v>400</v>
      </c>
      <c r="F62" s="98">
        <f t="shared" si="2"/>
        <v>6100</v>
      </c>
      <c r="G62" s="96">
        <f t="shared" si="3"/>
        <v>0.93846153846153846</v>
      </c>
      <c r="H62" s="25"/>
      <c r="J62" s="28" t="s">
        <v>169</v>
      </c>
      <c r="K62" s="30">
        <v>1691.6646999999998</v>
      </c>
      <c r="L62" s="1" t="s">
        <v>179</v>
      </c>
    </row>
    <row r="63" spans="1:12">
      <c r="A63" s="46" t="s">
        <v>634</v>
      </c>
      <c r="B63" s="93">
        <v>3600</v>
      </c>
      <c r="C63" s="98">
        <f t="shared" si="6"/>
        <v>2000</v>
      </c>
      <c r="D63" s="98">
        <f t="shared" si="5"/>
        <v>5600</v>
      </c>
      <c r="E63" s="99">
        <v>0</v>
      </c>
      <c r="F63" s="98">
        <f t="shared" si="2"/>
        <v>5600</v>
      </c>
      <c r="G63" s="96">
        <f t="shared" si="3"/>
        <v>1</v>
      </c>
      <c r="H63" s="25" t="s">
        <v>163</v>
      </c>
      <c r="J63" s="28" t="s">
        <v>170</v>
      </c>
      <c r="K63" s="1">
        <v>800</v>
      </c>
      <c r="L63" s="1" t="s">
        <v>178</v>
      </c>
    </row>
    <row r="64" spans="1:12">
      <c r="A64" s="89" t="s">
        <v>635</v>
      </c>
      <c r="B64" s="93">
        <v>6490</v>
      </c>
      <c r="C64" s="98">
        <f t="shared" si="6"/>
        <v>2000</v>
      </c>
      <c r="D64" s="98">
        <f t="shared" si="5"/>
        <v>8490</v>
      </c>
      <c r="E64" s="99">
        <v>0</v>
      </c>
      <c r="F64" s="98">
        <f t="shared" si="2"/>
        <v>8490</v>
      </c>
      <c r="G64" s="96">
        <f t="shared" si="3"/>
        <v>1</v>
      </c>
      <c r="H64" s="25"/>
      <c r="J64" s="28" t="s">
        <v>171</v>
      </c>
      <c r="K64" s="1">
        <f>K63*5.5%</f>
        <v>44</v>
      </c>
      <c r="L64" s="1" t="s">
        <v>179</v>
      </c>
    </row>
    <row r="65" spans="1:11">
      <c r="A65" s="46" t="s">
        <v>636</v>
      </c>
      <c r="B65" s="93">
        <v>6900</v>
      </c>
      <c r="C65" s="98">
        <f t="shared" si="6"/>
        <v>2000</v>
      </c>
      <c r="D65" s="98">
        <f t="shared" si="5"/>
        <v>8900</v>
      </c>
      <c r="E65" s="99">
        <v>0</v>
      </c>
      <c r="F65" s="98">
        <f t="shared" si="2"/>
        <v>8900</v>
      </c>
      <c r="G65" s="96">
        <f t="shared" si="3"/>
        <v>1</v>
      </c>
      <c r="H65" s="25" t="s">
        <v>163</v>
      </c>
    </row>
    <row r="66" spans="1:11">
      <c r="A66" s="89" t="s">
        <v>637</v>
      </c>
      <c r="B66" s="93">
        <v>4700</v>
      </c>
      <c r="C66" s="98">
        <f t="shared" si="6"/>
        <v>2000</v>
      </c>
      <c r="D66" s="98">
        <f t="shared" ref="D66:D91" si="7">B66+C66</f>
        <v>6700</v>
      </c>
      <c r="E66" s="99">
        <v>0</v>
      </c>
      <c r="F66" s="98">
        <f t="shared" si="2"/>
        <v>6700</v>
      </c>
      <c r="G66" s="96">
        <f t="shared" si="3"/>
        <v>1</v>
      </c>
      <c r="H66" s="25"/>
      <c r="J66" s="1" t="s">
        <v>172</v>
      </c>
      <c r="K66" s="1" t="s">
        <v>177</v>
      </c>
    </row>
    <row r="67" spans="1:11">
      <c r="A67" s="46" t="s">
        <v>638</v>
      </c>
      <c r="B67" s="93">
        <v>4100</v>
      </c>
      <c r="C67" s="98">
        <f t="shared" si="6"/>
        <v>2000</v>
      </c>
      <c r="D67" s="98">
        <f t="shared" si="7"/>
        <v>6100</v>
      </c>
      <c r="E67" s="99">
        <v>1300</v>
      </c>
      <c r="F67" s="98">
        <f t="shared" ref="F67:F90" si="8">B67+C67-E67</f>
        <v>4800</v>
      </c>
      <c r="G67" s="96">
        <f t="shared" ref="G67:G90" si="9">F67/D67</f>
        <v>0.78688524590163933</v>
      </c>
      <c r="H67" s="25"/>
    </row>
    <row r="68" spans="1:11">
      <c r="A68" s="89" t="s">
        <v>639</v>
      </c>
      <c r="B68" s="93">
        <v>600</v>
      </c>
      <c r="C68" s="98">
        <f t="shared" si="6"/>
        <v>2000</v>
      </c>
      <c r="D68" s="98">
        <f t="shared" si="7"/>
        <v>2600</v>
      </c>
      <c r="E68" s="99">
        <v>2500</v>
      </c>
      <c r="F68" s="98">
        <f t="shared" si="8"/>
        <v>100</v>
      </c>
      <c r="G68" s="96">
        <f t="shared" si="9"/>
        <v>3.8461538461538464E-2</v>
      </c>
      <c r="H68" s="25"/>
    </row>
    <row r="69" spans="1:11">
      <c r="A69" s="46" t="s">
        <v>640</v>
      </c>
      <c r="B69" s="93">
        <v>2100</v>
      </c>
      <c r="C69" s="98">
        <f t="shared" si="6"/>
        <v>2000</v>
      </c>
      <c r="D69" s="98">
        <f t="shared" si="7"/>
        <v>4100</v>
      </c>
      <c r="E69" s="99">
        <v>0</v>
      </c>
      <c r="F69" s="98">
        <f t="shared" si="8"/>
        <v>4100</v>
      </c>
      <c r="G69" s="96">
        <f t="shared" si="9"/>
        <v>1</v>
      </c>
      <c r="H69" s="25"/>
    </row>
    <row r="70" spans="1:11">
      <c r="A70" s="89" t="s">
        <v>641</v>
      </c>
      <c r="B70" s="93">
        <v>150</v>
      </c>
      <c r="C70" s="98">
        <f t="shared" ref="C70:C90" si="10">200*10</f>
        <v>2000</v>
      </c>
      <c r="D70" s="98">
        <f t="shared" si="7"/>
        <v>2150</v>
      </c>
      <c r="E70" s="99">
        <v>2700</v>
      </c>
      <c r="F70" s="98">
        <v>0</v>
      </c>
      <c r="G70" s="96">
        <f t="shared" si="9"/>
        <v>0</v>
      </c>
      <c r="H70" s="25">
        <v>550</v>
      </c>
    </row>
    <row r="71" spans="1:11">
      <c r="A71" s="46" t="s">
        <v>642</v>
      </c>
      <c r="B71" s="93">
        <v>3400</v>
      </c>
      <c r="C71" s="98">
        <f t="shared" si="10"/>
        <v>2000</v>
      </c>
      <c r="D71" s="98">
        <f t="shared" si="7"/>
        <v>5400</v>
      </c>
      <c r="E71" s="99">
        <v>0</v>
      </c>
      <c r="F71" s="98">
        <f t="shared" si="8"/>
        <v>5400</v>
      </c>
      <c r="G71" s="96">
        <f t="shared" si="9"/>
        <v>1</v>
      </c>
      <c r="H71" s="25"/>
    </row>
    <row r="72" spans="1:11">
      <c r="A72" s="89" t="s">
        <v>643</v>
      </c>
      <c r="B72" s="93">
        <v>6200</v>
      </c>
      <c r="C72" s="98">
        <f t="shared" si="10"/>
        <v>2000</v>
      </c>
      <c r="D72" s="98">
        <f t="shared" si="7"/>
        <v>8200</v>
      </c>
      <c r="E72" s="99">
        <v>0</v>
      </c>
      <c r="F72" s="98">
        <f t="shared" si="8"/>
        <v>8200</v>
      </c>
      <c r="G72" s="96">
        <f t="shared" si="9"/>
        <v>1</v>
      </c>
      <c r="H72" s="25"/>
    </row>
    <row r="73" spans="1:11">
      <c r="A73" s="46" t="s">
        <v>644</v>
      </c>
      <c r="B73" s="93">
        <v>-100</v>
      </c>
      <c r="C73" s="98">
        <f t="shared" si="10"/>
        <v>2000</v>
      </c>
      <c r="D73" s="98">
        <f t="shared" si="7"/>
        <v>1900</v>
      </c>
      <c r="E73" s="99">
        <v>1600</v>
      </c>
      <c r="F73" s="98">
        <f t="shared" si="8"/>
        <v>300</v>
      </c>
      <c r="G73" s="96">
        <f t="shared" si="9"/>
        <v>0.15789473684210525</v>
      </c>
      <c r="H73" s="25"/>
    </row>
    <row r="74" spans="1:11">
      <c r="A74" s="89" t="s">
        <v>645</v>
      </c>
      <c r="B74" s="93">
        <v>1684.8500000000004</v>
      </c>
      <c r="C74" s="98">
        <f t="shared" si="10"/>
        <v>2000</v>
      </c>
      <c r="D74" s="98">
        <f t="shared" si="7"/>
        <v>3684.8500000000004</v>
      </c>
      <c r="E74" s="99">
        <v>0</v>
      </c>
      <c r="F74" s="98">
        <f t="shared" si="8"/>
        <v>3684.8500000000004</v>
      </c>
      <c r="G74" s="96">
        <f t="shared" si="9"/>
        <v>1</v>
      </c>
      <c r="H74" s="25"/>
    </row>
    <row r="75" spans="1:11">
      <c r="A75" s="46" t="s">
        <v>646</v>
      </c>
      <c r="B75" s="93">
        <v>1900</v>
      </c>
      <c r="C75" s="98">
        <f t="shared" si="10"/>
        <v>2000</v>
      </c>
      <c r="D75" s="98">
        <f t="shared" si="7"/>
        <v>3900</v>
      </c>
      <c r="E75" s="99">
        <v>600</v>
      </c>
      <c r="F75" s="98">
        <f t="shared" si="8"/>
        <v>3300</v>
      </c>
      <c r="G75" s="96">
        <f t="shared" si="9"/>
        <v>0.84615384615384615</v>
      </c>
      <c r="H75" s="25"/>
    </row>
    <row r="76" spans="1:11">
      <c r="A76" s="89" t="s">
        <v>647</v>
      </c>
      <c r="B76" s="93">
        <v>4900</v>
      </c>
      <c r="C76" s="98">
        <f t="shared" si="10"/>
        <v>2000</v>
      </c>
      <c r="D76" s="98">
        <f t="shared" si="7"/>
        <v>6900</v>
      </c>
      <c r="E76" s="99">
        <v>0</v>
      </c>
      <c r="F76" s="98">
        <f t="shared" si="8"/>
        <v>6900</v>
      </c>
      <c r="G76" s="96">
        <f t="shared" si="9"/>
        <v>1</v>
      </c>
      <c r="H76" s="25"/>
    </row>
    <row r="77" spans="1:11">
      <c r="A77" s="46" t="s">
        <v>648</v>
      </c>
      <c r="B77" s="93">
        <v>6900</v>
      </c>
      <c r="C77" s="98">
        <f t="shared" si="10"/>
        <v>2000</v>
      </c>
      <c r="D77" s="98">
        <f t="shared" si="7"/>
        <v>8900</v>
      </c>
      <c r="E77" s="99">
        <v>0</v>
      </c>
      <c r="F77" s="98">
        <f t="shared" si="8"/>
        <v>8900</v>
      </c>
      <c r="G77" s="96">
        <f t="shared" si="9"/>
        <v>1</v>
      </c>
      <c r="H77" s="25"/>
    </row>
    <row r="78" spans="1:11">
      <c r="A78" s="89" t="s">
        <v>649</v>
      </c>
      <c r="B78" s="93">
        <v>2900</v>
      </c>
      <c r="C78" s="98">
        <f t="shared" si="10"/>
        <v>2000</v>
      </c>
      <c r="D78" s="98">
        <f t="shared" si="7"/>
        <v>4900</v>
      </c>
      <c r="E78" s="99">
        <v>0</v>
      </c>
      <c r="F78" s="98">
        <f t="shared" si="8"/>
        <v>4900</v>
      </c>
      <c r="G78" s="96">
        <f t="shared" si="9"/>
        <v>1</v>
      </c>
      <c r="H78" s="25"/>
    </row>
    <row r="79" spans="1:11">
      <c r="A79" s="46" t="s">
        <v>650</v>
      </c>
      <c r="B79" s="93">
        <v>6400</v>
      </c>
      <c r="C79" s="98">
        <f t="shared" si="10"/>
        <v>2000</v>
      </c>
      <c r="D79" s="98">
        <f t="shared" si="7"/>
        <v>8400</v>
      </c>
      <c r="E79" s="99">
        <v>0</v>
      </c>
      <c r="F79" s="98">
        <f t="shared" si="8"/>
        <v>8400</v>
      </c>
      <c r="G79" s="96">
        <f t="shared" si="9"/>
        <v>1</v>
      </c>
      <c r="H79" s="25"/>
    </row>
    <row r="80" spans="1:11">
      <c r="A80" s="89" t="s">
        <v>651</v>
      </c>
      <c r="B80" s="93">
        <v>5300</v>
      </c>
      <c r="C80" s="98">
        <f t="shared" si="10"/>
        <v>2000</v>
      </c>
      <c r="D80" s="98">
        <f t="shared" si="7"/>
        <v>7300</v>
      </c>
      <c r="E80" s="99">
        <v>0</v>
      </c>
      <c r="F80" s="98">
        <f t="shared" si="8"/>
        <v>7300</v>
      </c>
      <c r="G80" s="96">
        <f t="shared" si="9"/>
        <v>1</v>
      </c>
      <c r="H80" s="25"/>
    </row>
    <row r="81" spans="1:8">
      <c r="A81" s="46" t="s">
        <v>652</v>
      </c>
      <c r="B81" s="93">
        <v>2450</v>
      </c>
      <c r="C81" s="98">
        <f t="shared" si="10"/>
        <v>2000</v>
      </c>
      <c r="D81" s="98">
        <f t="shared" si="7"/>
        <v>4450</v>
      </c>
      <c r="E81" s="99">
        <v>900</v>
      </c>
      <c r="F81" s="98">
        <f t="shared" si="8"/>
        <v>3550</v>
      </c>
      <c r="G81" s="96">
        <f t="shared" si="9"/>
        <v>0.797752808988764</v>
      </c>
      <c r="H81" s="25"/>
    </row>
    <row r="82" spans="1:8">
      <c r="A82" s="89" t="s">
        <v>653</v>
      </c>
      <c r="B82" s="93">
        <v>1100</v>
      </c>
      <c r="C82" s="98">
        <f t="shared" si="10"/>
        <v>2000</v>
      </c>
      <c r="D82" s="98">
        <f t="shared" si="7"/>
        <v>3100</v>
      </c>
      <c r="E82" s="99">
        <v>0</v>
      </c>
      <c r="F82" s="98">
        <f t="shared" si="8"/>
        <v>3100</v>
      </c>
      <c r="G82" s="96">
        <f t="shared" si="9"/>
        <v>1</v>
      </c>
      <c r="H82" s="25"/>
    </row>
    <row r="83" spans="1:8">
      <c r="A83" s="46" t="s">
        <v>654</v>
      </c>
      <c r="B83" s="93">
        <v>600</v>
      </c>
      <c r="C83" s="98">
        <f t="shared" si="10"/>
        <v>2000</v>
      </c>
      <c r="D83" s="98">
        <f t="shared" si="7"/>
        <v>2600</v>
      </c>
      <c r="E83" s="99">
        <v>0</v>
      </c>
      <c r="F83" s="98">
        <f t="shared" si="8"/>
        <v>2600</v>
      </c>
      <c r="G83" s="96">
        <f t="shared" si="9"/>
        <v>1</v>
      </c>
      <c r="H83" s="25"/>
    </row>
    <row r="84" spans="1:8">
      <c r="A84" s="89" t="s">
        <v>655</v>
      </c>
      <c r="B84" s="93">
        <v>4700</v>
      </c>
      <c r="C84" s="98">
        <f t="shared" si="10"/>
        <v>2000</v>
      </c>
      <c r="D84" s="98">
        <f t="shared" si="7"/>
        <v>6700</v>
      </c>
      <c r="E84" s="99">
        <v>0</v>
      </c>
      <c r="F84" s="98">
        <f t="shared" si="8"/>
        <v>6700</v>
      </c>
      <c r="G84" s="96">
        <f t="shared" si="9"/>
        <v>1</v>
      </c>
      <c r="H84" s="25"/>
    </row>
    <row r="85" spans="1:8">
      <c r="A85" s="46" t="s">
        <v>656</v>
      </c>
      <c r="B85" s="93">
        <v>2350</v>
      </c>
      <c r="C85" s="98">
        <f t="shared" si="10"/>
        <v>2000</v>
      </c>
      <c r="D85" s="98">
        <f t="shared" si="7"/>
        <v>4350</v>
      </c>
      <c r="E85" s="99">
        <v>0</v>
      </c>
      <c r="F85" s="98">
        <f t="shared" si="8"/>
        <v>4350</v>
      </c>
      <c r="G85" s="96">
        <f t="shared" si="9"/>
        <v>1</v>
      </c>
      <c r="H85" s="25"/>
    </row>
    <row r="86" spans="1:8">
      <c r="A86" s="89" t="s">
        <v>657</v>
      </c>
      <c r="B86" s="93">
        <v>3800</v>
      </c>
      <c r="C86" s="98">
        <f t="shared" si="10"/>
        <v>2000</v>
      </c>
      <c r="D86" s="98">
        <f t="shared" si="7"/>
        <v>5800</v>
      </c>
      <c r="E86" s="99">
        <v>1900</v>
      </c>
      <c r="F86" s="98">
        <f t="shared" si="8"/>
        <v>3900</v>
      </c>
      <c r="G86" s="96">
        <f t="shared" si="9"/>
        <v>0.67241379310344829</v>
      </c>
      <c r="H86" s="25"/>
    </row>
    <row r="87" spans="1:8">
      <c r="A87" s="46" t="s">
        <v>658</v>
      </c>
      <c r="B87" s="93">
        <v>7100</v>
      </c>
      <c r="C87" s="98">
        <f t="shared" si="10"/>
        <v>2000</v>
      </c>
      <c r="D87" s="98">
        <f t="shared" si="7"/>
        <v>9100</v>
      </c>
      <c r="E87" s="99">
        <v>0</v>
      </c>
      <c r="F87" s="98">
        <f t="shared" si="8"/>
        <v>9100</v>
      </c>
      <c r="G87" s="96">
        <f t="shared" si="9"/>
        <v>1</v>
      </c>
      <c r="H87" s="25"/>
    </row>
    <row r="88" spans="1:8">
      <c r="A88" s="89" t="s">
        <v>659</v>
      </c>
      <c r="B88" s="93">
        <v>6100</v>
      </c>
      <c r="C88" s="98">
        <f t="shared" si="10"/>
        <v>2000</v>
      </c>
      <c r="D88" s="98">
        <f t="shared" si="7"/>
        <v>8100</v>
      </c>
      <c r="E88" s="99">
        <v>1300</v>
      </c>
      <c r="F88" s="98">
        <f t="shared" si="8"/>
        <v>6800</v>
      </c>
      <c r="G88" s="96">
        <f t="shared" si="9"/>
        <v>0.83950617283950613</v>
      </c>
      <c r="H88" s="25"/>
    </row>
    <row r="89" spans="1:8">
      <c r="A89" s="46" t="s">
        <v>660</v>
      </c>
      <c r="B89" s="93">
        <v>6500</v>
      </c>
      <c r="C89" s="98">
        <f t="shared" si="10"/>
        <v>2000</v>
      </c>
      <c r="D89" s="98">
        <f t="shared" si="7"/>
        <v>8500</v>
      </c>
      <c r="E89" s="99">
        <v>0</v>
      </c>
      <c r="F89" s="98">
        <f t="shared" si="8"/>
        <v>8500</v>
      </c>
      <c r="G89" s="96">
        <f t="shared" si="9"/>
        <v>1</v>
      </c>
      <c r="H89" s="25"/>
    </row>
    <row r="90" spans="1:8">
      <c r="A90" s="89" t="s">
        <v>661</v>
      </c>
      <c r="B90" s="93">
        <v>4800</v>
      </c>
      <c r="C90" s="98">
        <f t="shared" si="10"/>
        <v>2000</v>
      </c>
      <c r="D90" s="98">
        <f t="shared" si="7"/>
        <v>6800</v>
      </c>
      <c r="E90" s="99">
        <v>1600</v>
      </c>
      <c r="F90" s="98">
        <f t="shared" si="8"/>
        <v>5200</v>
      </c>
      <c r="G90" s="96">
        <f t="shared" si="9"/>
        <v>0.76470588235294112</v>
      </c>
      <c r="H90" s="26"/>
    </row>
    <row r="91" spans="1:8">
      <c r="A91" s="7"/>
      <c r="B91" s="95">
        <f>SUBTOTAL(109,B2:B90)</f>
        <v>323937.29000000004</v>
      </c>
      <c r="C91" s="95">
        <f>SUBTOTAL(109,C2:C90)</f>
        <v>178000</v>
      </c>
      <c r="D91" s="95">
        <f t="shared" si="7"/>
        <v>501937.29000000004</v>
      </c>
      <c r="E91" s="95">
        <f>SUBTOTAL(109,E2:E90)</f>
        <v>58840</v>
      </c>
      <c r="F91" s="95">
        <f>SUBTOTAL(109,F2:F90)</f>
        <v>451597.29</v>
      </c>
      <c r="G91" s="8"/>
      <c r="H91" s="25"/>
    </row>
    <row r="92" spans="1:8">
      <c r="A92" s="16"/>
      <c r="B92" s="16"/>
      <c r="C92" s="92"/>
      <c r="D92" s="92"/>
      <c r="E92" s="92"/>
      <c r="F92" s="92"/>
      <c r="G92" s="310"/>
    </row>
  </sheetData>
  <phoneticPr fontId="4" type="noConversion"/>
  <pageMargins left="0.7" right="0.7" top="0.75" bottom="0.75" header="0.3" footer="0.3"/>
  <pageSetup paperSize="9" orientation="portrait" horizontalDpi="300" verticalDpi="300"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95"/>
  <sheetViews>
    <sheetView zoomScaleNormal="100" workbookViewId="0">
      <selection activeCell="H7" sqref="H7"/>
    </sheetView>
  </sheetViews>
  <sheetFormatPr defaultRowHeight="14.25"/>
  <cols>
    <col min="1" max="1" width="15.3984375" bestFit="1" customWidth="1"/>
    <col min="2" max="2" width="8.1328125" bestFit="1" customWidth="1"/>
    <col min="3" max="3" width="8" bestFit="1" customWidth="1"/>
    <col min="4" max="4" width="21.86328125" bestFit="1" customWidth="1"/>
    <col min="5" max="5" width="26.86328125" customWidth="1"/>
    <col min="6" max="6" width="12.265625" bestFit="1" customWidth="1"/>
    <col min="7" max="7" width="17.86328125" bestFit="1" customWidth="1"/>
  </cols>
  <sheetData>
    <row r="1" spans="1:8">
      <c r="A1" s="88" t="s">
        <v>256</v>
      </c>
      <c r="B1" t="s">
        <v>257</v>
      </c>
      <c r="C1" t="s">
        <v>258</v>
      </c>
      <c r="D1" t="s">
        <v>259</v>
      </c>
      <c r="E1" t="s">
        <v>0</v>
      </c>
      <c r="F1" t="s">
        <v>260</v>
      </c>
      <c r="G1" t="s">
        <v>261</v>
      </c>
      <c r="H1" t="s">
        <v>387</v>
      </c>
    </row>
    <row r="2" spans="1:8" ht="15" customHeight="1">
      <c r="A2" s="88">
        <v>43284.749500578699</v>
      </c>
      <c r="B2">
        <v>150</v>
      </c>
      <c r="C2">
        <v>1.335</v>
      </c>
      <c r="D2" t="s">
        <v>1</v>
      </c>
      <c r="F2" t="s">
        <v>3</v>
      </c>
      <c r="G2" t="s">
        <v>262</v>
      </c>
    </row>
    <row r="3" spans="1:8" ht="15" customHeight="1">
      <c r="A3" s="88">
        <v>43290.723235497702</v>
      </c>
      <c r="B3">
        <v>100</v>
      </c>
      <c r="C3">
        <v>9.99</v>
      </c>
      <c r="D3" t="s">
        <v>1</v>
      </c>
      <c r="F3" t="s">
        <v>3</v>
      </c>
      <c r="G3" t="s">
        <v>263</v>
      </c>
    </row>
    <row r="4" spans="1:8" ht="15" customHeight="1">
      <c r="A4" s="88">
        <v>43290.723235497702</v>
      </c>
      <c r="B4">
        <v>100</v>
      </c>
      <c r="C4">
        <v>0.89</v>
      </c>
      <c r="D4" t="s">
        <v>1</v>
      </c>
      <c r="F4" t="s">
        <v>3</v>
      </c>
      <c r="G4" t="s">
        <v>264</v>
      </c>
    </row>
    <row r="5" spans="1:8" ht="15" customHeight="1">
      <c r="A5" s="88">
        <v>43291.743783414298</v>
      </c>
      <c r="B5">
        <v>300</v>
      </c>
      <c r="C5">
        <v>2.67</v>
      </c>
      <c r="D5" t="s">
        <v>1</v>
      </c>
      <c r="F5" t="s">
        <v>3</v>
      </c>
      <c r="G5" t="s">
        <v>265</v>
      </c>
    </row>
    <row r="6" spans="1:8" ht="15" customHeight="1">
      <c r="A6" s="88">
        <v>43291.747867164398</v>
      </c>
      <c r="B6">
        <v>150</v>
      </c>
      <c r="C6">
        <v>1.335</v>
      </c>
      <c r="D6" t="s">
        <v>1</v>
      </c>
      <c r="F6" t="s">
        <v>3</v>
      </c>
      <c r="G6" t="s">
        <v>266</v>
      </c>
    </row>
    <row r="7" spans="1:8" ht="15" customHeight="1">
      <c r="A7" s="88">
        <v>43292.745626469899</v>
      </c>
      <c r="B7">
        <v>200</v>
      </c>
      <c r="C7">
        <v>1.78</v>
      </c>
      <c r="D7" t="s">
        <v>1</v>
      </c>
      <c r="F7" t="s">
        <v>3</v>
      </c>
      <c r="G7" t="s">
        <v>267</v>
      </c>
    </row>
    <row r="8" spans="1:8" ht="15" customHeight="1">
      <c r="A8" s="88">
        <v>43292.745626469899</v>
      </c>
      <c r="B8" s="17">
        <v>300</v>
      </c>
      <c r="C8">
        <v>2.67</v>
      </c>
      <c r="D8" t="s">
        <v>1</v>
      </c>
      <c r="F8" t="s">
        <v>3</v>
      </c>
      <c r="G8" t="s">
        <v>268</v>
      </c>
    </row>
    <row r="9" spans="1:8" ht="15" customHeight="1">
      <c r="A9" s="88">
        <v>43293.721973460597</v>
      </c>
      <c r="B9">
        <v>300</v>
      </c>
      <c r="C9">
        <v>2.67</v>
      </c>
      <c r="D9" t="s">
        <v>1</v>
      </c>
      <c r="F9" t="s">
        <v>3</v>
      </c>
      <c r="G9" t="s">
        <v>269</v>
      </c>
    </row>
    <row r="10" spans="1:8" ht="15" customHeight="1">
      <c r="A10" s="88">
        <v>43294.7440648958</v>
      </c>
      <c r="B10" s="17">
        <v>300</v>
      </c>
      <c r="C10">
        <v>2.67</v>
      </c>
      <c r="D10" t="s">
        <v>1</v>
      </c>
      <c r="F10" t="s">
        <v>3</v>
      </c>
      <c r="G10" t="s">
        <v>270</v>
      </c>
    </row>
    <row r="11" spans="1:8" ht="15" customHeight="1">
      <c r="A11" s="88">
        <v>43294.7440648958</v>
      </c>
      <c r="B11">
        <v>200</v>
      </c>
      <c r="C11">
        <v>1.78</v>
      </c>
      <c r="D11" t="s">
        <v>1</v>
      </c>
      <c r="F11" t="s">
        <v>3</v>
      </c>
      <c r="G11" t="s">
        <v>262</v>
      </c>
    </row>
    <row r="12" spans="1:8" ht="15" customHeight="1">
      <c r="A12" s="88">
        <v>43306.7426241551</v>
      </c>
      <c r="B12" s="17">
        <v>300</v>
      </c>
      <c r="C12">
        <v>2.67</v>
      </c>
      <c r="D12" t="s">
        <v>1</v>
      </c>
      <c r="F12" t="s">
        <v>3</v>
      </c>
      <c r="G12" t="s">
        <v>271</v>
      </c>
    </row>
    <row r="13" spans="1:8" ht="15" customHeight="1">
      <c r="A13" s="88">
        <v>43307.7434082986</v>
      </c>
      <c r="B13">
        <v>100</v>
      </c>
      <c r="C13">
        <v>0.89</v>
      </c>
      <c r="D13" t="s">
        <v>1</v>
      </c>
      <c r="F13" t="s">
        <v>3</v>
      </c>
      <c r="G13" t="s">
        <v>272</v>
      </c>
    </row>
    <row r="14" spans="1:8" ht="15" customHeight="1">
      <c r="A14" s="88">
        <v>43308.657505902796</v>
      </c>
      <c r="B14" s="17">
        <v>300</v>
      </c>
      <c r="C14">
        <v>2.67</v>
      </c>
      <c r="D14" t="s">
        <v>1</v>
      </c>
      <c r="F14" t="s">
        <v>3</v>
      </c>
      <c r="G14" t="s">
        <v>273</v>
      </c>
    </row>
    <row r="15" spans="1:8" ht="15" customHeight="1">
      <c r="A15" s="145">
        <v>43308.657505902796</v>
      </c>
      <c r="B15" s="146">
        <v>0</v>
      </c>
      <c r="C15">
        <v>2.67</v>
      </c>
      <c r="D15" t="s">
        <v>1</v>
      </c>
      <c r="F15" t="s">
        <v>3</v>
      </c>
      <c r="G15" t="s">
        <v>262</v>
      </c>
    </row>
    <row r="16" spans="1:8" ht="15" customHeight="1">
      <c r="A16" s="88">
        <v>43310.655345405103</v>
      </c>
      <c r="B16">
        <v>300</v>
      </c>
      <c r="C16">
        <v>9.99</v>
      </c>
      <c r="D16" t="s">
        <v>1</v>
      </c>
      <c r="F16" t="s">
        <v>274</v>
      </c>
      <c r="G16" t="s">
        <v>275</v>
      </c>
    </row>
    <row r="17" spans="1:8" ht="15" customHeight="1">
      <c r="A17" s="126">
        <v>43311.743843020799</v>
      </c>
      <c r="B17" s="17">
        <v>300</v>
      </c>
      <c r="C17" s="17">
        <v>2.67</v>
      </c>
      <c r="D17" s="17" t="s">
        <v>1</v>
      </c>
      <c r="E17" s="17"/>
      <c r="F17" s="17" t="s">
        <v>3</v>
      </c>
      <c r="G17" s="17" t="s">
        <v>16</v>
      </c>
      <c r="H17" s="127">
        <f>C17/B17*100</f>
        <v>0.89</v>
      </c>
    </row>
    <row r="18" spans="1:8" ht="15" customHeight="1">
      <c r="A18" s="88">
        <v>43311.743843020799</v>
      </c>
      <c r="B18">
        <v>310</v>
      </c>
      <c r="C18">
        <v>9.99</v>
      </c>
      <c r="D18" t="s">
        <v>1</v>
      </c>
      <c r="F18" t="s">
        <v>3</v>
      </c>
      <c r="G18" t="s">
        <v>276</v>
      </c>
    </row>
    <row r="19" spans="1:8" ht="15" customHeight="1">
      <c r="A19" s="88">
        <v>43311.743843020799</v>
      </c>
      <c r="B19">
        <v>200</v>
      </c>
      <c r="C19">
        <v>1.78</v>
      </c>
      <c r="D19" t="s">
        <v>1</v>
      </c>
      <c r="F19" t="s">
        <v>3</v>
      </c>
      <c r="G19" t="s">
        <v>264</v>
      </c>
    </row>
    <row r="20" spans="1:8" ht="15" customHeight="1">
      <c r="A20" s="88">
        <v>43312.715379513902</v>
      </c>
      <c r="B20">
        <v>400</v>
      </c>
      <c r="C20">
        <v>3.56</v>
      </c>
      <c r="D20" t="s">
        <v>1</v>
      </c>
      <c r="F20" t="s">
        <v>3</v>
      </c>
      <c r="G20" t="s">
        <v>272</v>
      </c>
    </row>
    <row r="21" spans="1:8" ht="15" customHeight="1">
      <c r="A21" s="88">
        <v>43312.715379513902</v>
      </c>
      <c r="B21" s="144">
        <v>300</v>
      </c>
      <c r="C21">
        <v>2.67</v>
      </c>
      <c r="D21" t="s">
        <v>1</v>
      </c>
      <c r="F21" t="s">
        <v>3</v>
      </c>
      <c r="G21" t="s">
        <v>277</v>
      </c>
    </row>
    <row r="22" spans="1:8" ht="15" customHeight="1">
      <c r="A22" s="88">
        <v>43312.715379513902</v>
      </c>
      <c r="B22" s="17">
        <v>300</v>
      </c>
      <c r="C22">
        <v>2.67</v>
      </c>
      <c r="D22" t="s">
        <v>1</v>
      </c>
      <c r="F22" t="s">
        <v>3</v>
      </c>
      <c r="G22" t="s">
        <v>278</v>
      </c>
    </row>
    <row r="23" spans="1:8" ht="15" customHeight="1">
      <c r="A23" s="88">
        <v>43312.715379513902</v>
      </c>
      <c r="B23">
        <v>300</v>
      </c>
      <c r="C23">
        <v>2.67</v>
      </c>
      <c r="D23" t="s">
        <v>1</v>
      </c>
      <c r="F23" t="s">
        <v>3</v>
      </c>
      <c r="G23" t="s">
        <v>279</v>
      </c>
    </row>
    <row r="24" spans="1:8" ht="15" customHeight="1">
      <c r="A24" s="88">
        <v>43312.715379513902</v>
      </c>
      <c r="B24">
        <v>300</v>
      </c>
      <c r="C24">
        <v>2.67</v>
      </c>
      <c r="D24" t="s">
        <v>1</v>
      </c>
      <c r="F24" t="s">
        <v>3</v>
      </c>
      <c r="G24" t="s">
        <v>281</v>
      </c>
    </row>
    <row r="25" spans="1:8" ht="15" customHeight="1">
      <c r="A25" s="126">
        <v>43312.715379513902</v>
      </c>
      <c r="B25" s="17">
        <v>300</v>
      </c>
      <c r="C25" s="17">
        <v>2.67</v>
      </c>
      <c r="D25" s="17" t="s">
        <v>1</v>
      </c>
      <c r="E25" s="17"/>
      <c r="F25" s="17" t="s">
        <v>3</v>
      </c>
      <c r="G25" s="17" t="s">
        <v>282</v>
      </c>
      <c r="H25">
        <f>C25/B25*100</f>
        <v>0.89</v>
      </c>
    </row>
    <row r="26" spans="1:8" ht="15" customHeight="1">
      <c r="A26" s="88">
        <v>43312.715379513902</v>
      </c>
      <c r="B26">
        <v>300</v>
      </c>
      <c r="C26">
        <v>2.67</v>
      </c>
      <c r="D26" t="s">
        <v>1</v>
      </c>
      <c r="F26" t="s">
        <v>3</v>
      </c>
      <c r="G26" t="s">
        <v>283</v>
      </c>
    </row>
    <row r="27" spans="1:8" ht="15" customHeight="1">
      <c r="A27" s="88">
        <v>43312.715379513902</v>
      </c>
      <c r="B27">
        <v>200</v>
      </c>
      <c r="C27">
        <v>1.78</v>
      </c>
      <c r="D27" t="s">
        <v>1</v>
      </c>
      <c r="F27" t="s">
        <v>3</v>
      </c>
      <c r="G27" t="s">
        <v>266</v>
      </c>
    </row>
    <row r="28" spans="1:8" ht="15" customHeight="1">
      <c r="A28" s="88">
        <v>43313.7431180208</v>
      </c>
      <c r="B28" s="17">
        <v>300</v>
      </c>
      <c r="C28">
        <v>2.67</v>
      </c>
      <c r="D28" t="s">
        <v>1</v>
      </c>
      <c r="F28" t="s">
        <v>3</v>
      </c>
      <c r="G28" t="s">
        <v>284</v>
      </c>
    </row>
    <row r="29" spans="1:8" ht="15" customHeight="1">
      <c r="A29" s="88">
        <v>43314.688287812503</v>
      </c>
      <c r="B29">
        <v>300</v>
      </c>
      <c r="C29">
        <v>2.67</v>
      </c>
      <c r="D29" t="s">
        <v>1</v>
      </c>
      <c r="F29" t="s">
        <v>3</v>
      </c>
      <c r="G29" t="s">
        <v>285</v>
      </c>
    </row>
    <row r="30" spans="1:8" ht="15" customHeight="1">
      <c r="A30" s="88">
        <v>43318.6837864931</v>
      </c>
      <c r="B30">
        <v>200</v>
      </c>
      <c r="C30">
        <v>1.78</v>
      </c>
      <c r="D30" t="s">
        <v>1</v>
      </c>
      <c r="F30" t="s">
        <v>3</v>
      </c>
      <c r="G30" t="s">
        <v>265</v>
      </c>
    </row>
    <row r="31" spans="1:8" ht="15" customHeight="1">
      <c r="A31" s="88">
        <v>43318.6837864931</v>
      </c>
      <c r="B31">
        <v>400</v>
      </c>
      <c r="C31">
        <v>9.99</v>
      </c>
      <c r="D31" t="s">
        <v>1</v>
      </c>
      <c r="F31" t="s">
        <v>3</v>
      </c>
      <c r="G31" t="s">
        <v>286</v>
      </c>
    </row>
    <row r="32" spans="1:8" ht="15" customHeight="1">
      <c r="A32" s="88">
        <v>43318.6837864931</v>
      </c>
      <c r="B32">
        <v>300</v>
      </c>
      <c r="C32">
        <v>2.67</v>
      </c>
      <c r="D32" t="s">
        <v>1</v>
      </c>
      <c r="F32" t="s">
        <v>3</v>
      </c>
      <c r="G32" t="s">
        <v>287</v>
      </c>
    </row>
    <row r="33" spans="1:8" ht="15" customHeight="1">
      <c r="A33" s="88">
        <v>43318.6837864931</v>
      </c>
      <c r="B33">
        <v>300</v>
      </c>
      <c r="C33">
        <v>2.67</v>
      </c>
      <c r="D33" t="s">
        <v>1</v>
      </c>
      <c r="F33" t="s">
        <v>3</v>
      </c>
      <c r="G33" t="s">
        <v>288</v>
      </c>
    </row>
    <row r="34" spans="1:8" ht="15" customHeight="1">
      <c r="A34" s="88">
        <v>43320.723651932902</v>
      </c>
      <c r="B34" s="144">
        <v>300</v>
      </c>
      <c r="C34">
        <v>2.67</v>
      </c>
      <c r="D34" t="s">
        <v>1</v>
      </c>
      <c r="F34" t="s">
        <v>3</v>
      </c>
      <c r="G34" t="s">
        <v>289</v>
      </c>
    </row>
    <row r="35" spans="1:8" ht="15" customHeight="1">
      <c r="A35" s="88">
        <v>43320.723651932902</v>
      </c>
      <c r="B35">
        <v>300</v>
      </c>
      <c r="C35">
        <v>2.67</v>
      </c>
      <c r="D35" t="s">
        <v>1</v>
      </c>
      <c r="F35" t="s">
        <v>3</v>
      </c>
      <c r="G35" t="s">
        <v>290</v>
      </c>
    </row>
    <row r="36" spans="1:8" ht="15" customHeight="1">
      <c r="A36" s="88">
        <v>43328.749809027802</v>
      </c>
      <c r="B36" s="17">
        <v>200</v>
      </c>
      <c r="C36">
        <v>1.78</v>
      </c>
      <c r="D36" t="s">
        <v>1</v>
      </c>
      <c r="F36" t="s">
        <v>3</v>
      </c>
      <c r="G36" t="s">
        <v>270</v>
      </c>
    </row>
    <row r="37" spans="1:8" ht="15" customHeight="1">
      <c r="A37" s="88">
        <v>43328.749809027802</v>
      </c>
      <c r="B37">
        <v>200</v>
      </c>
      <c r="C37">
        <v>1.78</v>
      </c>
      <c r="D37" t="s">
        <v>1</v>
      </c>
      <c r="F37" t="s">
        <v>3</v>
      </c>
      <c r="G37" t="s">
        <v>281</v>
      </c>
    </row>
    <row r="38" spans="1:8" ht="15" customHeight="1">
      <c r="A38" s="126">
        <v>43332.717321331002</v>
      </c>
      <c r="B38" s="17">
        <v>300</v>
      </c>
      <c r="C38">
        <v>2.67</v>
      </c>
      <c r="D38" t="s">
        <v>1</v>
      </c>
      <c r="F38" t="s">
        <v>3</v>
      </c>
      <c r="G38" t="s">
        <v>291</v>
      </c>
    </row>
    <row r="39" spans="1:8" ht="15" customHeight="1">
      <c r="A39" s="126">
        <v>43332.717321331002</v>
      </c>
      <c r="B39" s="17">
        <v>200</v>
      </c>
      <c r="C39" s="17">
        <v>1.78</v>
      </c>
      <c r="D39" s="17" t="s">
        <v>1</v>
      </c>
      <c r="E39" s="17"/>
      <c r="F39" s="17" t="s">
        <v>3</v>
      </c>
      <c r="G39" s="17" t="s">
        <v>16</v>
      </c>
      <c r="H39" s="127">
        <f>C39/B39*100</f>
        <v>0.89</v>
      </c>
    </row>
    <row r="40" spans="1:8" ht="15" customHeight="1">
      <c r="A40" s="88">
        <v>43332.717321331002</v>
      </c>
      <c r="B40">
        <v>500</v>
      </c>
      <c r="C40">
        <v>4.45</v>
      </c>
      <c r="D40" t="s">
        <v>1</v>
      </c>
      <c r="F40" t="s">
        <v>3</v>
      </c>
      <c r="G40" t="s">
        <v>292</v>
      </c>
    </row>
    <row r="41" spans="1:8" ht="15" customHeight="1">
      <c r="A41" s="88">
        <v>43332.717321331002</v>
      </c>
      <c r="B41">
        <v>300</v>
      </c>
      <c r="C41">
        <v>2.67</v>
      </c>
      <c r="D41" t="s">
        <v>1</v>
      </c>
      <c r="F41" t="s">
        <v>3</v>
      </c>
      <c r="G41" t="s">
        <v>293</v>
      </c>
    </row>
    <row r="42" spans="1:8" ht="15" customHeight="1">
      <c r="A42" s="88">
        <v>43332.717321331002</v>
      </c>
      <c r="B42">
        <v>300</v>
      </c>
      <c r="C42">
        <v>2.67</v>
      </c>
      <c r="D42" t="s">
        <v>1</v>
      </c>
      <c r="F42" t="s">
        <v>3</v>
      </c>
      <c r="G42" t="s">
        <v>294</v>
      </c>
    </row>
    <row r="43" spans="1:8" ht="15" customHeight="1">
      <c r="A43" s="88">
        <v>43332.717321331002</v>
      </c>
      <c r="B43">
        <v>300</v>
      </c>
      <c r="C43">
        <v>2.67</v>
      </c>
      <c r="D43" t="s">
        <v>1</v>
      </c>
      <c r="F43" t="s">
        <v>3</v>
      </c>
      <c r="G43" t="s">
        <v>295</v>
      </c>
    </row>
    <row r="44" spans="1:8" ht="15" customHeight="1">
      <c r="A44" s="88">
        <v>43332.717321331002</v>
      </c>
      <c r="B44">
        <v>300</v>
      </c>
      <c r="C44">
        <v>2.67</v>
      </c>
      <c r="D44" t="s">
        <v>1</v>
      </c>
      <c r="F44" t="s">
        <v>3</v>
      </c>
      <c r="G44" t="s">
        <v>296</v>
      </c>
    </row>
    <row r="45" spans="1:8" ht="15" customHeight="1">
      <c r="A45" s="88">
        <v>43333.7387983796</v>
      </c>
      <c r="B45">
        <v>500</v>
      </c>
      <c r="C45">
        <v>4.45</v>
      </c>
      <c r="D45" t="s">
        <v>1</v>
      </c>
      <c r="F45" t="s">
        <v>3</v>
      </c>
      <c r="G45" t="s">
        <v>297</v>
      </c>
    </row>
    <row r="46" spans="1:8" ht="15" customHeight="1">
      <c r="A46" s="88">
        <v>43339.612166747698</v>
      </c>
      <c r="B46" s="17">
        <v>200</v>
      </c>
      <c r="C46">
        <v>1.78</v>
      </c>
      <c r="D46" t="s">
        <v>1</v>
      </c>
      <c r="F46" t="s">
        <v>3</v>
      </c>
      <c r="G46" t="s">
        <v>273</v>
      </c>
    </row>
    <row r="47" spans="1:8" ht="15" customHeight="1">
      <c r="A47" s="88">
        <v>43339.612166747698</v>
      </c>
      <c r="B47" s="17">
        <v>200</v>
      </c>
      <c r="C47">
        <v>1.78</v>
      </c>
      <c r="D47" t="s">
        <v>1</v>
      </c>
      <c r="F47" t="s">
        <v>3</v>
      </c>
      <c r="G47" t="s">
        <v>271</v>
      </c>
    </row>
    <row r="48" spans="1:8" ht="15" customHeight="1">
      <c r="A48" s="88">
        <v>43339.612166747698</v>
      </c>
      <c r="B48">
        <v>1000</v>
      </c>
      <c r="C48">
        <v>8.9</v>
      </c>
      <c r="D48" t="s">
        <v>1</v>
      </c>
      <c r="F48" t="s">
        <v>3</v>
      </c>
      <c r="G48" t="s">
        <v>276</v>
      </c>
    </row>
    <row r="49" spans="1:7" ht="15" customHeight="1">
      <c r="A49" s="88">
        <v>43340.733630555602</v>
      </c>
      <c r="B49" s="144">
        <v>200</v>
      </c>
      <c r="C49">
        <v>1.78</v>
      </c>
      <c r="D49" t="s">
        <v>1</v>
      </c>
      <c r="F49" t="s">
        <v>3</v>
      </c>
      <c r="G49" t="s">
        <v>277</v>
      </c>
    </row>
    <row r="50" spans="1:7" ht="15" customHeight="1">
      <c r="A50" s="88">
        <v>43340.733630555602</v>
      </c>
      <c r="B50">
        <v>2500</v>
      </c>
      <c r="C50">
        <v>22.25</v>
      </c>
      <c r="D50" t="s">
        <v>1</v>
      </c>
      <c r="F50" t="s">
        <v>3</v>
      </c>
      <c r="G50" t="s">
        <v>298</v>
      </c>
    </row>
    <row r="51" spans="1:7" ht="15" customHeight="1">
      <c r="A51" s="88">
        <v>43340.733630555602</v>
      </c>
      <c r="B51">
        <v>300</v>
      </c>
      <c r="C51">
        <v>2.67</v>
      </c>
      <c r="D51" t="s">
        <v>1</v>
      </c>
      <c r="F51" t="s">
        <v>3</v>
      </c>
      <c r="G51" t="s">
        <v>299</v>
      </c>
    </row>
    <row r="52" spans="1:7" ht="15" customHeight="1">
      <c r="A52" s="88">
        <v>43340.733630555602</v>
      </c>
      <c r="B52">
        <v>200</v>
      </c>
      <c r="C52">
        <v>1.78</v>
      </c>
      <c r="D52" t="s">
        <v>1</v>
      </c>
      <c r="F52" t="s">
        <v>3</v>
      </c>
      <c r="G52" t="s">
        <v>285</v>
      </c>
    </row>
    <row r="53" spans="1:7" ht="15" customHeight="1">
      <c r="A53" s="88">
        <v>43340.733630555602</v>
      </c>
      <c r="B53">
        <v>250</v>
      </c>
      <c r="C53">
        <v>2.2250000000000001</v>
      </c>
      <c r="D53" t="s">
        <v>1</v>
      </c>
      <c r="F53" t="s">
        <v>3</v>
      </c>
      <c r="G53" t="s">
        <v>300</v>
      </c>
    </row>
    <row r="54" spans="1:7" ht="15" customHeight="1">
      <c r="A54" s="88">
        <v>43340.733630555602</v>
      </c>
      <c r="B54">
        <v>2250</v>
      </c>
      <c r="C54">
        <v>20.024999999999999</v>
      </c>
      <c r="D54" t="s">
        <v>1</v>
      </c>
      <c r="F54" t="s">
        <v>3</v>
      </c>
      <c r="G54" t="s">
        <v>300</v>
      </c>
    </row>
    <row r="55" spans="1:7" ht="15" customHeight="1">
      <c r="A55" s="88">
        <v>43343.585825659698</v>
      </c>
      <c r="B55">
        <v>310</v>
      </c>
      <c r="C55">
        <v>18.568999999999999</v>
      </c>
      <c r="D55" t="s">
        <v>1</v>
      </c>
      <c r="F55" t="s">
        <v>301</v>
      </c>
      <c r="G55" t="s">
        <v>302</v>
      </c>
    </row>
    <row r="56" spans="1:7" ht="15" customHeight="1">
      <c r="A56" s="88">
        <v>43343.742985381898</v>
      </c>
      <c r="B56">
        <v>300</v>
      </c>
      <c r="C56">
        <v>9.99</v>
      </c>
      <c r="D56" t="s">
        <v>1</v>
      </c>
      <c r="F56" t="s">
        <v>3</v>
      </c>
      <c r="G56" t="s">
        <v>303</v>
      </c>
    </row>
    <row r="57" spans="1:7" ht="15" customHeight="1">
      <c r="A57" s="88">
        <v>43343.742985381898</v>
      </c>
      <c r="B57">
        <v>400</v>
      </c>
      <c r="C57">
        <v>3.56</v>
      </c>
      <c r="D57" t="s">
        <v>1</v>
      </c>
      <c r="F57" t="s">
        <v>3</v>
      </c>
      <c r="G57" t="s">
        <v>264</v>
      </c>
    </row>
    <row r="58" spans="1:7" ht="15" customHeight="1">
      <c r="A58" s="88">
        <v>43343.742985381898</v>
      </c>
      <c r="B58">
        <v>200</v>
      </c>
      <c r="C58">
        <v>1.78</v>
      </c>
      <c r="D58" t="s">
        <v>1</v>
      </c>
      <c r="F58" t="s">
        <v>3</v>
      </c>
      <c r="G58" t="s">
        <v>295</v>
      </c>
    </row>
    <row r="59" spans="1:7" ht="15" customHeight="1">
      <c r="A59" s="88">
        <v>43345.584222372701</v>
      </c>
      <c r="B59">
        <v>210</v>
      </c>
      <c r="C59">
        <v>9.99</v>
      </c>
      <c r="D59" t="s">
        <v>1</v>
      </c>
      <c r="F59" t="s">
        <v>274</v>
      </c>
      <c r="G59" t="s">
        <v>275</v>
      </c>
    </row>
    <row r="60" spans="1:7" ht="15" customHeight="1">
      <c r="A60" s="88">
        <v>43346.572504201402</v>
      </c>
      <c r="B60">
        <v>1000</v>
      </c>
      <c r="C60">
        <v>8.9</v>
      </c>
      <c r="D60" t="s">
        <v>1</v>
      </c>
      <c r="F60" t="s">
        <v>3</v>
      </c>
      <c r="G60" t="s">
        <v>287</v>
      </c>
    </row>
    <row r="61" spans="1:7" ht="15" customHeight="1">
      <c r="A61" s="88">
        <v>43346.572504201402</v>
      </c>
      <c r="B61">
        <v>150</v>
      </c>
      <c r="C61">
        <v>1.335</v>
      </c>
      <c r="D61" t="s">
        <v>1</v>
      </c>
      <c r="F61" t="s">
        <v>3</v>
      </c>
      <c r="G61" t="s">
        <v>266</v>
      </c>
    </row>
    <row r="62" spans="1:7" ht="15" customHeight="1">
      <c r="A62" s="126">
        <v>43347.740704201402</v>
      </c>
      <c r="B62" s="17">
        <v>200</v>
      </c>
      <c r="C62">
        <v>1.78</v>
      </c>
      <c r="D62" t="s">
        <v>1</v>
      </c>
      <c r="F62" t="s">
        <v>3</v>
      </c>
      <c r="G62" t="s">
        <v>291</v>
      </c>
    </row>
    <row r="63" spans="1:7" ht="15" customHeight="1">
      <c r="A63" s="88">
        <v>43347.740704201402</v>
      </c>
      <c r="B63">
        <v>500</v>
      </c>
      <c r="C63">
        <v>4.45</v>
      </c>
      <c r="D63" t="s">
        <v>1</v>
      </c>
      <c r="F63" t="s">
        <v>3</v>
      </c>
      <c r="G63" t="s">
        <v>304</v>
      </c>
    </row>
    <row r="64" spans="1:7" ht="15" customHeight="1">
      <c r="A64" s="88">
        <v>43347.740704201402</v>
      </c>
      <c r="B64" s="144">
        <v>200</v>
      </c>
      <c r="C64">
        <v>1.78</v>
      </c>
      <c r="D64" t="s">
        <v>1</v>
      </c>
      <c r="F64" t="s">
        <v>3</v>
      </c>
      <c r="G64" t="s">
        <v>289</v>
      </c>
    </row>
    <row r="65" spans="1:8" ht="15" customHeight="1">
      <c r="A65" s="88">
        <v>43348.706484027804</v>
      </c>
      <c r="B65" s="17">
        <v>200</v>
      </c>
      <c r="C65">
        <v>1.78</v>
      </c>
      <c r="D65" t="s">
        <v>1</v>
      </c>
      <c r="F65" t="s">
        <v>3</v>
      </c>
      <c r="G65" t="s">
        <v>270</v>
      </c>
    </row>
    <row r="66" spans="1:8" ht="15" customHeight="1">
      <c r="A66" s="88">
        <v>43348.706484027804</v>
      </c>
      <c r="B66">
        <v>200</v>
      </c>
      <c r="C66">
        <v>1.78</v>
      </c>
      <c r="D66" t="s">
        <v>1</v>
      </c>
      <c r="F66" t="s">
        <v>3</v>
      </c>
      <c r="G66" t="s">
        <v>294</v>
      </c>
    </row>
    <row r="67" spans="1:8" ht="15" customHeight="1">
      <c r="A67" s="88">
        <v>43348.706484027804</v>
      </c>
      <c r="B67">
        <v>200</v>
      </c>
      <c r="C67">
        <v>1.78</v>
      </c>
      <c r="D67" t="s">
        <v>1</v>
      </c>
      <c r="F67" t="s">
        <v>3</v>
      </c>
      <c r="G67" t="s">
        <v>288</v>
      </c>
    </row>
    <row r="68" spans="1:8" ht="15" customHeight="1">
      <c r="A68" s="88">
        <v>43350.375806678203</v>
      </c>
      <c r="B68">
        <v>300</v>
      </c>
      <c r="C68">
        <v>2.67</v>
      </c>
      <c r="D68" t="s">
        <v>1</v>
      </c>
      <c r="F68" t="s">
        <v>3</v>
      </c>
      <c r="G68" t="s">
        <v>305</v>
      </c>
    </row>
    <row r="69" spans="1:8" ht="15" customHeight="1">
      <c r="A69" s="88">
        <v>43350.378591701403</v>
      </c>
      <c r="B69">
        <v>500</v>
      </c>
      <c r="C69">
        <v>4.45</v>
      </c>
      <c r="D69" t="s">
        <v>1</v>
      </c>
      <c r="F69" t="s">
        <v>3</v>
      </c>
      <c r="G69" t="s">
        <v>306</v>
      </c>
    </row>
    <row r="70" spans="1:8" ht="15" customHeight="1">
      <c r="A70" s="88">
        <v>43350.7013934028</v>
      </c>
      <c r="B70">
        <v>500</v>
      </c>
      <c r="C70">
        <v>4.45</v>
      </c>
      <c r="D70" t="s">
        <v>1</v>
      </c>
      <c r="F70" t="s">
        <v>3</v>
      </c>
      <c r="G70" t="s">
        <v>307</v>
      </c>
    </row>
    <row r="71" spans="1:8" ht="15" customHeight="1">
      <c r="A71" s="88">
        <v>43350.704360034702</v>
      </c>
      <c r="B71">
        <v>300</v>
      </c>
      <c r="C71">
        <v>2.67</v>
      </c>
      <c r="D71" t="s">
        <v>1</v>
      </c>
      <c r="F71" t="s">
        <v>3</v>
      </c>
      <c r="G71" t="s">
        <v>308</v>
      </c>
    </row>
    <row r="72" spans="1:8" ht="15" customHeight="1">
      <c r="A72" s="88">
        <v>43354.594135763902</v>
      </c>
      <c r="B72" s="17">
        <v>600</v>
      </c>
      <c r="C72">
        <v>5.34</v>
      </c>
      <c r="D72" t="s">
        <v>1</v>
      </c>
      <c r="F72" t="s">
        <v>3</v>
      </c>
      <c r="G72" t="s">
        <v>278</v>
      </c>
    </row>
    <row r="73" spans="1:8" ht="15" customHeight="1">
      <c r="A73" s="88">
        <v>43354.594135763902</v>
      </c>
      <c r="B73">
        <v>200</v>
      </c>
      <c r="C73">
        <v>1.78</v>
      </c>
      <c r="D73" t="s">
        <v>1</v>
      </c>
      <c r="F73" t="s">
        <v>3</v>
      </c>
      <c r="G73" t="s">
        <v>262</v>
      </c>
    </row>
    <row r="74" spans="1:8" ht="15" customHeight="1">
      <c r="A74" s="88">
        <v>43354.594135763902</v>
      </c>
      <c r="B74">
        <v>500</v>
      </c>
      <c r="C74">
        <v>4.45</v>
      </c>
      <c r="D74" t="s">
        <v>1</v>
      </c>
      <c r="F74" t="s">
        <v>3</v>
      </c>
      <c r="G74" t="s">
        <v>283</v>
      </c>
    </row>
    <row r="75" spans="1:8" ht="15" customHeight="1">
      <c r="A75" s="88">
        <v>43354.594135763902</v>
      </c>
      <c r="B75">
        <v>200</v>
      </c>
      <c r="C75">
        <v>1.78</v>
      </c>
      <c r="D75" t="s">
        <v>1</v>
      </c>
      <c r="F75" t="s">
        <v>3</v>
      </c>
      <c r="G75" t="s">
        <v>309</v>
      </c>
    </row>
    <row r="76" spans="1:8" ht="15" customHeight="1">
      <c r="A76" s="88">
        <v>43356.527431793998</v>
      </c>
      <c r="B76" s="17">
        <v>200</v>
      </c>
      <c r="C76">
        <v>1.78</v>
      </c>
      <c r="D76" t="s">
        <v>1</v>
      </c>
      <c r="F76" t="s">
        <v>3</v>
      </c>
      <c r="G76" t="s">
        <v>284</v>
      </c>
    </row>
    <row r="77" spans="1:8" ht="15" customHeight="1">
      <c r="A77" s="88">
        <v>43356.527431793998</v>
      </c>
      <c r="B77">
        <v>200</v>
      </c>
      <c r="C77">
        <v>1.78</v>
      </c>
      <c r="D77" t="s">
        <v>1</v>
      </c>
      <c r="F77" t="s">
        <v>3</v>
      </c>
      <c r="G77" t="s">
        <v>279</v>
      </c>
    </row>
    <row r="78" spans="1:8" ht="15" customHeight="1">
      <c r="A78" s="88">
        <v>43356.527431793998</v>
      </c>
      <c r="B78">
        <v>1000</v>
      </c>
      <c r="C78">
        <v>8.9</v>
      </c>
      <c r="D78" t="s">
        <v>1</v>
      </c>
      <c r="F78" t="s">
        <v>3</v>
      </c>
      <c r="G78" t="s">
        <v>262</v>
      </c>
    </row>
    <row r="79" spans="1:8" ht="15" customHeight="1">
      <c r="A79" s="126">
        <v>43356.527431793998</v>
      </c>
      <c r="B79" s="17">
        <v>500</v>
      </c>
      <c r="C79" s="17">
        <v>4.45</v>
      </c>
      <c r="D79" s="17" t="s">
        <v>1</v>
      </c>
      <c r="E79" s="17"/>
      <c r="F79" s="17" t="s">
        <v>3</v>
      </c>
      <c r="G79" s="17" t="s">
        <v>282</v>
      </c>
      <c r="H79">
        <f>C79/B79*100</f>
        <v>0.89</v>
      </c>
    </row>
    <row r="80" spans="1:8" ht="15" customHeight="1">
      <c r="A80" s="88">
        <v>43356.527431793998</v>
      </c>
      <c r="B80">
        <v>200</v>
      </c>
      <c r="C80">
        <v>1.78</v>
      </c>
      <c r="D80" t="s">
        <v>1</v>
      </c>
      <c r="F80" t="s">
        <v>3</v>
      </c>
      <c r="G80" t="s">
        <v>310</v>
      </c>
    </row>
    <row r="81" spans="1:8" ht="15" customHeight="1">
      <c r="A81" s="88">
        <v>43356.527431793998</v>
      </c>
      <c r="B81">
        <v>800</v>
      </c>
      <c r="C81">
        <v>7.12</v>
      </c>
      <c r="D81" t="s">
        <v>1</v>
      </c>
      <c r="F81" t="s">
        <v>3</v>
      </c>
      <c r="G81" t="s">
        <v>296</v>
      </c>
    </row>
    <row r="82" spans="1:8" ht="15" customHeight="1">
      <c r="A82" s="88">
        <v>43356.527431793998</v>
      </c>
      <c r="B82">
        <v>300</v>
      </c>
      <c r="C82">
        <v>2.67</v>
      </c>
      <c r="D82" t="s">
        <v>1</v>
      </c>
      <c r="F82" t="s">
        <v>3</v>
      </c>
      <c r="G82" t="s">
        <v>311</v>
      </c>
    </row>
    <row r="83" spans="1:8" ht="15" customHeight="1">
      <c r="A83" s="88">
        <v>43360.738856678203</v>
      </c>
      <c r="B83" s="17">
        <v>400</v>
      </c>
      <c r="C83">
        <v>3.56</v>
      </c>
      <c r="D83" t="s">
        <v>1</v>
      </c>
      <c r="F83" t="s">
        <v>3</v>
      </c>
      <c r="G83" t="s">
        <v>268</v>
      </c>
    </row>
    <row r="84" spans="1:8" ht="15" customHeight="1">
      <c r="A84" s="88">
        <v>43360.738856678203</v>
      </c>
      <c r="B84">
        <v>200</v>
      </c>
      <c r="C84">
        <v>1.78</v>
      </c>
      <c r="D84" t="s">
        <v>1</v>
      </c>
      <c r="F84" t="s">
        <v>3</v>
      </c>
      <c r="G84" t="s">
        <v>290</v>
      </c>
    </row>
    <row r="85" spans="1:8" ht="15" customHeight="1">
      <c r="A85" s="88">
        <v>43365.261578159698</v>
      </c>
      <c r="B85" s="17">
        <v>500</v>
      </c>
      <c r="C85">
        <v>4.45</v>
      </c>
      <c r="D85" t="s">
        <v>1</v>
      </c>
      <c r="F85" t="s">
        <v>3</v>
      </c>
      <c r="G85" t="s">
        <v>312</v>
      </c>
    </row>
    <row r="86" spans="1:8" ht="15" customHeight="1">
      <c r="A86" s="88">
        <v>43365.261578159698</v>
      </c>
      <c r="B86">
        <v>200</v>
      </c>
      <c r="C86">
        <v>1.78</v>
      </c>
      <c r="D86" t="s">
        <v>1</v>
      </c>
      <c r="F86" t="s">
        <v>3</v>
      </c>
      <c r="G86" t="s">
        <v>297</v>
      </c>
    </row>
    <row r="87" spans="1:8" ht="15" customHeight="1">
      <c r="A87" s="88">
        <v>43366.710385381899</v>
      </c>
      <c r="B87">
        <v>400</v>
      </c>
      <c r="C87">
        <v>23.96</v>
      </c>
      <c r="D87" t="s">
        <v>1</v>
      </c>
      <c r="F87" t="s">
        <v>301</v>
      </c>
      <c r="G87" t="s">
        <v>313</v>
      </c>
    </row>
    <row r="88" spans="1:8" ht="15" customHeight="1">
      <c r="A88" s="88">
        <v>43368.708376423601</v>
      </c>
      <c r="B88" s="17">
        <v>200</v>
      </c>
      <c r="C88">
        <v>1.78</v>
      </c>
      <c r="D88" t="s">
        <v>1</v>
      </c>
      <c r="F88" t="s">
        <v>3</v>
      </c>
      <c r="G88" t="s">
        <v>273</v>
      </c>
    </row>
    <row r="89" spans="1:8" ht="15" customHeight="1">
      <c r="A89" s="88">
        <v>43368.708376423601</v>
      </c>
      <c r="B89" s="17">
        <v>200</v>
      </c>
      <c r="C89">
        <v>1.78</v>
      </c>
      <c r="D89" t="s">
        <v>1</v>
      </c>
      <c r="F89" t="s">
        <v>3</v>
      </c>
      <c r="G89" t="s">
        <v>271</v>
      </c>
    </row>
    <row r="90" spans="1:8" ht="15" customHeight="1">
      <c r="A90" s="126">
        <v>43368.708376423601</v>
      </c>
      <c r="B90">
        <v>100</v>
      </c>
      <c r="C90">
        <v>9.99</v>
      </c>
      <c r="D90" t="s">
        <v>1</v>
      </c>
      <c r="F90" t="s">
        <v>3</v>
      </c>
      <c r="G90" t="s">
        <v>314</v>
      </c>
    </row>
    <row r="91" spans="1:8" ht="15" customHeight="1">
      <c r="A91" s="88">
        <v>43369.737795254601</v>
      </c>
      <c r="B91">
        <v>400</v>
      </c>
      <c r="C91">
        <v>3.56</v>
      </c>
      <c r="D91" t="s">
        <v>1</v>
      </c>
      <c r="F91" t="s">
        <v>3</v>
      </c>
      <c r="G91" t="s">
        <v>299</v>
      </c>
    </row>
    <row r="92" spans="1:8" ht="15" customHeight="1">
      <c r="A92" s="126">
        <v>43371.747043900497</v>
      </c>
      <c r="B92" s="17">
        <v>200</v>
      </c>
      <c r="C92" s="17">
        <v>1.78</v>
      </c>
      <c r="D92" s="17" t="s">
        <v>1</v>
      </c>
      <c r="E92" s="17"/>
      <c r="F92" s="17" t="s">
        <v>3</v>
      </c>
      <c r="G92" s="17" t="s">
        <v>16</v>
      </c>
      <c r="H92" s="127">
        <f>C92/B92*100</f>
        <v>0.89</v>
      </c>
    </row>
    <row r="93" spans="1:8" ht="15" customHeight="1">
      <c r="A93" s="88">
        <v>43371.747043900497</v>
      </c>
      <c r="B93">
        <v>400</v>
      </c>
      <c r="C93">
        <v>3.56</v>
      </c>
      <c r="D93" t="s">
        <v>1</v>
      </c>
      <c r="F93" t="s">
        <v>3</v>
      </c>
      <c r="G93" t="s">
        <v>315</v>
      </c>
    </row>
    <row r="94" spans="1:8" ht="15" customHeight="1">
      <c r="A94" s="88">
        <v>43371.747043900497</v>
      </c>
      <c r="B94">
        <v>700</v>
      </c>
      <c r="C94">
        <v>6.23</v>
      </c>
      <c r="D94" t="s">
        <v>1</v>
      </c>
      <c r="F94" t="s">
        <v>3</v>
      </c>
      <c r="G94" t="s">
        <v>316</v>
      </c>
    </row>
    <row r="95" spans="1:8" ht="15" customHeight="1">
      <c r="A95" s="88">
        <v>43371.747043900497</v>
      </c>
      <c r="B95">
        <v>1000</v>
      </c>
      <c r="C95">
        <v>8.9</v>
      </c>
      <c r="D95" t="s">
        <v>1</v>
      </c>
      <c r="F95" t="s">
        <v>3</v>
      </c>
      <c r="G95" t="s">
        <v>317</v>
      </c>
    </row>
    <row r="96" spans="1:8" ht="15" customHeight="1">
      <c r="A96" s="88">
        <v>43374.735611458302</v>
      </c>
      <c r="B96" s="144">
        <v>200</v>
      </c>
      <c r="C96">
        <v>1.78</v>
      </c>
      <c r="D96" t="s">
        <v>1</v>
      </c>
      <c r="F96" t="s">
        <v>3</v>
      </c>
      <c r="G96" t="s">
        <v>277</v>
      </c>
    </row>
    <row r="97" spans="1:8" ht="15" customHeight="1">
      <c r="A97" s="88">
        <v>43374.735611458302</v>
      </c>
      <c r="B97">
        <v>310</v>
      </c>
      <c r="C97">
        <v>9.99</v>
      </c>
      <c r="D97" t="s">
        <v>1</v>
      </c>
      <c r="F97" t="s">
        <v>3</v>
      </c>
      <c r="G97" t="s">
        <v>318</v>
      </c>
    </row>
    <row r="98" spans="1:8" ht="15" customHeight="1">
      <c r="A98" s="142">
        <v>43693.746554363403</v>
      </c>
      <c r="B98" s="140">
        <v>300</v>
      </c>
      <c r="C98" s="140">
        <v>2.97</v>
      </c>
      <c r="D98" s="140" t="s">
        <v>1</v>
      </c>
      <c r="E98" s="140"/>
      <c r="F98" t="s">
        <v>3</v>
      </c>
      <c r="G98" t="s">
        <v>75</v>
      </c>
      <c r="H98">
        <f>C98/B98*100</f>
        <v>0.9900000000000001</v>
      </c>
    </row>
    <row r="99" spans="1:8" ht="15" customHeight="1">
      <c r="A99" s="88">
        <v>43374.735611458302</v>
      </c>
      <c r="B99">
        <v>200</v>
      </c>
      <c r="C99">
        <v>1.78</v>
      </c>
      <c r="D99" t="s">
        <v>1</v>
      </c>
      <c r="F99" t="s">
        <v>3</v>
      </c>
      <c r="G99" t="s">
        <v>285</v>
      </c>
    </row>
    <row r="100" spans="1:8" ht="15" customHeight="1">
      <c r="A100" s="88">
        <v>43375.693519791697</v>
      </c>
      <c r="B100">
        <v>150</v>
      </c>
      <c r="C100">
        <v>1.335</v>
      </c>
      <c r="D100" t="s">
        <v>1</v>
      </c>
      <c r="F100" t="s">
        <v>3</v>
      </c>
      <c r="G100" t="s">
        <v>266</v>
      </c>
    </row>
    <row r="101" spans="1:8" ht="15" customHeight="1">
      <c r="A101" s="88">
        <v>43375.7279871875</v>
      </c>
      <c r="B101">
        <v>210</v>
      </c>
      <c r="C101">
        <v>9.99</v>
      </c>
      <c r="D101" t="s">
        <v>1</v>
      </c>
      <c r="F101" t="s">
        <v>274</v>
      </c>
      <c r="G101" t="s">
        <v>275</v>
      </c>
    </row>
    <row r="102" spans="1:8" ht="15" customHeight="1">
      <c r="A102" s="126">
        <v>43376.650870254598</v>
      </c>
      <c r="B102" s="17">
        <v>200</v>
      </c>
      <c r="C102">
        <v>1.78</v>
      </c>
      <c r="D102" t="s">
        <v>1</v>
      </c>
      <c r="F102" t="s">
        <v>3</v>
      </c>
      <c r="G102" t="s">
        <v>291</v>
      </c>
    </row>
    <row r="103" spans="1:8" ht="15" customHeight="1">
      <c r="A103" s="88">
        <v>43376.650870254598</v>
      </c>
      <c r="B103" s="175">
        <v>250</v>
      </c>
      <c r="C103">
        <v>2.2250000000000001</v>
      </c>
      <c r="D103" t="s">
        <v>1</v>
      </c>
      <c r="F103" t="s">
        <v>3</v>
      </c>
      <c r="G103" t="s">
        <v>55</v>
      </c>
    </row>
    <row r="104" spans="1:8" ht="15" customHeight="1">
      <c r="A104" s="88">
        <v>43378.709305555603</v>
      </c>
      <c r="B104">
        <v>200</v>
      </c>
      <c r="C104">
        <v>1.78</v>
      </c>
      <c r="D104" t="s">
        <v>1</v>
      </c>
      <c r="F104" t="s">
        <v>3</v>
      </c>
      <c r="G104" t="s">
        <v>307</v>
      </c>
    </row>
    <row r="105" spans="1:8" ht="15" customHeight="1">
      <c r="A105" s="88">
        <v>43384.710726851903</v>
      </c>
      <c r="B105">
        <v>200</v>
      </c>
      <c r="C105">
        <v>1.78</v>
      </c>
      <c r="D105" t="s">
        <v>1</v>
      </c>
      <c r="F105" t="s">
        <v>3</v>
      </c>
      <c r="G105" t="s">
        <v>306</v>
      </c>
    </row>
    <row r="106" spans="1:8" ht="15" customHeight="1">
      <c r="A106" s="126">
        <v>43385.747147604197</v>
      </c>
      <c r="B106" s="17">
        <v>1000</v>
      </c>
      <c r="C106" s="17">
        <v>8.9</v>
      </c>
      <c r="D106" s="17" t="s">
        <v>1</v>
      </c>
      <c r="E106" s="17"/>
      <c r="F106" s="17" t="s">
        <v>3</v>
      </c>
      <c r="G106" s="17" t="s">
        <v>282</v>
      </c>
      <c r="H106">
        <f>C106/B106*100</f>
        <v>0.89</v>
      </c>
    </row>
    <row r="107" spans="1:8" ht="15" customHeight="1">
      <c r="A107" s="88">
        <v>43385.747147604197</v>
      </c>
      <c r="B107">
        <v>1000</v>
      </c>
      <c r="C107">
        <v>8.9</v>
      </c>
      <c r="D107" t="s">
        <v>1</v>
      </c>
      <c r="F107" t="s">
        <v>3</v>
      </c>
      <c r="G107" t="s">
        <v>283</v>
      </c>
    </row>
    <row r="108" spans="1:8" ht="15" customHeight="1">
      <c r="A108" s="88">
        <v>43389.510920983797</v>
      </c>
      <c r="B108">
        <v>200</v>
      </c>
      <c r="C108">
        <v>11.98</v>
      </c>
      <c r="D108" t="s">
        <v>1</v>
      </c>
      <c r="F108" t="s">
        <v>301</v>
      </c>
      <c r="G108" t="s">
        <v>320</v>
      </c>
    </row>
    <row r="109" spans="1:8" ht="15" customHeight="1">
      <c r="A109" s="88">
        <v>43389.513130555599</v>
      </c>
      <c r="B109">
        <v>200</v>
      </c>
      <c r="C109">
        <v>11.98</v>
      </c>
      <c r="D109" t="s">
        <v>1</v>
      </c>
      <c r="F109" t="s">
        <v>301</v>
      </c>
    </row>
    <row r="110" spans="1:8" ht="15" customHeight="1">
      <c r="A110" s="88">
        <v>43389.516322719901</v>
      </c>
      <c r="B110">
        <v>200</v>
      </c>
      <c r="C110">
        <v>11.98</v>
      </c>
      <c r="D110" t="s">
        <v>1</v>
      </c>
      <c r="F110" t="s">
        <v>301</v>
      </c>
    </row>
    <row r="111" spans="1:8" ht="15" customHeight="1">
      <c r="A111" s="88">
        <v>43389.746785729199</v>
      </c>
      <c r="B111" s="17">
        <v>200</v>
      </c>
      <c r="C111">
        <v>1.78</v>
      </c>
      <c r="D111" t="s">
        <v>1</v>
      </c>
      <c r="F111" t="s">
        <v>3</v>
      </c>
      <c r="G111" t="s">
        <v>270</v>
      </c>
    </row>
    <row r="112" spans="1:8" ht="15" customHeight="1">
      <c r="A112" s="126">
        <v>43389.746785729199</v>
      </c>
      <c r="B112" s="17">
        <v>200</v>
      </c>
      <c r="C112" s="17">
        <v>1.78</v>
      </c>
      <c r="D112" s="17" t="s">
        <v>1</v>
      </c>
      <c r="E112" s="17"/>
      <c r="F112" s="17" t="s">
        <v>3</v>
      </c>
      <c r="G112" s="17" t="s">
        <v>16</v>
      </c>
      <c r="H112" s="127">
        <f>C112/B112*100</f>
        <v>0.89</v>
      </c>
    </row>
    <row r="113" spans="1:7" ht="15" customHeight="1">
      <c r="A113" s="88">
        <v>43389.746785729199</v>
      </c>
      <c r="B113" s="17">
        <v>200</v>
      </c>
      <c r="C113">
        <v>1.78</v>
      </c>
      <c r="D113" t="s">
        <v>1</v>
      </c>
      <c r="F113" t="s">
        <v>3</v>
      </c>
      <c r="G113" t="s">
        <v>312</v>
      </c>
    </row>
    <row r="114" spans="1:7" ht="15" customHeight="1">
      <c r="A114" s="88">
        <v>43389.746785729199</v>
      </c>
      <c r="B114">
        <v>900</v>
      </c>
      <c r="C114">
        <v>8.01</v>
      </c>
      <c r="D114" t="s">
        <v>1</v>
      </c>
      <c r="F114" t="s">
        <v>3</v>
      </c>
      <c r="G114" t="s">
        <v>321</v>
      </c>
    </row>
    <row r="115" spans="1:7" ht="15" customHeight="1">
      <c r="A115" s="88">
        <v>43395.7366792014</v>
      </c>
      <c r="B115" s="17">
        <v>900</v>
      </c>
      <c r="C115">
        <v>8.01</v>
      </c>
      <c r="D115" t="s">
        <v>1</v>
      </c>
      <c r="F115" t="s">
        <v>3</v>
      </c>
      <c r="G115" t="s">
        <v>322</v>
      </c>
    </row>
    <row r="116" spans="1:7" ht="15" customHeight="1">
      <c r="A116" s="88">
        <v>43398.751109641198</v>
      </c>
      <c r="B116" s="17">
        <v>200</v>
      </c>
      <c r="C116">
        <v>1.78</v>
      </c>
      <c r="D116" t="s">
        <v>1</v>
      </c>
      <c r="F116" t="s">
        <v>3</v>
      </c>
      <c r="G116" t="s">
        <v>273</v>
      </c>
    </row>
    <row r="117" spans="1:7" ht="15" customHeight="1">
      <c r="A117" s="88">
        <v>43398.751109641198</v>
      </c>
      <c r="B117">
        <v>600</v>
      </c>
      <c r="C117">
        <v>13.74</v>
      </c>
      <c r="D117" t="s">
        <v>1</v>
      </c>
      <c r="F117" t="s">
        <v>3</v>
      </c>
      <c r="G117" t="s">
        <v>318</v>
      </c>
    </row>
    <row r="118" spans="1:7" ht="15" customHeight="1">
      <c r="A118" s="88">
        <v>43399.720940127299</v>
      </c>
      <c r="B118" s="17">
        <v>200</v>
      </c>
      <c r="C118">
        <v>1.78</v>
      </c>
      <c r="D118" t="s">
        <v>1</v>
      </c>
      <c r="F118" t="s">
        <v>3</v>
      </c>
      <c r="G118" t="s">
        <v>271</v>
      </c>
    </row>
    <row r="119" spans="1:7" ht="15" customHeight="1">
      <c r="A119" s="88">
        <v>43399.720940127299</v>
      </c>
      <c r="B119" s="175">
        <v>250</v>
      </c>
      <c r="C119">
        <v>2.2250000000000001</v>
      </c>
      <c r="D119" t="s">
        <v>1</v>
      </c>
      <c r="F119" t="s">
        <v>3</v>
      </c>
      <c r="G119" t="s">
        <v>55</v>
      </c>
    </row>
    <row r="120" spans="1:7" ht="15" customHeight="1">
      <c r="A120" s="88">
        <v>43402.579185763898</v>
      </c>
      <c r="B120">
        <v>200</v>
      </c>
      <c r="C120">
        <v>9.99</v>
      </c>
      <c r="D120" t="s">
        <v>1</v>
      </c>
      <c r="F120" t="s">
        <v>274</v>
      </c>
      <c r="G120" t="s">
        <v>275</v>
      </c>
    </row>
    <row r="121" spans="1:7" ht="15" customHeight="1">
      <c r="A121" s="88">
        <v>43402.745262037002</v>
      </c>
      <c r="B121" s="144">
        <v>200</v>
      </c>
      <c r="C121">
        <v>1.78</v>
      </c>
      <c r="D121" t="s">
        <v>1</v>
      </c>
      <c r="F121" t="s">
        <v>3</v>
      </c>
      <c r="G121" t="s">
        <v>277</v>
      </c>
    </row>
    <row r="122" spans="1:7" ht="15" customHeight="1">
      <c r="A122" s="88">
        <v>43402.745262037002</v>
      </c>
      <c r="B122">
        <v>400</v>
      </c>
      <c r="C122">
        <v>3.56</v>
      </c>
      <c r="D122" t="s">
        <v>1</v>
      </c>
      <c r="F122" t="s">
        <v>3</v>
      </c>
      <c r="G122" t="s">
        <v>323</v>
      </c>
    </row>
    <row r="123" spans="1:7" ht="15" customHeight="1">
      <c r="A123" s="88">
        <v>43402.745262037002</v>
      </c>
      <c r="B123">
        <v>200</v>
      </c>
      <c r="C123">
        <v>1.78</v>
      </c>
      <c r="D123" t="s">
        <v>1</v>
      </c>
      <c r="F123" t="s">
        <v>3</v>
      </c>
      <c r="G123" t="s">
        <v>299</v>
      </c>
    </row>
    <row r="124" spans="1:7" ht="15" customHeight="1">
      <c r="A124" s="88">
        <v>43402.745262037002</v>
      </c>
      <c r="B124">
        <v>200</v>
      </c>
      <c r="C124">
        <v>1.78</v>
      </c>
      <c r="D124" t="s">
        <v>1</v>
      </c>
      <c r="F124" t="s">
        <v>3</v>
      </c>
      <c r="G124" t="s">
        <v>285</v>
      </c>
    </row>
    <row r="125" spans="1:7" ht="15" customHeight="1">
      <c r="A125" s="88">
        <v>43402.745262037002</v>
      </c>
      <c r="B125">
        <v>400</v>
      </c>
      <c r="C125">
        <v>3.56</v>
      </c>
      <c r="D125" t="s">
        <v>1</v>
      </c>
      <c r="F125" t="s">
        <v>3</v>
      </c>
      <c r="G125" t="s">
        <v>316</v>
      </c>
    </row>
    <row r="126" spans="1:7" ht="15" customHeight="1">
      <c r="A126" s="88">
        <v>43402.745262037002</v>
      </c>
      <c r="B126">
        <v>300</v>
      </c>
      <c r="C126">
        <v>2.67</v>
      </c>
      <c r="D126" t="s">
        <v>1</v>
      </c>
      <c r="F126" t="s">
        <v>3</v>
      </c>
      <c r="G126" t="s">
        <v>324</v>
      </c>
    </row>
    <row r="127" spans="1:7" ht="15" customHeight="1">
      <c r="A127" s="88">
        <v>43402.745262037002</v>
      </c>
      <c r="B127">
        <v>200</v>
      </c>
      <c r="C127">
        <v>1.78</v>
      </c>
      <c r="D127" t="s">
        <v>1</v>
      </c>
      <c r="F127" t="s">
        <v>3</v>
      </c>
      <c r="G127" t="s">
        <v>288</v>
      </c>
    </row>
    <row r="128" spans="1:7" ht="15" customHeight="1">
      <c r="A128" s="88">
        <v>43404.7524430208</v>
      </c>
      <c r="B128" s="17">
        <v>300</v>
      </c>
      <c r="C128">
        <v>2.67</v>
      </c>
      <c r="D128" t="s">
        <v>1</v>
      </c>
      <c r="F128" t="s">
        <v>3</v>
      </c>
      <c r="G128" t="s">
        <v>312</v>
      </c>
    </row>
    <row r="129" spans="1:8" ht="15" customHeight="1">
      <c r="A129" s="88">
        <v>43404.7524430208</v>
      </c>
      <c r="B129">
        <v>200</v>
      </c>
      <c r="C129">
        <v>9.99</v>
      </c>
      <c r="D129" t="s">
        <v>1</v>
      </c>
      <c r="F129" t="s">
        <v>3</v>
      </c>
      <c r="G129" t="s">
        <v>303</v>
      </c>
    </row>
    <row r="130" spans="1:8" ht="15" customHeight="1">
      <c r="A130" s="88">
        <v>43404.7524430208</v>
      </c>
      <c r="B130">
        <v>200</v>
      </c>
      <c r="C130">
        <v>1.78</v>
      </c>
      <c r="D130" t="s">
        <v>1</v>
      </c>
      <c r="F130" t="s">
        <v>3</v>
      </c>
      <c r="G130" t="s">
        <v>297</v>
      </c>
    </row>
    <row r="131" spans="1:8" ht="15" customHeight="1">
      <c r="A131" s="88">
        <v>43404.7524430208</v>
      </c>
      <c r="B131">
        <v>200</v>
      </c>
      <c r="C131">
        <v>1.78</v>
      </c>
      <c r="D131" t="s">
        <v>1</v>
      </c>
      <c r="F131" t="s">
        <v>3</v>
      </c>
      <c r="G131" t="s">
        <v>309</v>
      </c>
    </row>
    <row r="132" spans="1:8" ht="15" customHeight="1">
      <c r="A132" s="88">
        <v>43404.7524430208</v>
      </c>
      <c r="B132">
        <v>100</v>
      </c>
      <c r="C132">
        <v>0.89</v>
      </c>
      <c r="D132" t="s">
        <v>1</v>
      </c>
      <c r="F132" t="s">
        <v>3</v>
      </c>
      <c r="G132" t="s">
        <v>266</v>
      </c>
    </row>
    <row r="133" spans="1:8" ht="15" customHeight="1">
      <c r="A133" s="88">
        <v>43405.836266516199</v>
      </c>
      <c r="B133">
        <v>200</v>
      </c>
      <c r="C133">
        <v>11.98</v>
      </c>
      <c r="D133" t="s">
        <v>1</v>
      </c>
      <c r="F133" t="s">
        <v>301</v>
      </c>
      <c r="G133" t="s">
        <v>325</v>
      </c>
    </row>
    <row r="134" spans="1:8" ht="15" customHeight="1">
      <c r="A134" s="88">
        <v>43407.296546493097</v>
      </c>
      <c r="B134">
        <v>200</v>
      </c>
      <c r="C134">
        <v>1.78</v>
      </c>
      <c r="D134" t="s">
        <v>1</v>
      </c>
      <c r="F134" t="s">
        <v>3</v>
      </c>
      <c r="G134" t="s">
        <v>265</v>
      </c>
    </row>
    <row r="135" spans="1:8" ht="15" customHeight="1">
      <c r="A135" s="88">
        <v>43410.748383067097</v>
      </c>
      <c r="B135" s="144">
        <v>200</v>
      </c>
      <c r="C135">
        <v>1.78</v>
      </c>
      <c r="D135" t="s">
        <v>1</v>
      </c>
      <c r="F135" t="s">
        <v>3</v>
      </c>
      <c r="G135" t="s">
        <v>289</v>
      </c>
    </row>
    <row r="136" spans="1:8" ht="15" customHeight="1">
      <c r="A136" s="88">
        <v>43410.748383067097</v>
      </c>
      <c r="B136">
        <v>200</v>
      </c>
      <c r="C136">
        <v>1.78</v>
      </c>
      <c r="D136" t="s">
        <v>1</v>
      </c>
      <c r="F136" t="s">
        <v>3</v>
      </c>
      <c r="G136" t="s">
        <v>307</v>
      </c>
    </row>
    <row r="137" spans="1:8" ht="15" customHeight="1">
      <c r="A137" s="88">
        <v>43410.748383067097</v>
      </c>
      <c r="B137">
        <v>400</v>
      </c>
      <c r="C137">
        <v>3.56</v>
      </c>
      <c r="D137" t="s">
        <v>1</v>
      </c>
      <c r="F137" t="s">
        <v>3</v>
      </c>
      <c r="G137" t="s">
        <v>295</v>
      </c>
    </row>
    <row r="138" spans="1:8" ht="15" customHeight="1">
      <c r="A138" s="88">
        <v>43410.748383067097</v>
      </c>
      <c r="B138">
        <v>100</v>
      </c>
      <c r="C138">
        <v>0.89</v>
      </c>
      <c r="D138" t="s">
        <v>1</v>
      </c>
      <c r="F138" t="s">
        <v>3</v>
      </c>
      <c r="G138" t="s">
        <v>326</v>
      </c>
    </row>
    <row r="139" spans="1:8" ht="15" customHeight="1">
      <c r="A139" s="88">
        <v>43410.748383067097</v>
      </c>
      <c r="B139">
        <v>1000</v>
      </c>
      <c r="C139">
        <v>8.9</v>
      </c>
      <c r="D139" t="s">
        <v>1</v>
      </c>
      <c r="F139" t="s">
        <v>3</v>
      </c>
      <c r="G139" t="s">
        <v>326</v>
      </c>
    </row>
    <row r="140" spans="1:8" ht="15" customHeight="1">
      <c r="A140" s="126">
        <v>43411.740959178198</v>
      </c>
      <c r="B140" s="17">
        <v>400</v>
      </c>
      <c r="C140">
        <v>3.56</v>
      </c>
      <c r="D140" t="s">
        <v>1</v>
      </c>
      <c r="F140" t="s">
        <v>3</v>
      </c>
      <c r="G140" t="s">
        <v>291</v>
      </c>
    </row>
    <row r="141" spans="1:8" ht="15" customHeight="1">
      <c r="A141" s="88">
        <v>43425.646160104203</v>
      </c>
      <c r="B141">
        <v>500</v>
      </c>
      <c r="C141">
        <v>11.45</v>
      </c>
      <c r="D141" t="s">
        <v>1</v>
      </c>
      <c r="F141" t="s">
        <v>274</v>
      </c>
      <c r="G141" t="s">
        <v>327</v>
      </c>
    </row>
    <row r="142" spans="1:8" ht="15" customHeight="1">
      <c r="A142" s="88">
        <v>43426.734713113401</v>
      </c>
      <c r="B142" s="17">
        <v>300</v>
      </c>
      <c r="C142">
        <v>2.67</v>
      </c>
      <c r="D142" t="s">
        <v>1</v>
      </c>
      <c r="F142" t="s">
        <v>3</v>
      </c>
      <c r="G142" t="s">
        <v>322</v>
      </c>
    </row>
    <row r="143" spans="1:8" ht="15" customHeight="1">
      <c r="A143" s="126">
        <v>43426.734713113401</v>
      </c>
      <c r="B143" s="17">
        <v>200</v>
      </c>
      <c r="C143" s="17">
        <v>1.78</v>
      </c>
      <c r="D143" s="17" t="s">
        <v>1</v>
      </c>
      <c r="E143" s="17"/>
      <c r="F143" s="17" t="s">
        <v>3</v>
      </c>
      <c r="G143" s="17" t="s">
        <v>16</v>
      </c>
      <c r="H143" s="127">
        <f>C143/B143*100</f>
        <v>0.89</v>
      </c>
    </row>
    <row r="144" spans="1:8" ht="15" customHeight="1">
      <c r="A144" s="126">
        <v>43426.734713113401</v>
      </c>
      <c r="B144">
        <v>100</v>
      </c>
      <c r="C144">
        <v>0.89</v>
      </c>
      <c r="D144" t="s">
        <v>1</v>
      </c>
      <c r="F144" t="s">
        <v>3</v>
      </c>
      <c r="G144" t="s">
        <v>314</v>
      </c>
    </row>
    <row r="145" spans="1:8" ht="15" customHeight="1">
      <c r="A145" s="88">
        <v>43426.734713113401</v>
      </c>
      <c r="B145">
        <v>200</v>
      </c>
      <c r="C145">
        <v>1.78</v>
      </c>
      <c r="D145" t="s">
        <v>1</v>
      </c>
      <c r="F145" t="s">
        <v>3</v>
      </c>
      <c r="G145" t="s">
        <v>297</v>
      </c>
    </row>
    <row r="146" spans="1:8" ht="15" customHeight="1">
      <c r="A146" s="88">
        <v>43428.553623761603</v>
      </c>
      <c r="B146">
        <v>210</v>
      </c>
      <c r="C146">
        <v>9.99</v>
      </c>
      <c r="D146" t="s">
        <v>1</v>
      </c>
      <c r="F146" t="s">
        <v>274</v>
      </c>
      <c r="G146" t="s">
        <v>275</v>
      </c>
    </row>
    <row r="147" spans="1:8" ht="15" customHeight="1">
      <c r="A147" s="88">
        <v>43430.685975891203</v>
      </c>
      <c r="B147" s="17">
        <v>200</v>
      </c>
      <c r="C147">
        <v>1.78</v>
      </c>
      <c r="D147" t="s">
        <v>1</v>
      </c>
      <c r="F147" t="s">
        <v>3</v>
      </c>
      <c r="G147" t="s">
        <v>273</v>
      </c>
    </row>
    <row r="148" spans="1:8" ht="15" customHeight="1">
      <c r="A148" s="88">
        <v>43430.685975891203</v>
      </c>
      <c r="B148" s="17">
        <v>400</v>
      </c>
      <c r="C148">
        <v>3.56</v>
      </c>
      <c r="D148" t="s">
        <v>1</v>
      </c>
      <c r="F148" t="s">
        <v>3</v>
      </c>
      <c r="G148" t="s">
        <v>271</v>
      </c>
    </row>
    <row r="149" spans="1:8" ht="15" customHeight="1">
      <c r="A149" s="88">
        <v>43430.685975891203</v>
      </c>
      <c r="B149">
        <v>200</v>
      </c>
      <c r="C149">
        <v>9.99</v>
      </c>
      <c r="D149" t="s">
        <v>1</v>
      </c>
      <c r="F149" t="s">
        <v>3</v>
      </c>
      <c r="G149" t="s">
        <v>318</v>
      </c>
    </row>
    <row r="150" spans="1:8" ht="15" customHeight="1">
      <c r="A150" s="88">
        <v>43431.702858715304</v>
      </c>
      <c r="B150" s="144">
        <v>200</v>
      </c>
      <c r="C150">
        <v>1.78</v>
      </c>
      <c r="D150" t="s">
        <v>1</v>
      </c>
      <c r="F150" t="s">
        <v>3</v>
      </c>
      <c r="G150" t="s">
        <v>277</v>
      </c>
    </row>
    <row r="151" spans="1:8" ht="15" customHeight="1">
      <c r="A151" s="88">
        <v>43431.702858715304</v>
      </c>
      <c r="B151" s="175">
        <v>210</v>
      </c>
      <c r="C151">
        <v>1.869</v>
      </c>
      <c r="D151" t="s">
        <v>1</v>
      </c>
      <c r="F151" t="s">
        <v>3</v>
      </c>
      <c r="G151" t="s">
        <v>55</v>
      </c>
    </row>
    <row r="152" spans="1:8" ht="15" customHeight="1">
      <c r="A152" s="88">
        <v>43431.702858715304</v>
      </c>
      <c r="B152">
        <v>200</v>
      </c>
      <c r="C152">
        <v>1.78</v>
      </c>
      <c r="D152" t="s">
        <v>1</v>
      </c>
      <c r="F152" t="s">
        <v>3</v>
      </c>
      <c r="G152" t="s">
        <v>299</v>
      </c>
    </row>
    <row r="153" spans="1:8" ht="15" customHeight="1">
      <c r="A153" s="88">
        <v>43431.702858715304</v>
      </c>
      <c r="B153">
        <v>200</v>
      </c>
      <c r="C153">
        <v>1.78</v>
      </c>
      <c r="D153" t="s">
        <v>1</v>
      </c>
      <c r="F153" t="s">
        <v>3</v>
      </c>
      <c r="G153" t="s">
        <v>285</v>
      </c>
    </row>
    <row r="154" spans="1:8" ht="15" customHeight="1">
      <c r="A154" s="88">
        <v>43438.728311655097</v>
      </c>
      <c r="B154" s="17">
        <v>200</v>
      </c>
      <c r="C154">
        <v>1.78</v>
      </c>
      <c r="D154" t="s">
        <v>1</v>
      </c>
      <c r="F154" t="s">
        <v>3</v>
      </c>
      <c r="G154" t="s">
        <v>270</v>
      </c>
    </row>
    <row r="155" spans="1:8" ht="15" customHeight="1">
      <c r="A155" s="88">
        <v>43438.728311655097</v>
      </c>
      <c r="B155">
        <v>1000</v>
      </c>
      <c r="C155">
        <v>22.9</v>
      </c>
      <c r="D155" t="s">
        <v>1</v>
      </c>
      <c r="F155" t="s">
        <v>3</v>
      </c>
      <c r="G155" t="s">
        <v>276</v>
      </c>
    </row>
    <row r="156" spans="1:8" ht="15" customHeight="1">
      <c r="A156" s="126">
        <v>43438.728311655097</v>
      </c>
      <c r="B156" s="17">
        <v>300</v>
      </c>
      <c r="C156" s="17">
        <v>2.67</v>
      </c>
      <c r="D156" s="17" t="s">
        <v>1</v>
      </c>
      <c r="E156" s="17"/>
      <c r="F156" s="17" t="s">
        <v>3</v>
      </c>
      <c r="G156" s="17" t="s">
        <v>282</v>
      </c>
      <c r="H156">
        <f>C156/B156*100</f>
        <v>0.89</v>
      </c>
    </row>
    <row r="157" spans="1:8" ht="15" customHeight="1">
      <c r="A157" s="88">
        <v>43438.728311655097</v>
      </c>
      <c r="B157">
        <v>300</v>
      </c>
      <c r="C157">
        <v>2.67</v>
      </c>
      <c r="D157" t="s">
        <v>1</v>
      </c>
      <c r="F157" t="s">
        <v>3</v>
      </c>
      <c r="G157" t="s">
        <v>283</v>
      </c>
    </row>
    <row r="158" spans="1:8" ht="15" customHeight="1">
      <c r="A158" s="88">
        <v>43438.728311655097</v>
      </c>
      <c r="B158">
        <v>200</v>
      </c>
      <c r="C158">
        <v>1.78</v>
      </c>
      <c r="D158" t="s">
        <v>1</v>
      </c>
      <c r="F158" t="s">
        <v>3</v>
      </c>
      <c r="G158" t="s">
        <v>321</v>
      </c>
    </row>
    <row r="159" spans="1:8" ht="15" customHeight="1">
      <c r="A159" s="88">
        <v>43440.733823113398</v>
      </c>
      <c r="B159">
        <v>400</v>
      </c>
      <c r="C159">
        <v>3.56</v>
      </c>
      <c r="D159" t="s">
        <v>1</v>
      </c>
      <c r="F159" t="s">
        <v>3</v>
      </c>
      <c r="G159" t="s">
        <v>307</v>
      </c>
    </row>
    <row r="160" spans="1:8" ht="15" customHeight="1">
      <c r="A160" s="88">
        <v>43440.733823113398</v>
      </c>
      <c r="B160">
        <v>300</v>
      </c>
      <c r="C160">
        <v>2.67</v>
      </c>
      <c r="D160" t="s">
        <v>1</v>
      </c>
      <c r="F160" t="s">
        <v>3</v>
      </c>
      <c r="G160" t="s">
        <v>315</v>
      </c>
    </row>
    <row r="161" spans="1:8" ht="15" customHeight="1">
      <c r="A161" s="88">
        <v>43444.711152395801</v>
      </c>
      <c r="B161">
        <v>400</v>
      </c>
      <c r="C161">
        <v>3.56</v>
      </c>
      <c r="D161" t="s">
        <v>1</v>
      </c>
      <c r="F161" t="s">
        <v>3</v>
      </c>
      <c r="G161" t="s">
        <v>290</v>
      </c>
    </row>
    <row r="162" spans="1:8" ht="15" customHeight="1">
      <c r="A162" s="88">
        <v>43444.711152395801</v>
      </c>
      <c r="B162">
        <v>200</v>
      </c>
      <c r="C162">
        <v>1.78</v>
      </c>
      <c r="D162" t="s">
        <v>1</v>
      </c>
      <c r="F162" t="s">
        <v>3</v>
      </c>
      <c r="G162" t="s">
        <v>324</v>
      </c>
    </row>
    <row r="163" spans="1:8" ht="15" customHeight="1">
      <c r="A163" s="88">
        <v>43448.574446794002</v>
      </c>
      <c r="B163" s="175">
        <v>210</v>
      </c>
      <c r="C163">
        <v>1.869</v>
      </c>
      <c r="D163" t="s">
        <v>1</v>
      </c>
      <c r="F163" t="s">
        <v>3</v>
      </c>
      <c r="G163" t="s">
        <v>55</v>
      </c>
    </row>
    <row r="164" spans="1:8" ht="15" customHeight="1">
      <c r="A164" s="88">
        <v>43452.624080405098</v>
      </c>
      <c r="B164" s="17">
        <v>200</v>
      </c>
      <c r="C164">
        <v>1.78</v>
      </c>
      <c r="D164" t="s">
        <v>1</v>
      </c>
      <c r="F164" t="s">
        <v>3</v>
      </c>
      <c r="G164" t="s">
        <v>270</v>
      </c>
    </row>
    <row r="165" spans="1:8" ht="15" customHeight="1">
      <c r="A165" s="88">
        <v>43452.624080405098</v>
      </c>
      <c r="B165" s="17">
        <v>200</v>
      </c>
      <c r="C165">
        <v>1.78</v>
      </c>
      <c r="D165" t="s">
        <v>1</v>
      </c>
      <c r="F165" t="s">
        <v>3</v>
      </c>
      <c r="G165" t="s">
        <v>270</v>
      </c>
    </row>
    <row r="166" spans="1:8" ht="15" customHeight="1">
      <c r="A166" s="126">
        <v>43452.624080405098</v>
      </c>
      <c r="B166" s="17">
        <v>200</v>
      </c>
      <c r="C166" s="17">
        <v>1.78</v>
      </c>
      <c r="D166" s="17" t="s">
        <v>1</v>
      </c>
      <c r="E166" s="17"/>
      <c r="F166" s="17" t="s">
        <v>3</v>
      </c>
      <c r="G166" s="17" t="s">
        <v>16</v>
      </c>
      <c r="H166" s="127">
        <f>C166/B166*100</f>
        <v>0.89</v>
      </c>
    </row>
    <row r="167" spans="1:8" ht="15" customHeight="1">
      <c r="A167" s="88">
        <v>43452.624080405098</v>
      </c>
      <c r="B167">
        <v>200</v>
      </c>
      <c r="C167">
        <v>1.78</v>
      </c>
      <c r="D167" t="s">
        <v>1</v>
      </c>
      <c r="F167" t="s">
        <v>3</v>
      </c>
      <c r="G167" t="s">
        <v>321</v>
      </c>
    </row>
    <row r="168" spans="1:8" ht="15" customHeight="1">
      <c r="A168" s="88">
        <v>43452.624080405098</v>
      </c>
      <c r="B168">
        <v>200</v>
      </c>
      <c r="C168">
        <v>1.78</v>
      </c>
      <c r="D168" t="s">
        <v>1</v>
      </c>
      <c r="F168" t="s">
        <v>3</v>
      </c>
      <c r="G168" t="s">
        <v>321</v>
      </c>
    </row>
    <row r="169" spans="1:8" ht="15" customHeight="1">
      <c r="A169" s="88">
        <v>43452.624080405098</v>
      </c>
      <c r="B169">
        <v>200</v>
      </c>
      <c r="C169">
        <v>1.78</v>
      </c>
      <c r="D169" t="s">
        <v>1</v>
      </c>
      <c r="F169" t="s">
        <v>3</v>
      </c>
      <c r="G169" t="s">
        <v>297</v>
      </c>
    </row>
    <row r="170" spans="1:8" ht="15" customHeight="1">
      <c r="A170" s="88">
        <v>43452.624080405098</v>
      </c>
      <c r="B170">
        <v>200</v>
      </c>
      <c r="C170">
        <v>1.78</v>
      </c>
      <c r="D170" t="s">
        <v>1</v>
      </c>
      <c r="F170" t="s">
        <v>3</v>
      </c>
      <c r="G170" t="s">
        <v>297</v>
      </c>
    </row>
    <row r="171" spans="1:8" ht="15" customHeight="1">
      <c r="A171" s="88">
        <v>43453.462769178201</v>
      </c>
      <c r="B171">
        <v>400</v>
      </c>
      <c r="C171">
        <v>3.56</v>
      </c>
      <c r="D171" t="s">
        <v>1</v>
      </c>
      <c r="F171" t="s">
        <v>3</v>
      </c>
      <c r="G171" t="s">
        <v>272</v>
      </c>
    </row>
    <row r="172" spans="1:8" ht="15" customHeight="1">
      <c r="A172" s="88">
        <v>43454.720097881902</v>
      </c>
      <c r="B172">
        <v>200</v>
      </c>
      <c r="C172">
        <v>9.99</v>
      </c>
      <c r="D172" t="s">
        <v>1</v>
      </c>
      <c r="F172" t="s">
        <v>3</v>
      </c>
      <c r="G172" t="s">
        <v>318</v>
      </c>
    </row>
    <row r="173" spans="1:8" ht="15" customHeight="1">
      <c r="A173" s="88">
        <v>43455.714830520803</v>
      </c>
      <c r="B173">
        <v>150</v>
      </c>
      <c r="C173">
        <v>1.335</v>
      </c>
      <c r="D173" t="s">
        <v>1</v>
      </c>
      <c r="F173" t="s">
        <v>3</v>
      </c>
      <c r="G173" t="s">
        <v>266</v>
      </c>
    </row>
    <row r="174" spans="1:8" ht="15" customHeight="1">
      <c r="A174" s="88">
        <v>43469.710792592603</v>
      </c>
      <c r="B174" s="144">
        <v>200</v>
      </c>
      <c r="C174">
        <v>1.78</v>
      </c>
      <c r="D174" t="s">
        <v>1</v>
      </c>
      <c r="F174" t="s">
        <v>3</v>
      </c>
      <c r="G174" t="s">
        <v>289</v>
      </c>
    </row>
    <row r="175" spans="1:8" ht="15" customHeight="1">
      <c r="A175" s="88">
        <v>43469.710792592603</v>
      </c>
      <c r="B175" s="17">
        <v>200</v>
      </c>
      <c r="C175">
        <v>1.78</v>
      </c>
      <c r="D175" t="s">
        <v>1</v>
      </c>
      <c r="F175" t="s">
        <v>3</v>
      </c>
      <c r="G175" t="s">
        <v>273</v>
      </c>
    </row>
    <row r="176" spans="1:8" ht="15" customHeight="1">
      <c r="A176" s="88">
        <v>43469.710792592603</v>
      </c>
      <c r="B176" s="17">
        <v>400</v>
      </c>
      <c r="C176">
        <v>3.56</v>
      </c>
      <c r="D176" t="s">
        <v>1</v>
      </c>
      <c r="F176" t="s">
        <v>3</v>
      </c>
      <c r="G176" t="s">
        <v>284</v>
      </c>
    </row>
    <row r="177" spans="1:8" ht="15" customHeight="1">
      <c r="A177" s="88">
        <v>43469.710792592603</v>
      </c>
      <c r="B177" s="17">
        <v>200</v>
      </c>
      <c r="C177">
        <v>1.78</v>
      </c>
      <c r="D177" t="s">
        <v>1</v>
      </c>
      <c r="F177" t="s">
        <v>3</v>
      </c>
      <c r="G177" t="s">
        <v>312</v>
      </c>
    </row>
    <row r="178" spans="1:8" ht="15" customHeight="1">
      <c r="A178" s="88">
        <v>43469.710792592603</v>
      </c>
      <c r="B178" s="17">
        <v>200</v>
      </c>
      <c r="C178">
        <v>1.78</v>
      </c>
      <c r="D178" t="s">
        <v>1</v>
      </c>
      <c r="F178" t="s">
        <v>3</v>
      </c>
      <c r="G178" t="s">
        <v>268</v>
      </c>
    </row>
    <row r="179" spans="1:8" ht="15" customHeight="1">
      <c r="A179" s="88">
        <v>43469.710792592603</v>
      </c>
      <c r="B179">
        <v>200</v>
      </c>
      <c r="C179">
        <v>1.78</v>
      </c>
      <c r="D179" t="s">
        <v>1</v>
      </c>
      <c r="F179" t="s">
        <v>3</v>
      </c>
      <c r="G179" t="s">
        <v>299</v>
      </c>
    </row>
    <row r="180" spans="1:8" ht="15" customHeight="1">
      <c r="A180" s="88">
        <v>43469.710792592603</v>
      </c>
      <c r="B180">
        <v>400</v>
      </c>
      <c r="C180">
        <v>3.56</v>
      </c>
      <c r="D180" t="s">
        <v>1</v>
      </c>
      <c r="F180" t="s">
        <v>3</v>
      </c>
      <c r="G180" t="s">
        <v>309</v>
      </c>
    </row>
    <row r="181" spans="1:8" ht="15" customHeight="1">
      <c r="A181" s="88">
        <v>43469.710792592603</v>
      </c>
      <c r="B181">
        <v>200</v>
      </c>
      <c r="C181">
        <v>1.78</v>
      </c>
      <c r="D181" t="s">
        <v>1</v>
      </c>
      <c r="F181" t="s">
        <v>3</v>
      </c>
      <c r="G181" t="s">
        <v>326</v>
      </c>
    </row>
    <row r="182" spans="1:8" ht="15" customHeight="1">
      <c r="A182" s="88">
        <v>43469.710792592603</v>
      </c>
      <c r="B182">
        <v>200</v>
      </c>
      <c r="C182">
        <v>1.78</v>
      </c>
      <c r="D182" t="s">
        <v>1</v>
      </c>
      <c r="F182" t="s">
        <v>3</v>
      </c>
      <c r="G182" t="s">
        <v>324</v>
      </c>
    </row>
    <row r="183" spans="1:8" ht="15" customHeight="1">
      <c r="A183" s="88">
        <v>43480.806100381902</v>
      </c>
      <c r="B183" s="175">
        <v>210</v>
      </c>
      <c r="C183">
        <v>1.869</v>
      </c>
      <c r="D183" t="s">
        <v>1</v>
      </c>
      <c r="F183" t="s">
        <v>3</v>
      </c>
      <c r="G183" t="s">
        <v>55</v>
      </c>
    </row>
    <row r="184" spans="1:8" ht="15" customHeight="1">
      <c r="A184" s="126">
        <v>43481.749374421299</v>
      </c>
      <c r="B184" s="17">
        <v>200</v>
      </c>
      <c r="C184" s="17">
        <v>1.78</v>
      </c>
      <c r="D184" s="17" t="s">
        <v>1</v>
      </c>
      <c r="E184" s="17"/>
      <c r="F184" s="17" t="s">
        <v>3</v>
      </c>
      <c r="G184" s="17" t="s">
        <v>16</v>
      </c>
      <c r="H184" s="127">
        <f>C184/B184*100</f>
        <v>0.89</v>
      </c>
    </row>
    <row r="185" spans="1:8" ht="15" customHeight="1">
      <c r="A185" s="88">
        <v>43481.749374421299</v>
      </c>
      <c r="B185">
        <v>200</v>
      </c>
      <c r="C185">
        <v>1.78</v>
      </c>
      <c r="D185" t="s">
        <v>1</v>
      </c>
      <c r="F185" t="s">
        <v>3</v>
      </c>
      <c r="G185" t="s">
        <v>297</v>
      </c>
    </row>
    <row r="186" spans="1:8" ht="15" customHeight="1">
      <c r="A186" s="88">
        <v>43483.781735798599</v>
      </c>
      <c r="B186" s="17">
        <v>600</v>
      </c>
      <c r="C186">
        <v>5.34</v>
      </c>
      <c r="D186" t="s">
        <v>1</v>
      </c>
      <c r="F186" t="s">
        <v>3</v>
      </c>
      <c r="G186" t="s">
        <v>278</v>
      </c>
    </row>
    <row r="187" spans="1:8" ht="15" customHeight="1">
      <c r="A187" s="88">
        <v>43483.781735798599</v>
      </c>
      <c r="B187">
        <v>300</v>
      </c>
      <c r="C187">
        <v>2.67</v>
      </c>
      <c r="D187" t="s">
        <v>1</v>
      </c>
      <c r="F187" t="s">
        <v>3</v>
      </c>
      <c r="G187" t="s">
        <v>290</v>
      </c>
    </row>
    <row r="188" spans="1:8" ht="15" customHeight="1">
      <c r="A188" s="88">
        <v>43486.653627696804</v>
      </c>
      <c r="B188" s="17">
        <v>600</v>
      </c>
      <c r="C188">
        <v>5.34</v>
      </c>
      <c r="D188" t="s">
        <v>1</v>
      </c>
      <c r="F188" t="s">
        <v>3</v>
      </c>
      <c r="G188" t="s">
        <v>322</v>
      </c>
    </row>
    <row r="189" spans="1:8" ht="15" customHeight="1">
      <c r="A189" s="88">
        <v>43490.737771874999</v>
      </c>
      <c r="B189" s="17">
        <v>200</v>
      </c>
      <c r="C189">
        <v>1.78</v>
      </c>
      <c r="D189" t="s">
        <v>1</v>
      </c>
      <c r="F189" t="s">
        <v>3</v>
      </c>
      <c r="G189" t="s">
        <v>273</v>
      </c>
    </row>
    <row r="190" spans="1:8" ht="15" customHeight="1">
      <c r="A190" s="88">
        <v>43493.744281516199</v>
      </c>
      <c r="B190" s="17">
        <v>200</v>
      </c>
      <c r="C190">
        <v>1.78</v>
      </c>
      <c r="D190" t="s">
        <v>1</v>
      </c>
      <c r="F190" t="s">
        <v>3</v>
      </c>
      <c r="G190" t="s">
        <v>270</v>
      </c>
    </row>
    <row r="191" spans="1:8" ht="15" customHeight="1">
      <c r="A191" s="88">
        <v>43493.744281516199</v>
      </c>
      <c r="B191" s="144">
        <v>200</v>
      </c>
      <c r="C191">
        <v>1.78</v>
      </c>
      <c r="D191" t="s">
        <v>1</v>
      </c>
      <c r="F191" t="s">
        <v>3</v>
      </c>
      <c r="G191" t="s">
        <v>277</v>
      </c>
    </row>
    <row r="192" spans="1:8" ht="15" customHeight="1">
      <c r="A192" s="88">
        <v>43493.744281516199</v>
      </c>
      <c r="B192" s="17">
        <v>350</v>
      </c>
      <c r="C192">
        <v>3.1150000000000002</v>
      </c>
      <c r="D192" t="s">
        <v>1</v>
      </c>
      <c r="F192" t="s">
        <v>3</v>
      </c>
      <c r="G192" t="s">
        <v>328</v>
      </c>
    </row>
    <row r="193" spans="1:7" ht="15" customHeight="1">
      <c r="A193" s="88">
        <v>43493.744281516199</v>
      </c>
      <c r="B193" s="17">
        <v>200</v>
      </c>
      <c r="C193">
        <v>1.78</v>
      </c>
      <c r="D193" t="s">
        <v>1</v>
      </c>
      <c r="F193" t="s">
        <v>3</v>
      </c>
      <c r="G193" t="s">
        <v>271</v>
      </c>
    </row>
    <row r="194" spans="1:7" ht="15" customHeight="1">
      <c r="A194" s="88">
        <v>43493.744281516199</v>
      </c>
      <c r="B194">
        <v>200</v>
      </c>
      <c r="C194">
        <v>1.78</v>
      </c>
      <c r="D194" t="s">
        <v>1</v>
      </c>
      <c r="F194" t="s">
        <v>3</v>
      </c>
      <c r="G194" t="s">
        <v>299</v>
      </c>
    </row>
    <row r="195" spans="1:7" ht="15" customHeight="1">
      <c r="A195" s="88">
        <v>43493.744281516199</v>
      </c>
      <c r="B195">
        <v>200</v>
      </c>
      <c r="C195">
        <v>1.78</v>
      </c>
      <c r="D195" t="s">
        <v>1</v>
      </c>
      <c r="F195" t="s">
        <v>3</v>
      </c>
      <c r="G195" t="s">
        <v>321</v>
      </c>
    </row>
    <row r="196" spans="1:7" ht="15" customHeight="1">
      <c r="A196" s="88">
        <v>43493.744281516199</v>
      </c>
      <c r="B196">
        <v>800</v>
      </c>
      <c r="C196">
        <v>7.12</v>
      </c>
      <c r="D196" t="s">
        <v>1</v>
      </c>
      <c r="F196" t="s">
        <v>3</v>
      </c>
      <c r="G196" t="s">
        <v>311</v>
      </c>
    </row>
    <row r="197" spans="1:7" ht="15" customHeight="1">
      <c r="A197" s="88">
        <v>43493.744281516199</v>
      </c>
      <c r="B197">
        <v>200</v>
      </c>
      <c r="C197">
        <v>1.78</v>
      </c>
      <c r="D197" t="s">
        <v>1</v>
      </c>
      <c r="F197" t="s">
        <v>3</v>
      </c>
      <c r="G197" t="s">
        <v>285</v>
      </c>
    </row>
    <row r="198" spans="1:7" ht="15" customHeight="1">
      <c r="A198" s="88">
        <v>43493.744281516199</v>
      </c>
      <c r="B198">
        <v>400</v>
      </c>
      <c r="C198">
        <v>3.56</v>
      </c>
      <c r="D198" t="s">
        <v>1</v>
      </c>
      <c r="F198" t="s">
        <v>3</v>
      </c>
      <c r="G198" t="s">
        <v>316</v>
      </c>
    </row>
    <row r="199" spans="1:7" ht="15" customHeight="1">
      <c r="A199" s="88">
        <v>43493.744281516199</v>
      </c>
      <c r="B199">
        <v>200</v>
      </c>
      <c r="C199">
        <v>1.78</v>
      </c>
      <c r="D199" t="s">
        <v>1</v>
      </c>
      <c r="F199" t="s">
        <v>3</v>
      </c>
      <c r="G199" t="s">
        <v>324</v>
      </c>
    </row>
    <row r="200" spans="1:7" ht="15" customHeight="1">
      <c r="A200" s="126">
        <v>43494.759365590297</v>
      </c>
      <c r="B200">
        <v>200</v>
      </c>
      <c r="C200">
        <v>1.78</v>
      </c>
      <c r="D200" t="s">
        <v>1</v>
      </c>
      <c r="F200" t="s">
        <v>3</v>
      </c>
      <c r="G200" t="s">
        <v>314</v>
      </c>
    </row>
    <row r="201" spans="1:7" ht="15" customHeight="1">
      <c r="A201" s="88">
        <v>43496.7201798264</v>
      </c>
      <c r="B201">
        <v>400</v>
      </c>
      <c r="C201">
        <v>3.56</v>
      </c>
      <c r="D201" t="s">
        <v>1</v>
      </c>
      <c r="F201" t="s">
        <v>3</v>
      </c>
      <c r="G201" t="s">
        <v>272</v>
      </c>
    </row>
    <row r="202" spans="1:7" ht="15" customHeight="1">
      <c r="A202" s="88">
        <v>43496.7201798264</v>
      </c>
      <c r="B202">
        <v>1000</v>
      </c>
      <c r="C202">
        <v>8.9</v>
      </c>
      <c r="D202" t="s">
        <v>1</v>
      </c>
      <c r="F202" t="s">
        <v>3</v>
      </c>
      <c r="G202" t="s">
        <v>317</v>
      </c>
    </row>
    <row r="203" spans="1:7" ht="15" customHeight="1">
      <c r="A203" s="88">
        <v>43497.6915689815</v>
      </c>
      <c r="B203">
        <v>200</v>
      </c>
      <c r="C203">
        <v>1.78</v>
      </c>
      <c r="D203" t="s">
        <v>1</v>
      </c>
      <c r="F203" t="s">
        <v>3</v>
      </c>
      <c r="G203" t="s">
        <v>326</v>
      </c>
    </row>
    <row r="204" spans="1:7" ht="15" customHeight="1">
      <c r="A204" s="88">
        <v>43501.388418830997</v>
      </c>
      <c r="B204">
        <v>200</v>
      </c>
      <c r="C204">
        <v>9.99</v>
      </c>
      <c r="D204" t="s">
        <v>1</v>
      </c>
      <c r="F204" t="s">
        <v>274</v>
      </c>
      <c r="G204" t="s">
        <v>275</v>
      </c>
    </row>
    <row r="205" spans="1:7" ht="15" customHeight="1">
      <c r="A205" s="88">
        <v>43501.781437303202</v>
      </c>
      <c r="B205" s="17">
        <v>400</v>
      </c>
      <c r="C205">
        <v>3.56</v>
      </c>
      <c r="D205" t="s">
        <v>1</v>
      </c>
      <c r="F205" t="s">
        <v>3</v>
      </c>
      <c r="G205" t="s">
        <v>312</v>
      </c>
    </row>
    <row r="206" spans="1:7" ht="15" customHeight="1">
      <c r="A206" s="88">
        <v>43504.649183298599</v>
      </c>
      <c r="B206" s="144">
        <v>200</v>
      </c>
      <c r="C206">
        <v>1.78</v>
      </c>
      <c r="D206" t="s">
        <v>1</v>
      </c>
      <c r="F206" t="s">
        <v>3</v>
      </c>
      <c r="G206" t="s">
        <v>289</v>
      </c>
    </row>
    <row r="207" spans="1:7" ht="15" customHeight="1">
      <c r="A207" s="88">
        <v>43504.649183298599</v>
      </c>
      <c r="B207">
        <v>1300</v>
      </c>
      <c r="C207">
        <v>29.77</v>
      </c>
      <c r="D207" t="s">
        <v>1</v>
      </c>
      <c r="F207" t="s">
        <v>3</v>
      </c>
      <c r="G207" t="s">
        <v>329</v>
      </c>
    </row>
    <row r="208" spans="1:7" ht="15" customHeight="1">
      <c r="A208" s="88">
        <v>43507.727247604198</v>
      </c>
      <c r="B208" s="175">
        <v>300</v>
      </c>
      <c r="C208">
        <v>2.67</v>
      </c>
      <c r="D208" t="s">
        <v>1</v>
      </c>
      <c r="F208" t="s">
        <v>3</v>
      </c>
      <c r="G208" t="s">
        <v>55</v>
      </c>
    </row>
    <row r="209" spans="1:8" ht="15" customHeight="1">
      <c r="A209" s="88">
        <v>43510.6900986111</v>
      </c>
      <c r="B209">
        <v>500</v>
      </c>
      <c r="C209">
        <v>4.45</v>
      </c>
      <c r="D209" t="s">
        <v>1</v>
      </c>
      <c r="F209" t="s">
        <v>3</v>
      </c>
      <c r="G209" t="s">
        <v>304</v>
      </c>
    </row>
    <row r="210" spans="1:8" ht="15" customHeight="1">
      <c r="A210" s="126">
        <v>43514.748332488402</v>
      </c>
      <c r="B210" s="17">
        <v>200</v>
      </c>
      <c r="C210" s="17">
        <v>1.78</v>
      </c>
      <c r="D210" s="17" t="s">
        <v>1</v>
      </c>
      <c r="E210" s="17"/>
      <c r="F210" s="17" t="s">
        <v>3</v>
      </c>
      <c r="G210" s="17" t="s">
        <v>16</v>
      </c>
      <c r="H210" s="127">
        <f>C210/B210*100</f>
        <v>0.89</v>
      </c>
    </row>
    <row r="211" spans="1:8" ht="15" customHeight="1">
      <c r="A211" s="88">
        <v>43516.750075891199</v>
      </c>
      <c r="B211" s="17">
        <v>1500</v>
      </c>
      <c r="C211">
        <v>13.35</v>
      </c>
      <c r="D211" t="s">
        <v>1</v>
      </c>
      <c r="F211" t="s">
        <v>3</v>
      </c>
      <c r="G211" t="s">
        <v>328</v>
      </c>
    </row>
    <row r="212" spans="1:8" ht="15" customHeight="1">
      <c r="A212" s="88">
        <v>43516.750075891199</v>
      </c>
      <c r="B212">
        <v>400</v>
      </c>
      <c r="C212">
        <v>3.56</v>
      </c>
      <c r="D212" t="s">
        <v>1</v>
      </c>
      <c r="F212" t="s">
        <v>3</v>
      </c>
      <c r="G212" t="s">
        <v>288</v>
      </c>
    </row>
    <row r="213" spans="1:8" ht="15" customHeight="1">
      <c r="A213" s="88">
        <v>43521.6921385069</v>
      </c>
      <c r="B213" s="17">
        <v>200</v>
      </c>
      <c r="C213">
        <v>1.78</v>
      </c>
      <c r="D213" t="s">
        <v>1</v>
      </c>
      <c r="F213" t="s">
        <v>3</v>
      </c>
      <c r="G213" t="s">
        <v>273</v>
      </c>
    </row>
    <row r="214" spans="1:8" ht="15" customHeight="1">
      <c r="A214" s="88">
        <v>43521.6921385069</v>
      </c>
      <c r="B214" s="17">
        <v>200</v>
      </c>
      <c r="C214">
        <v>1.78</v>
      </c>
      <c r="D214" t="s">
        <v>1</v>
      </c>
      <c r="F214" t="s">
        <v>3</v>
      </c>
      <c r="G214" t="s">
        <v>271</v>
      </c>
    </row>
    <row r="215" spans="1:8" ht="15" customHeight="1">
      <c r="A215" s="88">
        <v>43521.6921385069</v>
      </c>
      <c r="B215">
        <v>400</v>
      </c>
      <c r="C215">
        <v>9.99</v>
      </c>
      <c r="D215" t="s">
        <v>1</v>
      </c>
      <c r="F215" t="s">
        <v>3</v>
      </c>
      <c r="G215" t="s">
        <v>318</v>
      </c>
    </row>
    <row r="216" spans="1:8" ht="15" customHeight="1">
      <c r="A216" s="88">
        <v>43522.727404201403</v>
      </c>
      <c r="B216">
        <v>2500</v>
      </c>
      <c r="C216">
        <v>22.25</v>
      </c>
      <c r="D216" t="s">
        <v>1</v>
      </c>
      <c r="F216" t="s">
        <v>3</v>
      </c>
      <c r="G216" t="s">
        <v>330</v>
      </c>
    </row>
    <row r="217" spans="1:8" ht="15" customHeight="1">
      <c r="A217" s="88">
        <v>43522.727404201403</v>
      </c>
      <c r="B217" s="17">
        <v>200</v>
      </c>
      <c r="C217">
        <v>1.78</v>
      </c>
      <c r="D217" t="s">
        <v>1</v>
      </c>
      <c r="F217" t="s">
        <v>3</v>
      </c>
      <c r="G217" t="s">
        <v>270</v>
      </c>
    </row>
    <row r="218" spans="1:8" ht="15" customHeight="1">
      <c r="A218" s="88">
        <v>43522.727404201403</v>
      </c>
      <c r="B218" s="17">
        <v>400</v>
      </c>
      <c r="C218">
        <v>3.56</v>
      </c>
      <c r="D218" t="s">
        <v>1</v>
      </c>
      <c r="F218" t="s">
        <v>3</v>
      </c>
      <c r="G218" t="s">
        <v>268</v>
      </c>
    </row>
    <row r="219" spans="1:8" ht="15" customHeight="1">
      <c r="A219" s="88">
        <v>43522.727404201403</v>
      </c>
      <c r="B219">
        <v>200</v>
      </c>
      <c r="C219">
        <v>1.78</v>
      </c>
      <c r="D219" t="s">
        <v>1</v>
      </c>
      <c r="F219" t="s">
        <v>3</v>
      </c>
      <c r="G219" t="s">
        <v>321</v>
      </c>
    </row>
    <row r="220" spans="1:8" ht="15" customHeight="1">
      <c r="A220" s="88">
        <v>43522.727404201403</v>
      </c>
      <c r="B220">
        <v>200</v>
      </c>
      <c r="C220">
        <v>1.78</v>
      </c>
      <c r="D220" t="s">
        <v>1</v>
      </c>
      <c r="F220" t="s">
        <v>3</v>
      </c>
      <c r="G220" t="s">
        <v>324</v>
      </c>
    </row>
    <row r="221" spans="1:8" ht="15" customHeight="1">
      <c r="A221" s="88">
        <v>43523.723205127302</v>
      </c>
      <c r="B221" s="144">
        <v>200</v>
      </c>
      <c r="C221">
        <v>1.78</v>
      </c>
      <c r="D221" t="s">
        <v>1</v>
      </c>
      <c r="F221" t="s">
        <v>3</v>
      </c>
      <c r="G221" t="s">
        <v>277</v>
      </c>
    </row>
    <row r="222" spans="1:8" ht="15" customHeight="1">
      <c r="A222" s="88">
        <v>43523.723205127302</v>
      </c>
      <c r="B222">
        <v>300</v>
      </c>
      <c r="C222">
        <v>2.67</v>
      </c>
      <c r="D222" t="s">
        <v>1</v>
      </c>
      <c r="F222" t="s">
        <v>3</v>
      </c>
      <c r="G222" t="s">
        <v>331</v>
      </c>
    </row>
    <row r="223" spans="1:8" ht="15" customHeight="1">
      <c r="A223" s="88">
        <v>43523.723205127302</v>
      </c>
      <c r="B223">
        <v>200</v>
      </c>
      <c r="C223">
        <v>1.78</v>
      </c>
      <c r="D223" t="s">
        <v>1</v>
      </c>
      <c r="F223" t="s">
        <v>3</v>
      </c>
      <c r="G223" t="s">
        <v>299</v>
      </c>
    </row>
    <row r="224" spans="1:8" ht="15" customHeight="1">
      <c r="A224" s="88">
        <v>43523.723205127302</v>
      </c>
      <c r="B224">
        <v>200</v>
      </c>
      <c r="C224">
        <v>1.78</v>
      </c>
      <c r="D224" t="s">
        <v>1</v>
      </c>
      <c r="F224" t="s">
        <v>3</v>
      </c>
      <c r="G224" t="s">
        <v>297</v>
      </c>
    </row>
    <row r="225" spans="1:8" ht="15" customHeight="1">
      <c r="A225" s="88">
        <v>43523.723205127302</v>
      </c>
      <c r="B225">
        <v>200</v>
      </c>
      <c r="C225">
        <v>1.78</v>
      </c>
      <c r="D225" t="s">
        <v>1</v>
      </c>
      <c r="F225" t="s">
        <v>3</v>
      </c>
      <c r="G225" t="s">
        <v>285</v>
      </c>
    </row>
    <row r="226" spans="1:8" ht="15" customHeight="1">
      <c r="A226" s="88">
        <v>43523.723205127302</v>
      </c>
      <c r="B226">
        <v>200</v>
      </c>
      <c r="C226">
        <v>1.78</v>
      </c>
      <c r="D226" t="s">
        <v>1</v>
      </c>
      <c r="F226" t="s">
        <v>3</v>
      </c>
      <c r="G226" t="s">
        <v>316</v>
      </c>
    </row>
    <row r="227" spans="1:8" ht="15" customHeight="1">
      <c r="A227" s="88">
        <v>43523.8242706366</v>
      </c>
      <c r="B227">
        <v>600</v>
      </c>
      <c r="C227">
        <v>13.74</v>
      </c>
      <c r="D227" t="s">
        <v>1</v>
      </c>
      <c r="F227" t="s">
        <v>274</v>
      </c>
      <c r="G227" t="s">
        <v>275</v>
      </c>
    </row>
    <row r="228" spans="1:8" ht="15" customHeight="1">
      <c r="A228" s="88">
        <v>43524.732088969897</v>
      </c>
      <c r="B228">
        <v>300</v>
      </c>
      <c r="C228">
        <v>2.67</v>
      </c>
      <c r="D228" t="s">
        <v>1</v>
      </c>
      <c r="F228" t="s">
        <v>3</v>
      </c>
      <c r="G228" t="s">
        <v>332</v>
      </c>
      <c r="H228">
        <f>C228/B228*100</f>
        <v>0.89</v>
      </c>
    </row>
    <row r="229" spans="1:8" ht="15" customHeight="1">
      <c r="A229" s="126">
        <v>43524.732088969897</v>
      </c>
      <c r="B229" s="17">
        <v>350</v>
      </c>
      <c r="C229" s="17">
        <v>3.1150000000000002</v>
      </c>
      <c r="D229" s="17" t="s">
        <v>1</v>
      </c>
      <c r="E229" s="17"/>
      <c r="F229" s="17" t="s">
        <v>3</v>
      </c>
      <c r="G229" s="17" t="s">
        <v>282</v>
      </c>
      <c r="H229">
        <f>C229/B229*100</f>
        <v>0.89</v>
      </c>
    </row>
    <row r="230" spans="1:8" ht="15" customHeight="1">
      <c r="A230" s="88">
        <v>43524.732088969897</v>
      </c>
      <c r="B230">
        <v>1000</v>
      </c>
      <c r="C230">
        <v>8.9</v>
      </c>
      <c r="D230" t="s">
        <v>1</v>
      </c>
      <c r="F230" t="s">
        <v>3</v>
      </c>
      <c r="G230" t="s">
        <v>310</v>
      </c>
    </row>
    <row r="231" spans="1:8" ht="15" customHeight="1">
      <c r="A231" s="88">
        <v>43524.732088969897</v>
      </c>
      <c r="B231">
        <v>400</v>
      </c>
      <c r="C231">
        <v>3.56</v>
      </c>
      <c r="D231" t="s">
        <v>1</v>
      </c>
      <c r="F231" t="s">
        <v>3</v>
      </c>
      <c r="G231" t="s">
        <v>323</v>
      </c>
    </row>
    <row r="232" spans="1:8" ht="15" customHeight="1">
      <c r="A232" s="88">
        <v>43525.982920682902</v>
      </c>
      <c r="B232">
        <v>44.409599999999998</v>
      </c>
      <c r="C232">
        <v>0.43959999999999999</v>
      </c>
      <c r="D232" t="s">
        <v>1</v>
      </c>
      <c r="F232" t="s">
        <v>3</v>
      </c>
      <c r="G232" t="s">
        <v>333</v>
      </c>
    </row>
    <row r="233" spans="1:8" ht="15" customHeight="1">
      <c r="A233" s="126">
        <v>43528.742038773104</v>
      </c>
      <c r="B233" s="17">
        <v>600</v>
      </c>
      <c r="C233">
        <v>5.94</v>
      </c>
      <c r="D233" t="s">
        <v>1</v>
      </c>
      <c r="F233" t="s">
        <v>3</v>
      </c>
      <c r="G233" t="s">
        <v>291</v>
      </c>
    </row>
    <row r="234" spans="1:8" ht="15" customHeight="1">
      <c r="A234" s="88">
        <v>43528.742038773104</v>
      </c>
      <c r="B234">
        <v>350</v>
      </c>
      <c r="C234">
        <v>3.4649999999999999</v>
      </c>
      <c r="D234" t="s">
        <v>1</v>
      </c>
      <c r="F234" t="s">
        <v>3</v>
      </c>
      <c r="G234" t="s">
        <v>283</v>
      </c>
    </row>
    <row r="235" spans="1:8" ht="15" customHeight="1">
      <c r="A235" s="88">
        <v>43528.742038773104</v>
      </c>
      <c r="B235">
        <v>150</v>
      </c>
      <c r="C235">
        <v>1.4850000000000001</v>
      </c>
      <c r="D235" t="s">
        <v>1</v>
      </c>
      <c r="F235" t="s">
        <v>3</v>
      </c>
      <c r="G235" t="s">
        <v>266</v>
      </c>
    </row>
    <row r="236" spans="1:8" ht="15" customHeight="1">
      <c r="A236" s="88">
        <v>43530.689911574103</v>
      </c>
      <c r="B236" s="17">
        <v>600</v>
      </c>
      <c r="C236">
        <v>5.94</v>
      </c>
      <c r="D236" t="s">
        <v>1</v>
      </c>
      <c r="F236" t="s">
        <v>3</v>
      </c>
      <c r="G236" t="s">
        <v>322</v>
      </c>
    </row>
    <row r="237" spans="1:8" ht="15" customHeight="1">
      <c r="A237" s="88">
        <v>43530.689911574103</v>
      </c>
      <c r="B237">
        <v>200</v>
      </c>
      <c r="C237">
        <v>1.98</v>
      </c>
      <c r="D237" t="s">
        <v>1</v>
      </c>
      <c r="F237" t="s">
        <v>3</v>
      </c>
      <c r="G237" t="s">
        <v>326</v>
      </c>
    </row>
    <row r="238" spans="1:8" ht="15" customHeight="1">
      <c r="A238" s="88">
        <v>43530.689911574103</v>
      </c>
      <c r="B238">
        <v>1200</v>
      </c>
      <c r="C238">
        <v>11.88</v>
      </c>
      <c r="D238" t="s">
        <v>1</v>
      </c>
      <c r="F238" t="s">
        <v>3</v>
      </c>
      <c r="G238" t="s">
        <v>329</v>
      </c>
    </row>
    <row r="239" spans="1:8" ht="15" customHeight="1">
      <c r="A239" s="88">
        <v>43531.730992442099</v>
      </c>
      <c r="B239" s="175">
        <v>300</v>
      </c>
      <c r="C239">
        <v>2.97</v>
      </c>
      <c r="D239" t="s">
        <v>1</v>
      </c>
      <c r="F239" t="s">
        <v>3</v>
      </c>
      <c r="G239" t="s">
        <v>55</v>
      </c>
    </row>
    <row r="240" spans="1:8" ht="15" customHeight="1">
      <c r="A240" s="88">
        <v>43535.747298379603</v>
      </c>
      <c r="B240">
        <v>300</v>
      </c>
      <c r="C240">
        <v>2.97</v>
      </c>
      <c r="D240" t="s">
        <v>1</v>
      </c>
      <c r="F240" t="s">
        <v>3</v>
      </c>
      <c r="G240" t="s">
        <v>311</v>
      </c>
    </row>
    <row r="241" spans="1:8" ht="15" customHeight="1">
      <c r="A241" s="88">
        <v>43539.735835613399</v>
      </c>
      <c r="B241">
        <v>200</v>
      </c>
      <c r="C241">
        <v>1.98</v>
      </c>
      <c r="D241" t="s">
        <v>1</v>
      </c>
      <c r="F241" t="s">
        <v>3</v>
      </c>
      <c r="G241" t="s">
        <v>323</v>
      </c>
    </row>
    <row r="242" spans="1:8" ht="15" customHeight="1">
      <c r="A242" s="88">
        <v>43542.739964120403</v>
      </c>
      <c r="B242" s="17">
        <v>200</v>
      </c>
      <c r="C242">
        <v>1.98</v>
      </c>
      <c r="D242" t="s">
        <v>1</v>
      </c>
      <c r="F242" t="s">
        <v>3</v>
      </c>
      <c r="G242" t="s">
        <v>16</v>
      </c>
      <c r="H242" s="128">
        <f>C242/B242*100</f>
        <v>0.98999999999999988</v>
      </c>
    </row>
    <row r="243" spans="1:8" ht="15" customHeight="1">
      <c r="A243" s="88">
        <v>43542.739964120403</v>
      </c>
      <c r="B243" s="17">
        <v>500</v>
      </c>
      <c r="C243">
        <v>4.95</v>
      </c>
      <c r="D243" t="s">
        <v>1</v>
      </c>
      <c r="F243" t="s">
        <v>3</v>
      </c>
      <c r="G243" t="s">
        <v>328</v>
      </c>
    </row>
    <row r="244" spans="1:8" ht="15" customHeight="1">
      <c r="A244" s="88">
        <v>43542.739964120403</v>
      </c>
      <c r="B244">
        <v>1000</v>
      </c>
      <c r="C244">
        <v>9.9</v>
      </c>
      <c r="D244" t="s">
        <v>1</v>
      </c>
      <c r="F244" t="s">
        <v>3</v>
      </c>
      <c r="G244" t="s">
        <v>334</v>
      </c>
    </row>
    <row r="245" spans="1:8" ht="15" customHeight="1">
      <c r="A245" s="88">
        <v>43542.739964120403</v>
      </c>
      <c r="B245">
        <v>200</v>
      </c>
      <c r="C245">
        <v>1.98</v>
      </c>
      <c r="D245" t="s">
        <v>1</v>
      </c>
      <c r="F245" t="s">
        <v>3</v>
      </c>
      <c r="G245" t="s">
        <v>316</v>
      </c>
    </row>
    <row r="246" spans="1:8" ht="15" customHeight="1">
      <c r="A246" s="88">
        <v>43550.377739583302</v>
      </c>
      <c r="B246">
        <v>400</v>
      </c>
      <c r="C246">
        <v>9.99</v>
      </c>
      <c r="D246" t="s">
        <v>1</v>
      </c>
      <c r="F246" t="s">
        <v>274</v>
      </c>
      <c r="G246" t="s">
        <v>275</v>
      </c>
    </row>
    <row r="247" spans="1:8" ht="15" customHeight="1">
      <c r="A247" s="88">
        <v>43550.500910914401</v>
      </c>
      <c r="B247" s="17">
        <v>200</v>
      </c>
      <c r="C247">
        <v>1.98</v>
      </c>
      <c r="D247" t="s">
        <v>1</v>
      </c>
      <c r="F247" t="s">
        <v>3</v>
      </c>
      <c r="G247" t="s">
        <v>273</v>
      </c>
    </row>
    <row r="248" spans="1:8" ht="15" customHeight="1">
      <c r="A248" s="126">
        <v>43550.500910914401</v>
      </c>
      <c r="B248">
        <v>300</v>
      </c>
      <c r="C248">
        <v>2.97</v>
      </c>
      <c r="D248" t="s">
        <v>1</v>
      </c>
      <c r="F248" t="s">
        <v>3</v>
      </c>
      <c r="G248" t="s">
        <v>314</v>
      </c>
    </row>
    <row r="249" spans="1:8" ht="15" customHeight="1">
      <c r="A249" s="88">
        <v>43550.500910914401</v>
      </c>
      <c r="B249" s="175">
        <v>300</v>
      </c>
      <c r="C249">
        <v>2.97</v>
      </c>
      <c r="D249" t="s">
        <v>1</v>
      </c>
      <c r="F249" t="s">
        <v>3</v>
      </c>
      <c r="G249" t="s">
        <v>55</v>
      </c>
    </row>
    <row r="250" spans="1:8" ht="15" customHeight="1">
      <c r="A250" s="88">
        <v>43550.500910914401</v>
      </c>
      <c r="B250">
        <v>200</v>
      </c>
      <c r="C250">
        <v>1.98</v>
      </c>
      <c r="D250" t="s">
        <v>1</v>
      </c>
      <c r="F250" t="s">
        <v>3</v>
      </c>
      <c r="G250" t="s">
        <v>318</v>
      </c>
    </row>
    <row r="251" spans="1:8" ht="15" customHeight="1">
      <c r="A251" s="88">
        <v>43550.500910914401</v>
      </c>
      <c r="B251">
        <v>200</v>
      </c>
      <c r="C251">
        <v>1.98</v>
      </c>
      <c r="D251" t="s">
        <v>1</v>
      </c>
      <c r="F251" t="s">
        <v>3</v>
      </c>
      <c r="G251" t="s">
        <v>299</v>
      </c>
    </row>
    <row r="252" spans="1:8" ht="15" customHeight="1">
      <c r="A252" s="88">
        <v>43551.738989895799</v>
      </c>
      <c r="B252">
        <v>300</v>
      </c>
      <c r="C252">
        <v>2.97</v>
      </c>
      <c r="D252" t="s">
        <v>1</v>
      </c>
      <c r="F252" t="s">
        <v>3</v>
      </c>
      <c r="G252" t="s">
        <v>332</v>
      </c>
      <c r="H252">
        <f>C252/B252*100</f>
        <v>0.9900000000000001</v>
      </c>
    </row>
    <row r="253" spans="1:8" ht="15" customHeight="1">
      <c r="A253" s="88">
        <v>43551.738989895799</v>
      </c>
      <c r="B253" s="144">
        <v>200</v>
      </c>
      <c r="C253">
        <v>1.98</v>
      </c>
      <c r="D253" t="s">
        <v>1</v>
      </c>
      <c r="F253" t="s">
        <v>3</v>
      </c>
      <c r="G253" t="s">
        <v>277</v>
      </c>
    </row>
    <row r="254" spans="1:8" ht="15" customHeight="1">
      <c r="A254" s="88">
        <v>43551.738989895799</v>
      </c>
      <c r="B254">
        <v>300</v>
      </c>
      <c r="C254">
        <v>2.97</v>
      </c>
      <c r="D254" t="s">
        <v>1</v>
      </c>
      <c r="F254" t="s">
        <v>3</v>
      </c>
      <c r="G254" t="s">
        <v>331</v>
      </c>
    </row>
    <row r="255" spans="1:8" ht="15" customHeight="1">
      <c r="A255" s="88">
        <v>43551.738989895799</v>
      </c>
      <c r="B255">
        <v>200</v>
      </c>
      <c r="C255">
        <v>1.98</v>
      </c>
      <c r="D255" t="s">
        <v>1</v>
      </c>
      <c r="F255" t="s">
        <v>3</v>
      </c>
      <c r="G255" t="s">
        <v>285</v>
      </c>
    </row>
    <row r="256" spans="1:8" ht="15" customHeight="1">
      <c r="A256" s="88">
        <v>43552.7381503125</v>
      </c>
      <c r="B256">
        <v>400</v>
      </c>
      <c r="C256">
        <v>3.96</v>
      </c>
      <c r="D256" t="s">
        <v>1</v>
      </c>
      <c r="F256" t="s">
        <v>3</v>
      </c>
      <c r="G256" t="s">
        <v>311</v>
      </c>
    </row>
    <row r="257" spans="1:8" ht="15" customHeight="1">
      <c r="A257" s="88">
        <v>43553.6487134259</v>
      </c>
      <c r="B257">
        <v>600</v>
      </c>
      <c r="C257">
        <v>5.94</v>
      </c>
      <c r="D257" t="s">
        <v>1</v>
      </c>
      <c r="F257" t="s">
        <v>3</v>
      </c>
      <c r="G257" t="s">
        <v>316</v>
      </c>
    </row>
    <row r="258" spans="1:8" ht="15" customHeight="1">
      <c r="A258" s="88">
        <v>43553.6487134259</v>
      </c>
      <c r="B258">
        <v>150</v>
      </c>
      <c r="C258">
        <v>1.4850000000000001</v>
      </c>
      <c r="D258" t="s">
        <v>1</v>
      </c>
      <c r="F258" t="s">
        <v>3</v>
      </c>
      <c r="G258" t="s">
        <v>266</v>
      </c>
    </row>
    <row r="259" spans="1:8" ht="15" customHeight="1">
      <c r="A259" s="88">
        <v>43556.457168946799</v>
      </c>
      <c r="B259">
        <v>200</v>
      </c>
      <c r="C259">
        <v>11.98</v>
      </c>
      <c r="D259" t="s">
        <v>1</v>
      </c>
      <c r="F259" t="s">
        <v>301</v>
      </c>
      <c r="G259" t="s">
        <v>335</v>
      </c>
    </row>
    <row r="260" spans="1:8" ht="15" customHeight="1">
      <c r="A260" s="88">
        <v>43558.136862071799</v>
      </c>
      <c r="B260">
        <v>500</v>
      </c>
      <c r="C260">
        <v>4.95</v>
      </c>
      <c r="D260" t="s">
        <v>1</v>
      </c>
      <c r="F260" t="s">
        <v>3</v>
      </c>
      <c r="G260" t="s">
        <v>304</v>
      </c>
    </row>
    <row r="261" spans="1:8" ht="15" customHeight="1">
      <c r="A261" s="88">
        <v>43558.136862071799</v>
      </c>
      <c r="B261" s="17">
        <v>200</v>
      </c>
      <c r="C261">
        <v>1.98</v>
      </c>
      <c r="D261" t="s">
        <v>1</v>
      </c>
      <c r="F261" t="s">
        <v>3</v>
      </c>
      <c r="G261" t="s">
        <v>270</v>
      </c>
    </row>
    <row r="262" spans="1:8" ht="15" customHeight="1">
      <c r="A262" s="88">
        <v>43558.136862071799</v>
      </c>
      <c r="B262" s="17">
        <v>400</v>
      </c>
      <c r="C262">
        <v>3.96</v>
      </c>
      <c r="D262" t="s">
        <v>1</v>
      </c>
      <c r="F262" t="s">
        <v>3</v>
      </c>
      <c r="G262" t="s">
        <v>312</v>
      </c>
    </row>
    <row r="263" spans="1:8" ht="15" customHeight="1">
      <c r="A263" s="88">
        <v>43558.136862071799</v>
      </c>
      <c r="B263" s="17">
        <v>400</v>
      </c>
      <c r="C263">
        <v>3.96</v>
      </c>
      <c r="D263" t="s">
        <v>1</v>
      </c>
      <c r="F263" t="s">
        <v>3</v>
      </c>
      <c r="G263" t="s">
        <v>271</v>
      </c>
    </row>
    <row r="264" spans="1:8" ht="15" customHeight="1">
      <c r="A264" s="88">
        <v>43558.136862071799</v>
      </c>
      <c r="B264">
        <v>1800</v>
      </c>
      <c r="C264">
        <v>17.82</v>
      </c>
      <c r="D264" t="s">
        <v>1</v>
      </c>
      <c r="F264" t="s">
        <v>3</v>
      </c>
      <c r="G264" t="s">
        <v>264</v>
      </c>
    </row>
    <row r="265" spans="1:8" ht="15" customHeight="1">
      <c r="A265" s="88">
        <v>43558.136862071799</v>
      </c>
      <c r="B265">
        <v>200</v>
      </c>
      <c r="C265">
        <v>1.98</v>
      </c>
      <c r="D265" t="s">
        <v>1</v>
      </c>
      <c r="F265" t="s">
        <v>3</v>
      </c>
      <c r="G265" t="s">
        <v>321</v>
      </c>
    </row>
    <row r="266" spans="1:8" ht="15" customHeight="1">
      <c r="A266" s="88">
        <v>43558.136862071799</v>
      </c>
      <c r="B266">
        <v>200</v>
      </c>
      <c r="C266">
        <v>1.98</v>
      </c>
      <c r="D266" t="s">
        <v>1</v>
      </c>
      <c r="F266" t="s">
        <v>3</v>
      </c>
      <c r="G266" t="s">
        <v>326</v>
      </c>
    </row>
    <row r="267" spans="1:8" ht="15" customHeight="1">
      <c r="A267" s="88">
        <v>43558.136862071799</v>
      </c>
      <c r="B267">
        <v>400</v>
      </c>
      <c r="C267">
        <v>3.96</v>
      </c>
      <c r="D267" t="s">
        <v>1</v>
      </c>
      <c r="F267" t="s">
        <v>3</v>
      </c>
      <c r="G267" t="s">
        <v>317</v>
      </c>
    </row>
    <row r="268" spans="1:8" ht="15" customHeight="1">
      <c r="A268" s="88">
        <v>43559.696453044002</v>
      </c>
      <c r="B268">
        <v>200</v>
      </c>
      <c r="C268">
        <v>11.98</v>
      </c>
      <c r="D268" t="s">
        <v>1</v>
      </c>
      <c r="F268" t="s">
        <v>301</v>
      </c>
      <c r="G268" t="s">
        <v>336</v>
      </c>
    </row>
    <row r="269" spans="1:8" ht="15" customHeight="1">
      <c r="A269" s="88">
        <v>43566.411292673598</v>
      </c>
      <c r="B269">
        <v>800</v>
      </c>
      <c r="C269">
        <v>47.92</v>
      </c>
      <c r="D269" t="s">
        <v>1</v>
      </c>
      <c r="F269" t="s">
        <v>301</v>
      </c>
      <c r="G269" t="s">
        <v>337</v>
      </c>
    </row>
    <row r="270" spans="1:8" ht="15" customHeight="1">
      <c r="A270" s="88">
        <v>43566.414564699102</v>
      </c>
      <c r="B270">
        <v>700</v>
      </c>
      <c r="C270">
        <v>41.93</v>
      </c>
      <c r="D270" t="s">
        <v>1</v>
      </c>
      <c r="F270" t="s">
        <v>301</v>
      </c>
    </row>
    <row r="271" spans="1:8" ht="15" customHeight="1">
      <c r="A271" s="88">
        <v>43567.723628437503</v>
      </c>
      <c r="B271">
        <v>500</v>
      </c>
      <c r="C271">
        <v>4.95</v>
      </c>
      <c r="D271" t="s">
        <v>1</v>
      </c>
      <c r="F271" t="s">
        <v>3</v>
      </c>
      <c r="G271" t="s">
        <v>332</v>
      </c>
      <c r="H271">
        <f>C271/B271*100</f>
        <v>0.9900000000000001</v>
      </c>
    </row>
    <row r="272" spans="1:8" ht="15" customHeight="1">
      <c r="A272" s="88">
        <v>43571.664121724498</v>
      </c>
      <c r="B272">
        <v>200</v>
      </c>
      <c r="C272">
        <v>1.98</v>
      </c>
      <c r="D272" t="s">
        <v>1</v>
      </c>
      <c r="F272" t="s">
        <v>3</v>
      </c>
      <c r="G272" t="s">
        <v>290</v>
      </c>
    </row>
    <row r="273" spans="1:8" ht="15" customHeight="1">
      <c r="A273" s="88">
        <v>43573.683403969902</v>
      </c>
      <c r="B273" s="17">
        <v>200</v>
      </c>
      <c r="C273">
        <v>1.98</v>
      </c>
      <c r="D273" t="s">
        <v>1</v>
      </c>
      <c r="F273" t="s">
        <v>3</v>
      </c>
      <c r="G273" t="s">
        <v>16</v>
      </c>
      <c r="H273" s="128">
        <f>C273/B273*100</f>
        <v>0.98999999999999988</v>
      </c>
    </row>
    <row r="274" spans="1:8" ht="15" customHeight="1">
      <c r="A274" s="88">
        <v>43581.648908715302</v>
      </c>
      <c r="B274" s="17">
        <v>200</v>
      </c>
      <c r="C274">
        <v>1.98</v>
      </c>
      <c r="D274" t="s">
        <v>1</v>
      </c>
      <c r="F274" t="s">
        <v>3</v>
      </c>
      <c r="G274" t="s">
        <v>270</v>
      </c>
    </row>
    <row r="275" spans="1:8" ht="15" customHeight="1">
      <c r="A275" s="88">
        <v>43581.648908715302</v>
      </c>
      <c r="B275" s="17">
        <v>200</v>
      </c>
      <c r="C275">
        <v>1.98</v>
      </c>
      <c r="D275" t="s">
        <v>1</v>
      </c>
      <c r="F275" t="s">
        <v>3</v>
      </c>
      <c r="G275" t="s">
        <v>273</v>
      </c>
    </row>
    <row r="276" spans="1:8" ht="15" customHeight="1">
      <c r="A276" s="88">
        <v>43581.648908715302</v>
      </c>
      <c r="B276">
        <v>200</v>
      </c>
      <c r="C276">
        <v>1.98</v>
      </c>
      <c r="D276" t="s">
        <v>1</v>
      </c>
      <c r="F276" t="s">
        <v>3</v>
      </c>
      <c r="G276" t="s">
        <v>318</v>
      </c>
    </row>
    <row r="277" spans="1:8" ht="15" customHeight="1">
      <c r="A277" s="88">
        <v>43581.648908715302</v>
      </c>
      <c r="B277">
        <v>200</v>
      </c>
      <c r="C277">
        <v>1.98</v>
      </c>
      <c r="D277" t="s">
        <v>1</v>
      </c>
      <c r="F277" t="s">
        <v>3</v>
      </c>
      <c r="G277" t="s">
        <v>299</v>
      </c>
    </row>
    <row r="278" spans="1:8" ht="15" customHeight="1">
      <c r="A278" s="88">
        <v>43581.648908715302</v>
      </c>
      <c r="B278">
        <v>200</v>
      </c>
      <c r="C278">
        <v>1.98</v>
      </c>
      <c r="D278" t="s">
        <v>1</v>
      </c>
      <c r="F278" t="s">
        <v>3</v>
      </c>
      <c r="G278" t="s">
        <v>321</v>
      </c>
    </row>
    <row r="279" spans="1:8" ht="15" customHeight="1">
      <c r="A279" s="88">
        <v>43583.620559259303</v>
      </c>
      <c r="B279">
        <v>300</v>
      </c>
      <c r="C279">
        <v>17.97</v>
      </c>
      <c r="D279" t="s">
        <v>1</v>
      </c>
      <c r="F279" t="s">
        <v>301</v>
      </c>
      <c r="G279" t="s">
        <v>338</v>
      </c>
    </row>
    <row r="280" spans="1:8" ht="15" customHeight="1">
      <c r="A280" s="88">
        <v>43584.623827430602</v>
      </c>
      <c r="B280" s="144">
        <v>200</v>
      </c>
      <c r="C280">
        <v>1.98</v>
      </c>
      <c r="D280" t="s">
        <v>1</v>
      </c>
      <c r="F280" t="s">
        <v>3</v>
      </c>
      <c r="G280" t="s">
        <v>277</v>
      </c>
    </row>
    <row r="281" spans="1:8" ht="15" customHeight="1">
      <c r="A281" s="88">
        <v>43584.623827430602</v>
      </c>
      <c r="B281" s="175">
        <v>300</v>
      </c>
      <c r="C281">
        <v>2.97</v>
      </c>
      <c r="D281" t="s">
        <v>1</v>
      </c>
      <c r="F281" t="s">
        <v>3</v>
      </c>
      <c r="G281" t="s">
        <v>55</v>
      </c>
    </row>
    <row r="282" spans="1:8" ht="15" customHeight="1">
      <c r="A282" s="88">
        <v>43584.623827430602</v>
      </c>
      <c r="B282">
        <v>300</v>
      </c>
      <c r="C282">
        <v>2.97</v>
      </c>
      <c r="D282" t="s">
        <v>1</v>
      </c>
      <c r="F282" t="s">
        <v>3</v>
      </c>
      <c r="G282" t="s">
        <v>331</v>
      </c>
    </row>
    <row r="283" spans="1:8" ht="15" customHeight="1">
      <c r="A283" s="88">
        <v>43584.623827430602</v>
      </c>
      <c r="B283">
        <v>200</v>
      </c>
      <c r="C283">
        <v>1.98</v>
      </c>
      <c r="D283" t="s">
        <v>1</v>
      </c>
      <c r="F283" t="s">
        <v>3</v>
      </c>
      <c r="G283" t="s">
        <v>285</v>
      </c>
    </row>
    <row r="284" spans="1:8" ht="15" customHeight="1">
      <c r="A284" s="88">
        <v>43584.797938969903</v>
      </c>
      <c r="B284">
        <v>210</v>
      </c>
      <c r="C284">
        <v>9.99</v>
      </c>
      <c r="D284" t="s">
        <v>1</v>
      </c>
      <c r="F284" t="s">
        <v>274</v>
      </c>
      <c r="G284" t="s">
        <v>275</v>
      </c>
    </row>
    <row r="285" spans="1:8" ht="15" customHeight="1">
      <c r="A285" s="88">
        <v>43585.4182705208</v>
      </c>
      <c r="B285">
        <v>800</v>
      </c>
      <c r="C285">
        <v>7.92</v>
      </c>
      <c r="D285" t="s">
        <v>1</v>
      </c>
      <c r="F285" t="s">
        <v>3</v>
      </c>
      <c r="G285" t="s">
        <v>339</v>
      </c>
    </row>
    <row r="286" spans="1:8" ht="15" customHeight="1">
      <c r="A286" s="88">
        <v>43585.7023098032</v>
      </c>
      <c r="B286" s="17">
        <v>600</v>
      </c>
      <c r="C286">
        <v>5.94</v>
      </c>
      <c r="D286" t="s">
        <v>1</v>
      </c>
      <c r="F286" t="s">
        <v>3</v>
      </c>
      <c r="G286" t="s">
        <v>278</v>
      </c>
    </row>
    <row r="287" spans="1:8" ht="15" customHeight="1">
      <c r="A287" s="88">
        <v>43585.7023098032</v>
      </c>
      <c r="B287">
        <v>200</v>
      </c>
      <c r="C287">
        <v>1.98</v>
      </c>
      <c r="D287" t="s">
        <v>1</v>
      </c>
      <c r="F287" t="s">
        <v>3</v>
      </c>
      <c r="G287" t="s">
        <v>326</v>
      </c>
    </row>
    <row r="288" spans="1:8" ht="15" customHeight="1">
      <c r="A288" s="88">
        <v>43585.7023098032</v>
      </c>
      <c r="B288">
        <v>150</v>
      </c>
      <c r="C288">
        <v>1.4850000000000001</v>
      </c>
      <c r="D288" t="s">
        <v>1</v>
      </c>
      <c r="F288" t="s">
        <v>3</v>
      </c>
      <c r="G288" t="s">
        <v>266</v>
      </c>
    </row>
    <row r="289" spans="1:8" ht="15" customHeight="1">
      <c r="A289" s="88">
        <v>43585.7023098032</v>
      </c>
      <c r="B289">
        <v>400</v>
      </c>
      <c r="C289">
        <v>3.96</v>
      </c>
      <c r="D289" t="s">
        <v>1</v>
      </c>
      <c r="F289" t="s">
        <v>3</v>
      </c>
      <c r="G289" t="s">
        <v>324</v>
      </c>
    </row>
    <row r="290" spans="1:8" ht="15" customHeight="1">
      <c r="A290" s="88">
        <v>43588.7408246181</v>
      </c>
      <c r="B290">
        <v>400</v>
      </c>
      <c r="C290">
        <v>3.96</v>
      </c>
      <c r="D290" t="s">
        <v>1</v>
      </c>
      <c r="F290" t="s">
        <v>3</v>
      </c>
      <c r="G290" t="s">
        <v>262</v>
      </c>
    </row>
    <row r="291" spans="1:8" ht="15" customHeight="1">
      <c r="A291" s="88">
        <v>43588.7408246181</v>
      </c>
      <c r="B291">
        <v>4.2817999999999996</v>
      </c>
      <c r="C291">
        <v>4.2299999999999997E-2</v>
      </c>
      <c r="D291" t="s">
        <v>1</v>
      </c>
      <c r="F291" t="s">
        <v>3</v>
      </c>
      <c r="G291" t="s">
        <v>333</v>
      </c>
    </row>
    <row r="292" spans="1:8" ht="15" customHeight="1">
      <c r="A292" s="126">
        <v>43588.7408246181</v>
      </c>
      <c r="B292">
        <v>200</v>
      </c>
      <c r="C292">
        <v>1.98</v>
      </c>
      <c r="D292" t="s">
        <v>1</v>
      </c>
      <c r="F292" t="s">
        <v>3</v>
      </c>
      <c r="G292" t="s">
        <v>314</v>
      </c>
    </row>
    <row r="293" spans="1:8" ht="15" customHeight="1">
      <c r="A293" s="88">
        <v>43588.7408246181</v>
      </c>
      <c r="B293">
        <v>1000</v>
      </c>
      <c r="C293">
        <v>9.9</v>
      </c>
      <c r="D293" t="s">
        <v>1</v>
      </c>
      <c r="F293" t="s">
        <v>3</v>
      </c>
      <c r="G293" t="s">
        <v>339</v>
      </c>
    </row>
    <row r="294" spans="1:8" ht="15" customHeight="1">
      <c r="A294" s="88">
        <v>43588.7408246181</v>
      </c>
      <c r="B294">
        <v>600</v>
      </c>
      <c r="C294">
        <v>5.94</v>
      </c>
      <c r="D294" t="s">
        <v>1</v>
      </c>
      <c r="F294" t="s">
        <v>3</v>
      </c>
      <c r="G294" t="s">
        <v>296</v>
      </c>
    </row>
    <row r="295" spans="1:8" ht="15" customHeight="1">
      <c r="A295" s="88">
        <v>43591.747914039399</v>
      </c>
      <c r="B295" s="17">
        <v>400</v>
      </c>
      <c r="C295">
        <v>3.96</v>
      </c>
      <c r="D295" t="s">
        <v>1</v>
      </c>
      <c r="F295" t="s">
        <v>3</v>
      </c>
      <c r="G295" t="s">
        <v>312</v>
      </c>
    </row>
    <row r="296" spans="1:8" ht="15" customHeight="1">
      <c r="A296" s="88">
        <v>43602.697362847197</v>
      </c>
      <c r="B296" s="17">
        <v>600</v>
      </c>
      <c r="C296">
        <v>5.94</v>
      </c>
      <c r="D296" t="s">
        <v>1</v>
      </c>
      <c r="F296" t="s">
        <v>3</v>
      </c>
      <c r="G296" t="s">
        <v>322</v>
      </c>
    </row>
    <row r="297" spans="1:8" ht="15" customHeight="1">
      <c r="A297" s="88">
        <v>43605.7150525463</v>
      </c>
      <c r="B297" s="17">
        <v>200</v>
      </c>
      <c r="C297">
        <v>1.98</v>
      </c>
      <c r="D297" t="s">
        <v>1</v>
      </c>
      <c r="F297" t="s">
        <v>3</v>
      </c>
      <c r="G297" t="s">
        <v>16</v>
      </c>
      <c r="H297" s="128">
        <f>C297/B297*100</f>
        <v>0.98999999999999988</v>
      </c>
    </row>
    <row r="298" spans="1:8" ht="15" customHeight="1">
      <c r="A298" s="88">
        <v>43609.744860104198</v>
      </c>
      <c r="B298">
        <v>400</v>
      </c>
      <c r="C298">
        <v>3.96</v>
      </c>
      <c r="D298" t="s">
        <v>1</v>
      </c>
      <c r="F298" t="s">
        <v>3</v>
      </c>
      <c r="G298" t="s">
        <v>318</v>
      </c>
    </row>
    <row r="299" spans="1:8" ht="15" customHeight="1">
      <c r="A299" s="88">
        <v>43609.744860104198</v>
      </c>
      <c r="B299">
        <v>50</v>
      </c>
      <c r="C299">
        <v>0.495</v>
      </c>
      <c r="D299" t="s">
        <v>1</v>
      </c>
      <c r="F299" t="s">
        <v>3</v>
      </c>
      <c r="G299" t="s">
        <v>340</v>
      </c>
    </row>
    <row r="300" spans="1:8" ht="15" customHeight="1">
      <c r="A300" s="88">
        <v>43612.741737615703</v>
      </c>
      <c r="B300" s="17">
        <v>200</v>
      </c>
      <c r="C300">
        <v>1.98</v>
      </c>
      <c r="D300" t="s">
        <v>1</v>
      </c>
      <c r="F300" t="s">
        <v>3</v>
      </c>
      <c r="G300" t="s">
        <v>270</v>
      </c>
    </row>
    <row r="301" spans="1:8" ht="15" customHeight="1">
      <c r="A301" s="88">
        <v>43612.741737615703</v>
      </c>
      <c r="B301" s="17">
        <v>200</v>
      </c>
      <c r="C301">
        <v>1.98</v>
      </c>
      <c r="D301" t="s">
        <v>1</v>
      </c>
      <c r="F301" t="s">
        <v>3</v>
      </c>
      <c r="G301" t="s">
        <v>273</v>
      </c>
    </row>
    <row r="302" spans="1:8" ht="15" customHeight="1">
      <c r="A302" s="88">
        <v>43612.741737615703</v>
      </c>
      <c r="B302" s="175">
        <v>300</v>
      </c>
      <c r="C302">
        <v>2.97</v>
      </c>
      <c r="D302" t="s">
        <v>1</v>
      </c>
      <c r="F302" t="s">
        <v>3</v>
      </c>
      <c r="G302" t="s">
        <v>55</v>
      </c>
    </row>
    <row r="303" spans="1:8" ht="15" customHeight="1">
      <c r="A303" s="88">
        <v>43612.741737615703</v>
      </c>
      <c r="B303">
        <v>200</v>
      </c>
      <c r="C303">
        <v>1.98</v>
      </c>
      <c r="D303" t="s">
        <v>1</v>
      </c>
      <c r="F303" t="s">
        <v>3</v>
      </c>
      <c r="G303" t="s">
        <v>321</v>
      </c>
    </row>
    <row r="304" spans="1:8" ht="15" customHeight="1">
      <c r="A304" s="88">
        <v>43613.7418270833</v>
      </c>
      <c r="B304" s="144">
        <v>200</v>
      </c>
      <c r="C304">
        <v>1.98</v>
      </c>
      <c r="D304" t="s">
        <v>1</v>
      </c>
      <c r="F304" t="s">
        <v>3</v>
      </c>
      <c r="G304" t="s">
        <v>277</v>
      </c>
    </row>
    <row r="305" spans="1:7" ht="15" customHeight="1">
      <c r="A305" s="88">
        <v>43613.7418270833</v>
      </c>
      <c r="B305">
        <v>300</v>
      </c>
      <c r="C305">
        <v>2.97</v>
      </c>
      <c r="D305" t="s">
        <v>1</v>
      </c>
      <c r="F305" t="s">
        <v>3</v>
      </c>
      <c r="G305" t="s">
        <v>331</v>
      </c>
    </row>
    <row r="306" spans="1:7" ht="15" customHeight="1">
      <c r="A306" s="88">
        <v>43613.7418270833</v>
      </c>
      <c r="B306">
        <v>200</v>
      </c>
      <c r="C306">
        <v>1.98</v>
      </c>
      <c r="D306" t="s">
        <v>1</v>
      </c>
      <c r="F306" t="s">
        <v>3</v>
      </c>
      <c r="G306" t="s">
        <v>299</v>
      </c>
    </row>
    <row r="307" spans="1:7" ht="15" customHeight="1">
      <c r="A307" s="88">
        <v>43613.7418270833</v>
      </c>
      <c r="B307">
        <v>200</v>
      </c>
      <c r="C307">
        <v>1.98</v>
      </c>
      <c r="D307" t="s">
        <v>1</v>
      </c>
      <c r="F307" t="s">
        <v>3</v>
      </c>
      <c r="G307" t="s">
        <v>285</v>
      </c>
    </row>
    <row r="308" spans="1:7" ht="15" customHeight="1">
      <c r="A308" s="88">
        <v>43613.7418270833</v>
      </c>
      <c r="B308">
        <v>200</v>
      </c>
      <c r="C308">
        <v>1.98</v>
      </c>
      <c r="D308" t="s">
        <v>1</v>
      </c>
      <c r="F308" t="s">
        <v>3</v>
      </c>
      <c r="G308" t="s">
        <v>326</v>
      </c>
    </row>
    <row r="309" spans="1:7" ht="15" customHeight="1">
      <c r="A309" s="88">
        <v>43613.7418270833</v>
      </c>
      <c r="B309">
        <v>200</v>
      </c>
      <c r="C309">
        <v>1.98</v>
      </c>
      <c r="D309" t="s">
        <v>1</v>
      </c>
      <c r="F309" t="s">
        <v>3</v>
      </c>
      <c r="G309" t="s">
        <v>326</v>
      </c>
    </row>
    <row r="310" spans="1:7" ht="15" customHeight="1">
      <c r="A310" s="88">
        <v>43613.798709456001</v>
      </c>
      <c r="B310">
        <v>210</v>
      </c>
      <c r="C310">
        <v>9.99</v>
      </c>
      <c r="D310" t="s">
        <v>1</v>
      </c>
      <c r="F310" t="s">
        <v>274</v>
      </c>
      <c r="G310" t="s">
        <v>275</v>
      </c>
    </row>
    <row r="311" spans="1:7" ht="15" customHeight="1">
      <c r="A311" s="88">
        <v>43614.525224155099</v>
      </c>
      <c r="B311">
        <v>200</v>
      </c>
      <c r="C311">
        <v>11.98</v>
      </c>
      <c r="D311" t="s">
        <v>1</v>
      </c>
      <c r="F311" t="s">
        <v>301</v>
      </c>
      <c r="G311" t="s">
        <v>341</v>
      </c>
    </row>
    <row r="312" spans="1:7" ht="15" customHeight="1">
      <c r="A312" s="88">
        <v>43614.746086493098</v>
      </c>
      <c r="B312" s="17">
        <v>400</v>
      </c>
      <c r="C312">
        <v>3.96</v>
      </c>
      <c r="D312" t="s">
        <v>1</v>
      </c>
      <c r="F312" t="s">
        <v>3</v>
      </c>
      <c r="G312" t="s">
        <v>268</v>
      </c>
    </row>
    <row r="313" spans="1:7" ht="15" customHeight="1">
      <c r="A313" s="88">
        <v>43616.7444193634</v>
      </c>
      <c r="B313" s="17">
        <v>200</v>
      </c>
      <c r="C313">
        <v>1.98</v>
      </c>
      <c r="D313" t="s">
        <v>1</v>
      </c>
      <c r="F313" t="s">
        <v>3</v>
      </c>
      <c r="G313" t="s">
        <v>271</v>
      </c>
    </row>
    <row r="314" spans="1:7" ht="15" customHeight="1">
      <c r="A314" s="88">
        <v>43619.742074849499</v>
      </c>
      <c r="B314">
        <v>400</v>
      </c>
      <c r="C314">
        <v>3.96</v>
      </c>
      <c r="D314" t="s">
        <v>1</v>
      </c>
      <c r="F314" t="s">
        <v>3</v>
      </c>
      <c r="G314" t="s">
        <v>296</v>
      </c>
    </row>
    <row r="315" spans="1:7" ht="15" customHeight="1">
      <c r="A315" s="88">
        <v>43623.663989270797</v>
      </c>
      <c r="B315" s="144">
        <v>200</v>
      </c>
      <c r="C315">
        <v>1.98</v>
      </c>
      <c r="D315" t="s">
        <v>1</v>
      </c>
      <c r="F315" t="s">
        <v>3</v>
      </c>
      <c r="G315" t="s">
        <v>289</v>
      </c>
    </row>
    <row r="316" spans="1:7" ht="15" customHeight="1">
      <c r="A316" s="88">
        <v>43623.663989270797</v>
      </c>
      <c r="B316" s="17">
        <v>400</v>
      </c>
      <c r="C316">
        <v>3.96</v>
      </c>
      <c r="D316" t="s">
        <v>1</v>
      </c>
      <c r="F316" t="s">
        <v>3</v>
      </c>
      <c r="G316" t="s">
        <v>312</v>
      </c>
    </row>
    <row r="317" spans="1:7" ht="15" customHeight="1">
      <c r="A317" s="88">
        <v>43623.663989270797</v>
      </c>
      <c r="B317">
        <v>500</v>
      </c>
      <c r="C317">
        <v>4.95</v>
      </c>
      <c r="D317" t="s">
        <v>1</v>
      </c>
      <c r="F317" t="s">
        <v>3</v>
      </c>
      <c r="G317" t="s">
        <v>290</v>
      </c>
    </row>
    <row r="318" spans="1:7" ht="15" customHeight="1">
      <c r="A318" s="88">
        <v>43629.744080555603</v>
      </c>
      <c r="B318" s="144">
        <v>1000</v>
      </c>
      <c r="C318">
        <v>9.9</v>
      </c>
      <c r="D318" t="s">
        <v>1</v>
      </c>
      <c r="F318" t="s">
        <v>3</v>
      </c>
      <c r="G318" t="s">
        <v>328</v>
      </c>
    </row>
    <row r="319" spans="1:7" ht="15" customHeight="1">
      <c r="A319" s="88">
        <v>43634.6582795949</v>
      </c>
      <c r="B319">
        <v>100</v>
      </c>
      <c r="C319">
        <v>0.99</v>
      </c>
      <c r="D319" t="s">
        <v>1</v>
      </c>
      <c r="F319" t="s">
        <v>3</v>
      </c>
      <c r="G319" t="s">
        <v>340</v>
      </c>
    </row>
    <row r="320" spans="1:7" ht="15" customHeight="1">
      <c r="A320" s="88">
        <v>43636.7373232639</v>
      </c>
      <c r="B320">
        <v>1400</v>
      </c>
      <c r="C320">
        <v>13.86</v>
      </c>
      <c r="D320" t="s">
        <v>1</v>
      </c>
      <c r="F320" t="s">
        <v>3</v>
      </c>
      <c r="G320" t="s">
        <v>265</v>
      </c>
    </row>
    <row r="321" spans="1:8" ht="15" customHeight="1">
      <c r="A321" s="88">
        <v>43640.707135069402</v>
      </c>
      <c r="B321" s="144">
        <v>600</v>
      </c>
      <c r="C321">
        <v>5.94</v>
      </c>
      <c r="D321" t="s">
        <v>1</v>
      </c>
      <c r="F321" t="s">
        <v>3</v>
      </c>
      <c r="G321" t="s">
        <v>284</v>
      </c>
    </row>
    <row r="322" spans="1:8" ht="15" customHeight="1">
      <c r="A322" s="88">
        <v>43641.730247951396</v>
      </c>
      <c r="B322" s="144">
        <v>200</v>
      </c>
      <c r="C322">
        <v>1.98</v>
      </c>
      <c r="D322" t="s">
        <v>1</v>
      </c>
      <c r="F322" t="s">
        <v>3</v>
      </c>
      <c r="G322" t="s">
        <v>273</v>
      </c>
    </row>
    <row r="323" spans="1:8" ht="15" customHeight="1">
      <c r="A323" s="88">
        <v>43641.730247951396</v>
      </c>
      <c r="B323" s="144">
        <v>200</v>
      </c>
      <c r="C323">
        <v>1.98</v>
      </c>
      <c r="D323" t="s">
        <v>1</v>
      </c>
      <c r="F323" t="s">
        <v>3</v>
      </c>
      <c r="G323" t="s">
        <v>318</v>
      </c>
    </row>
    <row r="324" spans="1:8" ht="15" customHeight="1">
      <c r="A324" s="88">
        <v>43642.720737465301</v>
      </c>
      <c r="B324" s="144">
        <v>200</v>
      </c>
      <c r="C324">
        <v>1.98</v>
      </c>
      <c r="D324" t="s">
        <v>1</v>
      </c>
      <c r="F324" t="s">
        <v>3</v>
      </c>
      <c r="G324" t="s">
        <v>16</v>
      </c>
      <c r="H324" s="128">
        <f>C324/B324*100</f>
        <v>0.98999999999999988</v>
      </c>
    </row>
    <row r="325" spans="1:8" ht="15" customHeight="1">
      <c r="A325" s="88">
        <v>43643.7476175579</v>
      </c>
      <c r="B325" s="144">
        <v>200</v>
      </c>
      <c r="C325">
        <v>1.98</v>
      </c>
      <c r="D325" t="s">
        <v>1</v>
      </c>
      <c r="F325" t="s">
        <v>3</v>
      </c>
      <c r="G325" t="s">
        <v>277</v>
      </c>
    </row>
    <row r="326" spans="1:8" ht="15" customHeight="1">
      <c r="A326" s="88">
        <v>43643.7476175579</v>
      </c>
      <c r="B326" s="144">
        <v>300</v>
      </c>
      <c r="C326">
        <v>2.97</v>
      </c>
      <c r="D326" t="s">
        <v>1</v>
      </c>
      <c r="F326" t="s">
        <v>3</v>
      </c>
      <c r="G326" t="s">
        <v>331</v>
      </c>
    </row>
    <row r="327" spans="1:8" ht="15" customHeight="1">
      <c r="A327" s="88">
        <v>43643.7476175579</v>
      </c>
      <c r="B327" s="144">
        <v>200</v>
      </c>
      <c r="C327">
        <v>1.98</v>
      </c>
      <c r="D327" t="s">
        <v>1</v>
      </c>
      <c r="F327" t="s">
        <v>3</v>
      </c>
      <c r="G327" t="s">
        <v>299</v>
      </c>
    </row>
    <row r="328" spans="1:8" ht="15" customHeight="1">
      <c r="A328" s="88">
        <v>43643.7476175579</v>
      </c>
      <c r="B328" s="144">
        <v>200</v>
      </c>
      <c r="C328">
        <v>1.98</v>
      </c>
      <c r="D328" t="s">
        <v>1</v>
      </c>
      <c r="F328" t="s">
        <v>3</v>
      </c>
      <c r="G328" t="s">
        <v>285</v>
      </c>
    </row>
    <row r="329" spans="1:8" ht="15" customHeight="1">
      <c r="A329" s="88">
        <v>43643.839917476798</v>
      </c>
      <c r="B329" s="144">
        <v>200</v>
      </c>
      <c r="C329">
        <v>11.98</v>
      </c>
      <c r="D329" t="s">
        <v>1</v>
      </c>
      <c r="F329" t="s">
        <v>301</v>
      </c>
      <c r="G329" t="s">
        <v>342</v>
      </c>
    </row>
    <row r="330" spans="1:8" ht="15" customHeight="1">
      <c r="A330" s="88">
        <v>43644.670077743103</v>
      </c>
      <c r="B330" s="144">
        <v>300</v>
      </c>
      <c r="C330">
        <v>2.97</v>
      </c>
      <c r="D330" t="s">
        <v>1</v>
      </c>
      <c r="F330" t="s">
        <v>3</v>
      </c>
      <c r="G330" t="s">
        <v>339</v>
      </c>
    </row>
    <row r="331" spans="1:8" ht="15" customHeight="1">
      <c r="A331" s="88">
        <v>43644.670077743103</v>
      </c>
      <c r="B331" s="144">
        <v>600</v>
      </c>
      <c r="C331">
        <v>5.94</v>
      </c>
      <c r="D331" t="s">
        <v>1</v>
      </c>
      <c r="F331" t="s">
        <v>3</v>
      </c>
      <c r="G331" t="s">
        <v>311</v>
      </c>
    </row>
    <row r="332" spans="1:8" ht="15" customHeight="1">
      <c r="A332" s="88">
        <v>43647.749944756899</v>
      </c>
      <c r="B332" s="144">
        <v>600</v>
      </c>
      <c r="C332">
        <v>5.94</v>
      </c>
      <c r="D332" t="s">
        <v>1</v>
      </c>
      <c r="F332" t="s">
        <v>3</v>
      </c>
      <c r="G332" t="s">
        <v>268</v>
      </c>
    </row>
    <row r="333" spans="1:8" ht="15" customHeight="1">
      <c r="A333" s="88">
        <v>43647.749944756899</v>
      </c>
      <c r="B333" s="144">
        <v>600</v>
      </c>
      <c r="C333">
        <v>5.94</v>
      </c>
      <c r="D333" t="s">
        <v>1</v>
      </c>
      <c r="F333" t="s">
        <v>3</v>
      </c>
      <c r="G333" t="s">
        <v>343</v>
      </c>
    </row>
    <row r="334" spans="1:8" ht="15" customHeight="1">
      <c r="A334" s="88">
        <v>43647.749944756899</v>
      </c>
      <c r="B334" s="144">
        <v>400</v>
      </c>
      <c r="C334">
        <v>3.96</v>
      </c>
      <c r="D334" t="s">
        <v>1</v>
      </c>
      <c r="F334" t="s">
        <v>3</v>
      </c>
      <c r="G334" t="s">
        <v>324</v>
      </c>
    </row>
    <row r="335" spans="1:8" ht="15" customHeight="1">
      <c r="A335" s="88">
        <v>43648.696751192103</v>
      </c>
      <c r="B335" s="144">
        <v>400</v>
      </c>
      <c r="C335">
        <v>3.96</v>
      </c>
      <c r="D335" t="s">
        <v>1</v>
      </c>
      <c r="F335" t="s">
        <v>3</v>
      </c>
      <c r="G335" t="s">
        <v>312</v>
      </c>
    </row>
    <row r="336" spans="1:8" ht="15" customHeight="1">
      <c r="A336" s="124">
        <v>43648.696751192103</v>
      </c>
      <c r="B336" s="17">
        <v>400</v>
      </c>
      <c r="C336" s="125">
        <v>3.96</v>
      </c>
      <c r="D336" s="125" t="s">
        <v>1</v>
      </c>
      <c r="E336" s="125"/>
      <c r="F336" s="125" t="s">
        <v>3</v>
      </c>
      <c r="G336" s="125" t="s">
        <v>344</v>
      </c>
    </row>
    <row r="337" spans="1:8" ht="15" customHeight="1">
      <c r="A337" s="88">
        <v>43648.696751192103</v>
      </c>
      <c r="B337" s="144">
        <v>100</v>
      </c>
      <c r="C337">
        <v>0.99</v>
      </c>
      <c r="D337" t="s">
        <v>1</v>
      </c>
      <c r="F337" t="s">
        <v>3</v>
      </c>
      <c r="G337" t="s">
        <v>314</v>
      </c>
    </row>
    <row r="338" spans="1:8" ht="15" customHeight="1">
      <c r="A338" s="136">
        <v>43648.696751192103</v>
      </c>
      <c r="B338" s="144">
        <v>50</v>
      </c>
      <c r="C338" s="134">
        <v>0.495</v>
      </c>
      <c r="D338" s="134" t="s">
        <v>1</v>
      </c>
      <c r="E338" s="134"/>
      <c r="F338" s="134" t="s">
        <v>3</v>
      </c>
      <c r="G338" s="134" t="s">
        <v>282</v>
      </c>
      <c r="H338">
        <f>C338/B338*100</f>
        <v>0.98999999999999988</v>
      </c>
    </row>
    <row r="339" spans="1:8" ht="15" customHeight="1">
      <c r="A339" s="88">
        <v>43648.696751192103</v>
      </c>
      <c r="B339">
        <v>1100</v>
      </c>
      <c r="C339">
        <v>10.89</v>
      </c>
      <c r="D339" t="s">
        <v>1</v>
      </c>
      <c r="F339" t="s">
        <v>3</v>
      </c>
      <c r="G339" t="s">
        <v>310</v>
      </c>
    </row>
    <row r="340" spans="1:8" ht="15" customHeight="1">
      <c r="A340" s="88">
        <v>43648.696751192103</v>
      </c>
      <c r="B340" s="144">
        <v>700</v>
      </c>
      <c r="C340">
        <v>6.93</v>
      </c>
      <c r="D340" t="s">
        <v>1</v>
      </c>
      <c r="F340" t="s">
        <v>3</v>
      </c>
      <c r="G340" t="s">
        <v>296</v>
      </c>
    </row>
    <row r="341" spans="1:8" ht="15" customHeight="1">
      <c r="A341" s="88">
        <v>43648.696751192103</v>
      </c>
      <c r="B341" s="144">
        <v>50</v>
      </c>
      <c r="C341">
        <v>0.495</v>
      </c>
      <c r="D341" t="s">
        <v>1</v>
      </c>
      <c r="F341" t="s">
        <v>3</v>
      </c>
      <c r="G341" t="s">
        <v>283</v>
      </c>
    </row>
    <row r="342" spans="1:8" ht="15" customHeight="1">
      <c r="A342" s="145">
        <v>43649.749607060199</v>
      </c>
      <c r="B342" s="146">
        <v>600</v>
      </c>
      <c r="C342">
        <v>5.94</v>
      </c>
      <c r="D342" t="s">
        <v>1</v>
      </c>
      <c r="F342" t="s">
        <v>3</v>
      </c>
      <c r="G342" t="s">
        <v>291</v>
      </c>
    </row>
    <row r="343" spans="1:8" ht="15" customHeight="1">
      <c r="A343" s="88">
        <v>43649.749607060199</v>
      </c>
      <c r="B343" s="144">
        <v>100</v>
      </c>
      <c r="C343">
        <v>0.99</v>
      </c>
      <c r="D343" t="s">
        <v>1</v>
      </c>
      <c r="F343" t="s">
        <v>3</v>
      </c>
      <c r="G343" t="s">
        <v>346</v>
      </c>
    </row>
    <row r="344" spans="1:8" ht="15" customHeight="1">
      <c r="A344" s="88">
        <v>43651.743674571801</v>
      </c>
      <c r="B344" s="144">
        <v>200</v>
      </c>
      <c r="C344">
        <v>1.98</v>
      </c>
      <c r="D344" t="s">
        <v>1</v>
      </c>
      <c r="F344" t="s">
        <v>3</v>
      </c>
      <c r="G344" t="s">
        <v>266</v>
      </c>
    </row>
    <row r="345" spans="1:8" ht="15" customHeight="1">
      <c r="A345" s="145">
        <v>43654.744127083301</v>
      </c>
      <c r="B345" s="146">
        <v>0</v>
      </c>
      <c r="C345" s="125">
        <v>9.9</v>
      </c>
      <c r="D345" s="125" t="s">
        <v>1</v>
      </c>
      <c r="E345" s="125"/>
      <c r="F345" s="125" t="s">
        <v>3</v>
      </c>
      <c r="G345" s="125" t="s">
        <v>262</v>
      </c>
    </row>
    <row r="346" spans="1:8" ht="15" customHeight="1">
      <c r="A346" s="88">
        <v>43654.744127083301</v>
      </c>
      <c r="B346" s="144">
        <v>2200</v>
      </c>
      <c r="C346">
        <v>21.78</v>
      </c>
      <c r="D346" t="s">
        <v>1</v>
      </c>
      <c r="F346" t="s">
        <v>3</v>
      </c>
      <c r="G346" t="s">
        <v>347</v>
      </c>
    </row>
    <row r="347" spans="1:8" ht="15" customHeight="1">
      <c r="A347" s="88">
        <v>43657.676235451399</v>
      </c>
      <c r="B347">
        <v>52</v>
      </c>
      <c r="C347">
        <v>0.51480000000000004</v>
      </c>
      <c r="D347" t="s">
        <v>1</v>
      </c>
      <c r="F347" t="s">
        <v>3</v>
      </c>
      <c r="G347" t="s">
        <v>348</v>
      </c>
    </row>
    <row r="348" spans="1:8" ht="15" customHeight="1">
      <c r="A348" s="88">
        <v>43664.737341747699</v>
      </c>
      <c r="B348">
        <v>100</v>
      </c>
      <c r="C348">
        <v>0.99</v>
      </c>
      <c r="D348" t="s">
        <v>1</v>
      </c>
      <c r="F348" t="s">
        <v>3</v>
      </c>
      <c r="G348" t="s">
        <v>349</v>
      </c>
    </row>
    <row r="349" spans="1:8" ht="15" customHeight="1">
      <c r="A349" s="88">
        <v>43664.737341747699</v>
      </c>
      <c r="B349" s="144">
        <v>600</v>
      </c>
      <c r="C349">
        <v>5.94</v>
      </c>
      <c r="D349" t="s">
        <v>1</v>
      </c>
      <c r="F349" t="s">
        <v>3</v>
      </c>
      <c r="G349" t="s">
        <v>268</v>
      </c>
    </row>
    <row r="350" spans="1:8" ht="15" customHeight="1">
      <c r="A350" s="88">
        <v>43664.737341747699</v>
      </c>
      <c r="B350">
        <v>1500</v>
      </c>
      <c r="C350">
        <v>14.85</v>
      </c>
      <c r="D350" t="s">
        <v>1</v>
      </c>
      <c r="F350" t="s">
        <v>3</v>
      </c>
      <c r="G350" t="s">
        <v>323</v>
      </c>
    </row>
    <row r="351" spans="1:8" ht="15" customHeight="1">
      <c r="A351" s="88">
        <v>43671.737095752302</v>
      </c>
      <c r="B351" s="144">
        <v>200</v>
      </c>
      <c r="C351">
        <v>1.98</v>
      </c>
      <c r="D351" t="s">
        <v>1</v>
      </c>
      <c r="F351" t="s">
        <v>3</v>
      </c>
      <c r="G351" t="s">
        <v>273</v>
      </c>
    </row>
    <row r="352" spans="1:8" ht="15" customHeight="1">
      <c r="A352" s="88">
        <v>43672.733410266199</v>
      </c>
      <c r="B352">
        <v>200</v>
      </c>
      <c r="C352">
        <v>1.98</v>
      </c>
      <c r="D352" t="s">
        <v>1</v>
      </c>
      <c r="F352" t="s">
        <v>3</v>
      </c>
      <c r="G352" t="s">
        <v>349</v>
      </c>
    </row>
    <row r="353" spans="1:7" ht="15" customHeight="1">
      <c r="A353" s="88">
        <v>43672.733410266199</v>
      </c>
      <c r="B353" s="144">
        <v>400</v>
      </c>
      <c r="C353">
        <v>3.96</v>
      </c>
      <c r="D353" t="s">
        <v>1</v>
      </c>
      <c r="F353" t="s">
        <v>3</v>
      </c>
      <c r="G353" t="s">
        <v>318</v>
      </c>
    </row>
    <row r="354" spans="1:7" ht="15" customHeight="1">
      <c r="A354" s="88">
        <v>43672.733410266199</v>
      </c>
      <c r="B354" s="144">
        <v>200</v>
      </c>
      <c r="C354">
        <v>1.98</v>
      </c>
      <c r="D354" t="s">
        <v>1</v>
      </c>
      <c r="F354" t="s">
        <v>3</v>
      </c>
      <c r="G354" t="s">
        <v>299</v>
      </c>
    </row>
    <row r="355" spans="1:7" ht="15" customHeight="1">
      <c r="A355" s="88">
        <v>43674.768171990698</v>
      </c>
      <c r="B355" s="144">
        <v>210</v>
      </c>
      <c r="C355">
        <v>9.99</v>
      </c>
      <c r="D355" t="s">
        <v>1</v>
      </c>
      <c r="F355" t="s">
        <v>274</v>
      </c>
      <c r="G355" t="s">
        <v>275</v>
      </c>
    </row>
    <row r="356" spans="1:7" ht="15" customHeight="1">
      <c r="A356" s="88">
        <v>43675.731815358798</v>
      </c>
      <c r="B356" s="144">
        <v>200</v>
      </c>
      <c r="C356">
        <v>1.98</v>
      </c>
      <c r="D356" t="s">
        <v>1</v>
      </c>
      <c r="F356" t="s">
        <v>3</v>
      </c>
      <c r="G356" t="s">
        <v>277</v>
      </c>
    </row>
    <row r="357" spans="1:7" ht="15" customHeight="1">
      <c r="A357" s="88">
        <v>43675.731815358798</v>
      </c>
      <c r="B357">
        <v>600</v>
      </c>
      <c r="C357">
        <v>5.94</v>
      </c>
      <c r="D357" t="s">
        <v>1</v>
      </c>
      <c r="F357" t="s">
        <v>3</v>
      </c>
      <c r="G357" t="s">
        <v>315</v>
      </c>
    </row>
    <row r="358" spans="1:7" ht="15" customHeight="1">
      <c r="A358" s="88">
        <v>43675.731815358798</v>
      </c>
      <c r="B358" s="144">
        <v>300</v>
      </c>
      <c r="C358">
        <v>2.97</v>
      </c>
      <c r="D358" t="s">
        <v>1</v>
      </c>
      <c r="F358" t="s">
        <v>3</v>
      </c>
      <c r="G358" t="s">
        <v>331</v>
      </c>
    </row>
    <row r="359" spans="1:7" ht="15" customHeight="1">
      <c r="A359" s="88">
        <v>43675.731815358798</v>
      </c>
      <c r="B359" s="144">
        <v>200</v>
      </c>
      <c r="C359">
        <v>1.98</v>
      </c>
      <c r="D359" t="s">
        <v>1</v>
      </c>
      <c r="F359" t="s">
        <v>3</v>
      </c>
      <c r="G359" t="s">
        <v>285</v>
      </c>
    </row>
    <row r="360" spans="1:7" ht="15" customHeight="1">
      <c r="A360" s="88">
        <v>43675.731815358798</v>
      </c>
      <c r="B360" s="144">
        <v>200</v>
      </c>
      <c r="C360">
        <v>1.98</v>
      </c>
      <c r="D360" t="s">
        <v>1</v>
      </c>
      <c r="F360" t="s">
        <v>3</v>
      </c>
      <c r="G360" t="s">
        <v>316</v>
      </c>
    </row>
    <row r="361" spans="1:7" ht="15" customHeight="1">
      <c r="A361" s="88">
        <v>43675.731815358798</v>
      </c>
      <c r="B361" s="144">
        <v>200</v>
      </c>
      <c r="C361">
        <v>1.98</v>
      </c>
      <c r="D361" t="s">
        <v>1</v>
      </c>
      <c r="F361" t="s">
        <v>3</v>
      </c>
      <c r="G361" t="s">
        <v>324</v>
      </c>
    </row>
    <row r="362" spans="1:7" ht="15" customHeight="1">
      <c r="A362" s="88">
        <v>43675.746882256899</v>
      </c>
      <c r="B362" s="144">
        <v>200</v>
      </c>
      <c r="C362">
        <v>1.98</v>
      </c>
      <c r="D362" t="s">
        <v>1</v>
      </c>
      <c r="F362" t="s">
        <v>3</v>
      </c>
      <c r="G362" t="s">
        <v>339</v>
      </c>
    </row>
    <row r="363" spans="1:7" ht="15" customHeight="1">
      <c r="A363" s="88">
        <v>43675.937673761597</v>
      </c>
      <c r="B363" s="144">
        <v>200</v>
      </c>
      <c r="C363">
        <v>11.98</v>
      </c>
      <c r="D363" t="s">
        <v>1</v>
      </c>
      <c r="F363" t="s">
        <v>301</v>
      </c>
      <c r="G363" t="s">
        <v>350</v>
      </c>
    </row>
    <row r="364" spans="1:7" ht="15" customHeight="1">
      <c r="A364" s="88">
        <v>43676.713064085598</v>
      </c>
      <c r="B364" s="144">
        <v>200</v>
      </c>
      <c r="C364">
        <v>1.98</v>
      </c>
      <c r="D364" t="s">
        <v>1</v>
      </c>
      <c r="F364" t="s">
        <v>3</v>
      </c>
      <c r="G364" t="s">
        <v>266</v>
      </c>
    </row>
    <row r="365" spans="1:7" ht="15" customHeight="1">
      <c r="A365" s="88">
        <v>43677.6405485301</v>
      </c>
      <c r="B365" s="144">
        <v>500</v>
      </c>
      <c r="C365">
        <v>4.95</v>
      </c>
      <c r="D365" t="s">
        <v>1</v>
      </c>
      <c r="F365" t="s">
        <v>3</v>
      </c>
      <c r="G365" t="s">
        <v>272</v>
      </c>
    </row>
    <row r="366" spans="1:7" ht="15" customHeight="1">
      <c r="A366" s="88">
        <v>43679.737259259302</v>
      </c>
      <c r="B366" s="144">
        <v>400</v>
      </c>
      <c r="C366">
        <v>3.96</v>
      </c>
      <c r="D366" t="s">
        <v>1</v>
      </c>
      <c r="F366" t="s">
        <v>3</v>
      </c>
      <c r="G366" t="s">
        <v>351</v>
      </c>
    </row>
    <row r="367" spans="1:7" ht="15" customHeight="1">
      <c r="A367" s="88">
        <v>43682.705169710702</v>
      </c>
      <c r="B367" s="144">
        <v>600</v>
      </c>
      <c r="C367">
        <v>5.94</v>
      </c>
      <c r="D367" t="s">
        <v>1</v>
      </c>
      <c r="F367" t="s">
        <v>3</v>
      </c>
      <c r="G367" t="s">
        <v>278</v>
      </c>
    </row>
    <row r="368" spans="1:7" ht="15" customHeight="1">
      <c r="A368" s="88">
        <v>43683.743692511598</v>
      </c>
      <c r="B368" s="144">
        <v>300</v>
      </c>
      <c r="C368">
        <v>2.97</v>
      </c>
      <c r="D368" t="s">
        <v>1</v>
      </c>
      <c r="F368" t="s">
        <v>3</v>
      </c>
      <c r="G368" t="s">
        <v>55</v>
      </c>
    </row>
    <row r="369" spans="1:7" ht="15" customHeight="1">
      <c r="A369" s="88">
        <v>43691.6391570255</v>
      </c>
      <c r="B369">
        <v>300</v>
      </c>
      <c r="C369">
        <v>2.97</v>
      </c>
      <c r="D369" t="s">
        <v>1</v>
      </c>
      <c r="F369" t="s">
        <v>3</v>
      </c>
      <c r="G369" t="s">
        <v>352</v>
      </c>
    </row>
    <row r="370" spans="1:7" ht="15" customHeight="1">
      <c r="A370" s="88">
        <v>43691.6391570255</v>
      </c>
      <c r="B370">
        <v>200</v>
      </c>
      <c r="C370">
        <v>1.98</v>
      </c>
      <c r="D370" t="s">
        <v>1</v>
      </c>
      <c r="F370" t="s">
        <v>3</v>
      </c>
      <c r="G370" t="s">
        <v>352</v>
      </c>
    </row>
    <row r="371" spans="1:7" ht="15" customHeight="1">
      <c r="A371" s="88">
        <v>43691.6391570255</v>
      </c>
      <c r="B371">
        <v>300</v>
      </c>
      <c r="C371">
        <v>2.97</v>
      </c>
      <c r="D371" t="s">
        <v>1</v>
      </c>
      <c r="F371" t="s">
        <v>3</v>
      </c>
      <c r="G371" t="s">
        <v>353</v>
      </c>
    </row>
    <row r="372" spans="1:7" ht="15" customHeight="1">
      <c r="A372" s="88">
        <v>43693.746554363403</v>
      </c>
      <c r="B372" s="144">
        <v>900</v>
      </c>
      <c r="C372">
        <v>8.91</v>
      </c>
      <c r="D372" t="s">
        <v>1</v>
      </c>
      <c r="F372" t="s">
        <v>3</v>
      </c>
      <c r="G372" t="s">
        <v>322</v>
      </c>
    </row>
    <row r="373" spans="1:7" ht="15" customHeight="1">
      <c r="A373" s="142">
        <v>43725.686899270797</v>
      </c>
      <c r="B373" s="140">
        <v>300</v>
      </c>
      <c r="C373" s="140">
        <v>2.97</v>
      </c>
      <c r="D373" s="140" t="s">
        <v>1</v>
      </c>
      <c r="E373" s="140"/>
      <c r="F373" t="s">
        <v>3</v>
      </c>
      <c r="G373" t="s">
        <v>75</v>
      </c>
    </row>
    <row r="374" spans="1:7" ht="15" customHeight="1">
      <c r="A374" s="88">
        <v>43693.746554363403</v>
      </c>
      <c r="B374">
        <v>1300</v>
      </c>
      <c r="C374">
        <v>12.87</v>
      </c>
      <c r="D374" t="s">
        <v>1</v>
      </c>
      <c r="F374" t="s">
        <v>3</v>
      </c>
      <c r="G374" t="s">
        <v>354</v>
      </c>
    </row>
    <row r="375" spans="1:7" ht="15" customHeight="1">
      <c r="A375" s="88">
        <v>43693.746554363403</v>
      </c>
      <c r="B375">
        <v>1000</v>
      </c>
      <c r="C375">
        <v>9.9</v>
      </c>
      <c r="D375" t="s">
        <v>1</v>
      </c>
      <c r="F375" t="s">
        <v>3</v>
      </c>
      <c r="G375" t="s">
        <v>355</v>
      </c>
    </row>
    <row r="376" spans="1:7" ht="15" customHeight="1">
      <c r="A376" s="88">
        <v>43693.746554363403</v>
      </c>
      <c r="B376">
        <v>400</v>
      </c>
      <c r="C376">
        <v>3.96</v>
      </c>
      <c r="D376" t="s">
        <v>1</v>
      </c>
      <c r="F376" t="s">
        <v>3</v>
      </c>
      <c r="G376" t="s">
        <v>297</v>
      </c>
    </row>
    <row r="377" spans="1:7" ht="15" customHeight="1">
      <c r="A377" s="88">
        <v>43696.7495158565</v>
      </c>
      <c r="B377" s="144">
        <v>100</v>
      </c>
      <c r="C377">
        <v>0.99</v>
      </c>
      <c r="D377" t="s">
        <v>1</v>
      </c>
      <c r="F377" t="s">
        <v>3</v>
      </c>
      <c r="G377" t="s">
        <v>356</v>
      </c>
    </row>
    <row r="378" spans="1:7" ht="15" customHeight="1">
      <c r="A378" s="88">
        <v>43698.747453009302</v>
      </c>
      <c r="B378">
        <v>2100</v>
      </c>
      <c r="C378">
        <v>20.79</v>
      </c>
      <c r="D378" t="s">
        <v>1</v>
      </c>
      <c r="F378" t="s">
        <v>3</v>
      </c>
      <c r="G378" t="s">
        <v>357</v>
      </c>
    </row>
    <row r="379" spans="1:7" ht="15" customHeight="1">
      <c r="A379" s="88">
        <v>43700.747684294001</v>
      </c>
      <c r="B379" s="144">
        <v>100</v>
      </c>
      <c r="C379">
        <v>0.99</v>
      </c>
      <c r="D379" t="s">
        <v>1</v>
      </c>
      <c r="F379" t="s">
        <v>3</v>
      </c>
      <c r="G379" t="s">
        <v>314</v>
      </c>
    </row>
    <row r="380" spans="1:7" ht="15" customHeight="1">
      <c r="A380" s="88">
        <v>43700.747684294001</v>
      </c>
      <c r="B380" s="144">
        <v>200</v>
      </c>
      <c r="C380">
        <v>1.98</v>
      </c>
      <c r="D380" t="s">
        <v>1</v>
      </c>
      <c r="F380" t="s">
        <v>3</v>
      </c>
      <c r="G380" t="s">
        <v>318</v>
      </c>
    </row>
    <row r="381" spans="1:7" ht="15" customHeight="1">
      <c r="A381" s="88">
        <v>43702.5849143866</v>
      </c>
      <c r="B381" s="144">
        <v>210</v>
      </c>
      <c r="C381">
        <v>9.99</v>
      </c>
      <c r="D381" t="s">
        <v>1</v>
      </c>
      <c r="F381" t="s">
        <v>274</v>
      </c>
      <c r="G381" t="s">
        <v>275</v>
      </c>
    </row>
    <row r="382" spans="1:7" ht="15" customHeight="1">
      <c r="A382" s="88">
        <v>43703.731016817102</v>
      </c>
      <c r="B382" s="144">
        <v>400</v>
      </c>
      <c r="C382">
        <v>3.96</v>
      </c>
      <c r="D382" t="s">
        <v>1</v>
      </c>
      <c r="F382" t="s">
        <v>3</v>
      </c>
      <c r="G382" t="s">
        <v>270</v>
      </c>
    </row>
    <row r="383" spans="1:7" ht="15" customHeight="1">
      <c r="A383" s="88">
        <v>43703.731016817102</v>
      </c>
      <c r="B383" s="144">
        <v>200</v>
      </c>
      <c r="C383">
        <v>1.98</v>
      </c>
      <c r="D383" t="s">
        <v>1</v>
      </c>
      <c r="F383" t="s">
        <v>3</v>
      </c>
      <c r="G383" t="s">
        <v>273</v>
      </c>
    </row>
    <row r="384" spans="1:7" ht="15" customHeight="1">
      <c r="A384" s="88">
        <v>43703.731016817102</v>
      </c>
      <c r="B384">
        <v>200</v>
      </c>
      <c r="C384">
        <v>1.98</v>
      </c>
      <c r="D384" t="s">
        <v>1</v>
      </c>
      <c r="F384" t="s">
        <v>3</v>
      </c>
      <c r="G384" t="s">
        <v>349</v>
      </c>
    </row>
    <row r="385" spans="1:8" ht="15" customHeight="1">
      <c r="A385" s="88">
        <v>43703.731016817102</v>
      </c>
      <c r="B385">
        <v>400</v>
      </c>
      <c r="C385">
        <v>3.96</v>
      </c>
      <c r="D385" t="s">
        <v>1</v>
      </c>
      <c r="F385" t="s">
        <v>3</v>
      </c>
      <c r="G385" t="s">
        <v>271</v>
      </c>
    </row>
    <row r="386" spans="1:8" ht="15" customHeight="1">
      <c r="A386" s="88">
        <v>43703.731016817102</v>
      </c>
      <c r="B386" s="144">
        <v>200</v>
      </c>
      <c r="C386">
        <v>1.98</v>
      </c>
      <c r="D386" t="s">
        <v>1</v>
      </c>
      <c r="F386" t="s">
        <v>3</v>
      </c>
      <c r="G386" t="s">
        <v>339</v>
      </c>
    </row>
    <row r="387" spans="1:8" ht="15" customHeight="1">
      <c r="A387" s="88">
        <v>43703.731016817102</v>
      </c>
      <c r="B387" s="144">
        <v>400</v>
      </c>
      <c r="C387">
        <v>3.96</v>
      </c>
      <c r="D387" t="s">
        <v>1</v>
      </c>
      <c r="F387" t="s">
        <v>3</v>
      </c>
      <c r="G387" t="s">
        <v>321</v>
      </c>
    </row>
    <row r="388" spans="1:8" ht="15" customHeight="1">
      <c r="A388" s="88">
        <v>43703.731016817102</v>
      </c>
      <c r="B388" s="144">
        <v>200</v>
      </c>
      <c r="C388">
        <v>1.98</v>
      </c>
      <c r="D388" t="s">
        <v>1</v>
      </c>
      <c r="F388" t="s">
        <v>3</v>
      </c>
      <c r="G388" t="s">
        <v>326</v>
      </c>
    </row>
    <row r="389" spans="1:8" ht="15" customHeight="1">
      <c r="A389" s="88">
        <v>43704.735759224503</v>
      </c>
      <c r="B389" s="144">
        <v>200</v>
      </c>
      <c r="C389">
        <v>1.98</v>
      </c>
      <c r="D389" t="s">
        <v>1</v>
      </c>
      <c r="F389" t="s">
        <v>3</v>
      </c>
      <c r="G389" t="s">
        <v>277</v>
      </c>
    </row>
    <row r="390" spans="1:8" ht="15" customHeight="1">
      <c r="A390" s="88">
        <v>43704.735759224503</v>
      </c>
      <c r="B390" s="144">
        <v>300</v>
      </c>
      <c r="C390">
        <v>2.97</v>
      </c>
      <c r="D390" t="s">
        <v>1</v>
      </c>
      <c r="F390" t="s">
        <v>3</v>
      </c>
      <c r="G390" t="s">
        <v>331</v>
      </c>
    </row>
    <row r="391" spans="1:8" ht="15" customHeight="1">
      <c r="A391" s="88">
        <v>43704.735759224503</v>
      </c>
      <c r="B391" s="144">
        <v>200</v>
      </c>
      <c r="C391">
        <v>1.98</v>
      </c>
      <c r="D391" t="s">
        <v>1</v>
      </c>
      <c r="F391" t="s">
        <v>3</v>
      </c>
      <c r="G391" t="s">
        <v>299</v>
      </c>
    </row>
    <row r="392" spans="1:8" ht="15" customHeight="1">
      <c r="A392" s="88">
        <v>43704.735759224503</v>
      </c>
      <c r="B392" s="144">
        <v>200</v>
      </c>
      <c r="C392">
        <v>1.98</v>
      </c>
      <c r="D392" t="s">
        <v>1</v>
      </c>
      <c r="F392" t="s">
        <v>3</v>
      </c>
      <c r="G392" t="s">
        <v>285</v>
      </c>
    </row>
    <row r="393" spans="1:8" ht="15" customHeight="1">
      <c r="A393" s="88">
        <v>43704.735759224503</v>
      </c>
      <c r="B393" s="144">
        <v>200</v>
      </c>
      <c r="C393">
        <v>1.98</v>
      </c>
      <c r="D393" t="s">
        <v>1</v>
      </c>
      <c r="F393" t="s">
        <v>3</v>
      </c>
      <c r="G393" t="s">
        <v>316</v>
      </c>
    </row>
    <row r="394" spans="1:8" ht="15" customHeight="1">
      <c r="A394" s="88">
        <v>43705.751311805601</v>
      </c>
      <c r="B394" s="144">
        <v>200</v>
      </c>
      <c r="C394">
        <v>1.98</v>
      </c>
      <c r="D394" t="s">
        <v>1</v>
      </c>
      <c r="F394" t="s">
        <v>3</v>
      </c>
      <c r="G394" t="s">
        <v>324</v>
      </c>
    </row>
    <row r="395" spans="1:8" ht="15" customHeight="1">
      <c r="A395" s="88">
        <v>43706.381432060203</v>
      </c>
      <c r="B395" s="144">
        <v>200</v>
      </c>
      <c r="C395">
        <v>11.98</v>
      </c>
      <c r="D395" t="s">
        <v>1</v>
      </c>
      <c r="F395" t="s">
        <v>301</v>
      </c>
      <c r="G395" t="s">
        <v>358</v>
      </c>
    </row>
    <row r="396" spans="1:8" ht="15" customHeight="1">
      <c r="A396" s="88">
        <v>43706.719117905101</v>
      </c>
      <c r="B396" s="144">
        <v>400</v>
      </c>
      <c r="C396">
        <v>3.96</v>
      </c>
      <c r="D396" t="s">
        <v>1</v>
      </c>
      <c r="F396" t="s">
        <v>3</v>
      </c>
      <c r="G396" t="s">
        <v>55</v>
      </c>
    </row>
    <row r="397" spans="1:8" ht="15" customHeight="1">
      <c r="A397" s="136">
        <v>43711.737803784701</v>
      </c>
      <c r="B397" s="144">
        <v>1000</v>
      </c>
      <c r="C397" s="134">
        <v>9.9</v>
      </c>
      <c r="D397" s="134" t="s">
        <v>1</v>
      </c>
      <c r="E397" s="134"/>
      <c r="F397" s="134" t="s">
        <v>3</v>
      </c>
      <c r="G397" s="134" t="s">
        <v>282</v>
      </c>
      <c r="H397">
        <f>C397/B397*100</f>
        <v>0.9900000000000001</v>
      </c>
    </row>
    <row r="398" spans="1:8" ht="15" customHeight="1">
      <c r="A398" s="88">
        <v>43711.737803784701</v>
      </c>
      <c r="B398" s="144">
        <v>1000</v>
      </c>
      <c r="C398">
        <v>9.9</v>
      </c>
      <c r="D398" t="s">
        <v>1</v>
      </c>
      <c r="F398" t="s">
        <v>3</v>
      </c>
      <c r="G398" t="s">
        <v>283</v>
      </c>
    </row>
    <row r="399" spans="1:8" ht="15" customHeight="1">
      <c r="A399" s="88">
        <v>43711.737803784701</v>
      </c>
      <c r="B399" s="144">
        <v>1000</v>
      </c>
      <c r="C399">
        <v>9.9</v>
      </c>
      <c r="D399" t="s">
        <v>1</v>
      </c>
      <c r="F399" t="s">
        <v>3</v>
      </c>
      <c r="G399" t="s">
        <v>266</v>
      </c>
    </row>
    <row r="400" spans="1:8" ht="15" customHeight="1">
      <c r="A400" s="88">
        <v>43714.717101504597</v>
      </c>
      <c r="B400" s="144">
        <v>200</v>
      </c>
      <c r="C400">
        <v>1.98</v>
      </c>
      <c r="D400" t="s">
        <v>1</v>
      </c>
      <c r="F400" t="s">
        <v>3</v>
      </c>
      <c r="G400" t="s">
        <v>356</v>
      </c>
    </row>
    <row r="401" spans="1:8" ht="15" customHeight="1">
      <c r="A401" s="88">
        <v>43719.7156600694</v>
      </c>
      <c r="B401" s="144">
        <v>200</v>
      </c>
      <c r="C401">
        <v>1.98</v>
      </c>
      <c r="D401" t="s">
        <v>1</v>
      </c>
      <c r="F401" t="s">
        <v>3</v>
      </c>
      <c r="G401" t="s">
        <v>312</v>
      </c>
    </row>
    <row r="402" spans="1:8" ht="15" customHeight="1">
      <c r="A402" s="88">
        <v>43724.683430821802</v>
      </c>
      <c r="B402" s="144">
        <v>1150</v>
      </c>
      <c r="C402">
        <v>11.385</v>
      </c>
      <c r="D402" t="s">
        <v>1</v>
      </c>
      <c r="F402" t="s">
        <v>3</v>
      </c>
      <c r="G402" t="s">
        <v>328</v>
      </c>
    </row>
    <row r="403" spans="1:8" ht="15" customHeight="1">
      <c r="A403" s="142">
        <v>43760.731096145799</v>
      </c>
      <c r="B403" s="140">
        <v>300</v>
      </c>
      <c r="C403" s="140">
        <v>2.97</v>
      </c>
      <c r="D403" s="140" t="s">
        <v>1</v>
      </c>
      <c r="E403" s="140"/>
      <c r="F403" t="s">
        <v>3</v>
      </c>
      <c r="G403" t="s">
        <v>75</v>
      </c>
    </row>
    <row r="404" spans="1:8" ht="15" customHeight="1">
      <c r="A404" s="88">
        <v>43728.728007951402</v>
      </c>
      <c r="B404" s="144">
        <v>200</v>
      </c>
      <c r="C404">
        <v>1.98</v>
      </c>
      <c r="D404" t="s">
        <v>1</v>
      </c>
      <c r="F404" t="s">
        <v>3</v>
      </c>
      <c r="G404" t="s">
        <v>16</v>
      </c>
      <c r="H404" s="128">
        <f>C404/B404*100</f>
        <v>0.98999999999999988</v>
      </c>
    </row>
    <row r="405" spans="1:8" ht="15" customHeight="1">
      <c r="A405" s="88">
        <v>43731.720178321797</v>
      </c>
      <c r="B405" s="144">
        <v>300</v>
      </c>
      <c r="C405">
        <v>2.97</v>
      </c>
      <c r="D405" t="s">
        <v>1</v>
      </c>
      <c r="F405" t="s">
        <v>3</v>
      </c>
      <c r="G405" t="s">
        <v>55</v>
      </c>
    </row>
    <row r="406" spans="1:8" ht="15" customHeight="1">
      <c r="A406" s="88">
        <v>43731.720178321797</v>
      </c>
      <c r="B406" s="144">
        <v>200</v>
      </c>
      <c r="C406">
        <v>1.98</v>
      </c>
      <c r="D406" t="s">
        <v>1</v>
      </c>
      <c r="F406" t="s">
        <v>3</v>
      </c>
      <c r="G406" t="s">
        <v>339</v>
      </c>
    </row>
    <row r="407" spans="1:8" ht="15" customHeight="1">
      <c r="A407" s="88">
        <v>43731.720178321797</v>
      </c>
      <c r="B407" s="144">
        <v>200</v>
      </c>
      <c r="C407">
        <v>1.98</v>
      </c>
      <c r="D407" t="s">
        <v>1</v>
      </c>
      <c r="F407" t="s">
        <v>3</v>
      </c>
      <c r="G407" t="s">
        <v>316</v>
      </c>
    </row>
    <row r="408" spans="1:8" ht="15" customHeight="1">
      <c r="A408" s="88">
        <v>43734.653197106498</v>
      </c>
      <c r="B408" s="144">
        <v>200</v>
      </c>
      <c r="C408">
        <v>1.98</v>
      </c>
      <c r="D408" t="s">
        <v>1</v>
      </c>
      <c r="F408" t="s">
        <v>3</v>
      </c>
      <c r="G408" t="s">
        <v>273</v>
      </c>
    </row>
    <row r="409" spans="1:8" ht="15" customHeight="1">
      <c r="A409" s="88">
        <v>43734.653197106498</v>
      </c>
      <c r="B409">
        <v>200</v>
      </c>
      <c r="C409">
        <v>1.98</v>
      </c>
      <c r="D409" t="s">
        <v>1</v>
      </c>
      <c r="F409" t="s">
        <v>3</v>
      </c>
      <c r="G409" t="s">
        <v>271</v>
      </c>
    </row>
    <row r="410" spans="1:8" ht="15" customHeight="1">
      <c r="A410" s="88">
        <v>43734.653197106498</v>
      </c>
      <c r="B410" s="144">
        <v>200</v>
      </c>
      <c r="C410">
        <v>1.98</v>
      </c>
      <c r="D410" t="s">
        <v>1</v>
      </c>
      <c r="F410" t="s">
        <v>3</v>
      </c>
      <c r="G410" t="s">
        <v>314</v>
      </c>
    </row>
    <row r="411" spans="1:8" ht="15" customHeight="1">
      <c r="A411" s="88">
        <v>43734.653197106498</v>
      </c>
      <c r="B411" s="144">
        <v>200</v>
      </c>
      <c r="C411">
        <v>9.99</v>
      </c>
      <c r="D411" t="s">
        <v>1</v>
      </c>
      <c r="F411" t="s">
        <v>359</v>
      </c>
      <c r="G411" t="s">
        <v>318</v>
      </c>
    </row>
    <row r="412" spans="1:8" ht="15" customHeight="1">
      <c r="A412" s="88">
        <v>43735.733420023098</v>
      </c>
      <c r="B412" s="144">
        <v>200</v>
      </c>
      <c r="C412">
        <v>1.98</v>
      </c>
      <c r="D412" t="s">
        <v>1</v>
      </c>
      <c r="F412" t="s">
        <v>3</v>
      </c>
      <c r="G412" t="s">
        <v>277</v>
      </c>
    </row>
    <row r="413" spans="1:8" ht="15" customHeight="1">
      <c r="A413" s="88">
        <v>43735.733420023098</v>
      </c>
      <c r="B413" s="144">
        <v>300</v>
      </c>
      <c r="C413">
        <v>2.97</v>
      </c>
      <c r="D413" t="s">
        <v>1</v>
      </c>
      <c r="F413" t="s">
        <v>3</v>
      </c>
      <c r="G413" t="s">
        <v>331</v>
      </c>
    </row>
    <row r="414" spans="1:8" ht="15" customHeight="1">
      <c r="A414" s="88">
        <v>43735.733420023098</v>
      </c>
      <c r="B414" s="144">
        <v>200</v>
      </c>
      <c r="C414">
        <v>1.98</v>
      </c>
      <c r="D414" t="s">
        <v>1</v>
      </c>
      <c r="F414" t="s">
        <v>3</v>
      </c>
      <c r="G414" t="s">
        <v>299</v>
      </c>
    </row>
    <row r="415" spans="1:8" ht="15" customHeight="1">
      <c r="A415" s="88">
        <v>43735.733420023098</v>
      </c>
      <c r="B415" s="144">
        <v>200</v>
      </c>
      <c r="C415">
        <v>1.98</v>
      </c>
      <c r="D415" t="s">
        <v>1</v>
      </c>
      <c r="F415" t="s">
        <v>3</v>
      </c>
      <c r="G415" t="s">
        <v>285</v>
      </c>
    </row>
    <row r="416" spans="1:8" ht="15" customHeight="1">
      <c r="A416" s="88">
        <v>43738.746094907401</v>
      </c>
      <c r="B416" s="144">
        <v>200</v>
      </c>
      <c r="C416">
        <v>1.98</v>
      </c>
      <c r="D416" t="s">
        <v>1</v>
      </c>
      <c r="F416" t="s">
        <v>3</v>
      </c>
      <c r="G416" t="s">
        <v>270</v>
      </c>
    </row>
    <row r="417" spans="1:8" ht="15" customHeight="1">
      <c r="A417" s="88">
        <v>43738.746094907401</v>
      </c>
      <c r="B417" s="144">
        <v>200</v>
      </c>
      <c r="C417">
        <v>1.98</v>
      </c>
      <c r="D417" t="s">
        <v>1</v>
      </c>
      <c r="F417" t="s">
        <v>3</v>
      </c>
      <c r="G417" t="s">
        <v>321</v>
      </c>
    </row>
    <row r="418" spans="1:8" ht="15" customHeight="1">
      <c r="A418" s="88">
        <v>43739.045490046301</v>
      </c>
      <c r="B418" s="144">
        <v>200</v>
      </c>
      <c r="C418">
        <v>11.98</v>
      </c>
      <c r="D418" t="s">
        <v>1</v>
      </c>
      <c r="F418" t="s">
        <v>301</v>
      </c>
      <c r="G418" t="s">
        <v>360</v>
      </c>
    </row>
    <row r="419" spans="1:8" ht="15" customHeight="1">
      <c r="A419" s="88">
        <v>43739.7318459491</v>
      </c>
      <c r="B419" s="144">
        <v>200</v>
      </c>
      <c r="C419">
        <v>1.98</v>
      </c>
      <c r="D419" t="s">
        <v>1</v>
      </c>
      <c r="F419" t="s">
        <v>3</v>
      </c>
      <c r="G419" t="s">
        <v>351</v>
      </c>
    </row>
    <row r="420" spans="1:8" ht="15" customHeight="1">
      <c r="A420" s="88">
        <v>43741.742229780102</v>
      </c>
      <c r="B420" s="144">
        <v>400</v>
      </c>
      <c r="C420">
        <v>3.96</v>
      </c>
      <c r="D420" t="s">
        <v>1</v>
      </c>
      <c r="F420" t="s">
        <v>3</v>
      </c>
      <c r="G420" t="s">
        <v>16</v>
      </c>
      <c r="H420" s="128">
        <f>C420/B420*100</f>
        <v>0.98999999999999988</v>
      </c>
    </row>
    <row r="421" spans="1:8" ht="15" customHeight="1">
      <c r="A421" s="88">
        <v>43741.742229780102</v>
      </c>
      <c r="B421" s="144">
        <v>200</v>
      </c>
      <c r="C421">
        <v>1.98</v>
      </c>
      <c r="D421" t="s">
        <v>1</v>
      </c>
      <c r="F421" t="s">
        <v>3</v>
      </c>
      <c r="G421" t="s">
        <v>356</v>
      </c>
    </row>
    <row r="422" spans="1:8" ht="15" customHeight="1">
      <c r="A422" s="88">
        <v>43741.742229780102</v>
      </c>
      <c r="B422" s="144">
        <v>200</v>
      </c>
      <c r="C422">
        <v>1.98</v>
      </c>
      <c r="D422" t="s">
        <v>1</v>
      </c>
      <c r="F422" t="s">
        <v>3</v>
      </c>
      <c r="G422" t="s">
        <v>266</v>
      </c>
    </row>
    <row r="423" spans="1:8" ht="15" customHeight="1">
      <c r="A423" s="145">
        <v>43745.737673611096</v>
      </c>
      <c r="B423" s="146">
        <v>400</v>
      </c>
      <c r="C423">
        <v>3.96</v>
      </c>
      <c r="D423" t="s">
        <v>1</v>
      </c>
      <c r="F423" t="s">
        <v>3</v>
      </c>
      <c r="G423" t="s">
        <v>79</v>
      </c>
    </row>
    <row r="424" spans="1:8" ht="15" customHeight="1">
      <c r="A424" s="88">
        <v>43745.737673611096</v>
      </c>
      <c r="B424" s="144">
        <v>200</v>
      </c>
      <c r="C424">
        <v>1.98</v>
      </c>
      <c r="D424" t="s">
        <v>1</v>
      </c>
      <c r="F424" t="s">
        <v>3</v>
      </c>
      <c r="G424" t="s">
        <v>312</v>
      </c>
    </row>
    <row r="425" spans="1:8" ht="15" customHeight="1">
      <c r="A425" s="88">
        <v>43755.682745023201</v>
      </c>
      <c r="B425" s="144">
        <v>300</v>
      </c>
      <c r="C425">
        <v>2.97</v>
      </c>
      <c r="D425" t="s">
        <v>1</v>
      </c>
      <c r="F425" t="s">
        <v>3</v>
      </c>
      <c r="G425" t="s">
        <v>322</v>
      </c>
    </row>
    <row r="426" spans="1:8" ht="15" customHeight="1">
      <c r="A426" s="88">
        <v>43759.725087152801</v>
      </c>
      <c r="B426" s="144">
        <v>100</v>
      </c>
      <c r="C426">
        <v>0.99</v>
      </c>
      <c r="D426" t="s">
        <v>1</v>
      </c>
      <c r="F426" t="s">
        <v>3</v>
      </c>
      <c r="G426" t="s">
        <v>314</v>
      </c>
    </row>
    <row r="427" spans="1:8" ht="15" customHeight="1">
      <c r="A427" s="142">
        <v>43787.705619756904</v>
      </c>
      <c r="B427" s="140">
        <v>300</v>
      </c>
      <c r="C427" s="140">
        <v>2.97</v>
      </c>
      <c r="D427" s="140" t="s">
        <v>1</v>
      </c>
      <c r="E427" s="140"/>
      <c r="F427" t="s">
        <v>3</v>
      </c>
      <c r="G427" t="s">
        <v>75</v>
      </c>
    </row>
    <row r="428" spans="1:8" ht="15" customHeight="1">
      <c r="A428" s="88">
        <v>43763.306731099503</v>
      </c>
      <c r="B428" s="144">
        <v>200</v>
      </c>
      <c r="C428">
        <v>1.98</v>
      </c>
      <c r="D428" t="s">
        <v>1</v>
      </c>
      <c r="F428" t="s">
        <v>3</v>
      </c>
      <c r="G428" t="s">
        <v>273</v>
      </c>
    </row>
    <row r="429" spans="1:8" ht="15" customHeight="1">
      <c r="A429" s="88">
        <v>43764.455857604204</v>
      </c>
      <c r="B429" s="144">
        <v>200</v>
      </c>
      <c r="C429">
        <v>1.98</v>
      </c>
      <c r="D429" t="s">
        <v>1</v>
      </c>
      <c r="F429" t="s">
        <v>3</v>
      </c>
      <c r="G429" t="s">
        <v>270</v>
      </c>
    </row>
    <row r="430" spans="1:8" ht="15" customHeight="1">
      <c r="A430" s="88">
        <v>43764.455857604204</v>
      </c>
      <c r="B430" s="144">
        <v>200</v>
      </c>
      <c r="C430">
        <v>1.98</v>
      </c>
      <c r="D430" t="s">
        <v>1</v>
      </c>
      <c r="F430" t="s">
        <v>3</v>
      </c>
      <c r="G430" t="s">
        <v>55</v>
      </c>
    </row>
    <row r="431" spans="1:8" ht="15" customHeight="1">
      <c r="A431" s="88">
        <v>43764.455857604204</v>
      </c>
      <c r="B431" s="144">
        <v>600</v>
      </c>
      <c r="C431">
        <v>5.94</v>
      </c>
      <c r="D431" t="s">
        <v>1</v>
      </c>
      <c r="F431" t="s">
        <v>3</v>
      </c>
      <c r="G431" t="s">
        <v>339</v>
      </c>
    </row>
    <row r="432" spans="1:8" ht="15" customHeight="1">
      <c r="A432" s="88">
        <v>43764.455857604204</v>
      </c>
      <c r="B432" s="144">
        <v>200</v>
      </c>
      <c r="C432">
        <v>1.98</v>
      </c>
      <c r="D432" t="s">
        <v>1</v>
      </c>
      <c r="F432" t="s">
        <v>3</v>
      </c>
      <c r="G432" t="s">
        <v>361</v>
      </c>
    </row>
    <row r="433" spans="1:7" ht="15" customHeight="1">
      <c r="A433" s="88">
        <v>43764.455857604204</v>
      </c>
      <c r="B433" s="144">
        <v>200</v>
      </c>
      <c r="C433">
        <v>1.98</v>
      </c>
      <c r="D433" t="s">
        <v>1</v>
      </c>
      <c r="F433" t="s">
        <v>3</v>
      </c>
      <c r="G433" t="s">
        <v>321</v>
      </c>
    </row>
    <row r="434" spans="1:7" ht="15" customHeight="1">
      <c r="A434" s="88">
        <v>43764.455857604204</v>
      </c>
      <c r="B434" s="144">
        <v>200</v>
      </c>
      <c r="C434">
        <v>1.98</v>
      </c>
      <c r="D434" t="s">
        <v>1</v>
      </c>
      <c r="F434" t="s">
        <v>3</v>
      </c>
      <c r="G434" t="s">
        <v>316</v>
      </c>
    </row>
    <row r="435" spans="1:7" ht="15" customHeight="1">
      <c r="A435" s="88">
        <v>43766.740314201401</v>
      </c>
      <c r="B435" s="144">
        <v>200</v>
      </c>
      <c r="C435">
        <v>1.98</v>
      </c>
      <c r="D435" t="s">
        <v>1</v>
      </c>
      <c r="F435" t="s">
        <v>3</v>
      </c>
      <c r="G435" t="s">
        <v>277</v>
      </c>
    </row>
    <row r="436" spans="1:7" ht="15" customHeight="1">
      <c r="A436" s="88">
        <v>43766.740314201401</v>
      </c>
      <c r="B436">
        <v>200</v>
      </c>
      <c r="C436">
        <v>1.98</v>
      </c>
      <c r="D436" t="s">
        <v>1</v>
      </c>
      <c r="F436" t="s">
        <v>3</v>
      </c>
      <c r="G436" t="s">
        <v>271</v>
      </c>
    </row>
    <row r="437" spans="1:7" ht="15" customHeight="1">
      <c r="A437" s="88">
        <v>43766.740314201401</v>
      </c>
      <c r="B437" s="144">
        <v>400</v>
      </c>
      <c r="C437">
        <v>3.96</v>
      </c>
      <c r="D437" t="s">
        <v>1</v>
      </c>
      <c r="F437" t="s">
        <v>3</v>
      </c>
      <c r="G437" t="s">
        <v>343</v>
      </c>
    </row>
    <row r="438" spans="1:7" ht="15" customHeight="1">
      <c r="A438" s="88">
        <v>43766.740314201401</v>
      </c>
      <c r="B438" s="144">
        <v>200</v>
      </c>
      <c r="C438">
        <v>9.99</v>
      </c>
      <c r="D438" t="s">
        <v>1</v>
      </c>
      <c r="F438" t="s">
        <v>359</v>
      </c>
      <c r="G438" t="s">
        <v>318</v>
      </c>
    </row>
    <row r="439" spans="1:7" ht="15" customHeight="1">
      <c r="A439" s="88">
        <v>43766.740314201401</v>
      </c>
      <c r="B439" s="144">
        <v>200</v>
      </c>
      <c r="C439">
        <v>1.98</v>
      </c>
      <c r="D439" t="s">
        <v>1</v>
      </c>
      <c r="F439" t="s">
        <v>3</v>
      </c>
      <c r="G439" t="s">
        <v>331</v>
      </c>
    </row>
    <row r="440" spans="1:7" ht="15" customHeight="1">
      <c r="A440" s="88">
        <v>43766.740314201401</v>
      </c>
      <c r="B440" s="144">
        <v>200</v>
      </c>
      <c r="C440">
        <v>1.98</v>
      </c>
      <c r="D440" t="s">
        <v>1</v>
      </c>
      <c r="F440" t="s">
        <v>3</v>
      </c>
      <c r="G440" t="s">
        <v>299</v>
      </c>
    </row>
    <row r="441" spans="1:7" ht="15" customHeight="1">
      <c r="A441" s="88">
        <v>43766.740314201401</v>
      </c>
      <c r="B441" s="144">
        <v>200</v>
      </c>
      <c r="C441">
        <v>1.98</v>
      </c>
      <c r="D441" t="s">
        <v>1</v>
      </c>
      <c r="F441" t="s">
        <v>3</v>
      </c>
      <c r="G441" t="s">
        <v>285</v>
      </c>
    </row>
    <row r="442" spans="1:7" ht="15" customHeight="1">
      <c r="A442" s="88">
        <v>43768.714227002303</v>
      </c>
      <c r="B442" s="144">
        <v>1800</v>
      </c>
      <c r="C442">
        <v>17.82</v>
      </c>
      <c r="D442" t="s">
        <v>1</v>
      </c>
      <c r="F442" t="s">
        <v>3</v>
      </c>
      <c r="G442" t="s">
        <v>361</v>
      </c>
    </row>
    <row r="443" spans="1:7" ht="15" customHeight="1">
      <c r="A443" s="145">
        <v>43773.698670023201</v>
      </c>
      <c r="B443" s="146">
        <v>200</v>
      </c>
      <c r="C443">
        <v>1.98</v>
      </c>
      <c r="D443" t="s">
        <v>1</v>
      </c>
      <c r="F443" t="s">
        <v>3</v>
      </c>
      <c r="G443" t="s">
        <v>79</v>
      </c>
    </row>
    <row r="444" spans="1:7" ht="15" customHeight="1">
      <c r="A444" s="88">
        <v>43773.698670023201</v>
      </c>
      <c r="B444" s="144">
        <v>200</v>
      </c>
      <c r="C444">
        <v>1.98</v>
      </c>
      <c r="D444" t="s">
        <v>1</v>
      </c>
      <c r="F444" t="s">
        <v>3</v>
      </c>
      <c r="G444" t="s">
        <v>356</v>
      </c>
    </row>
    <row r="445" spans="1:7" ht="15" customHeight="1">
      <c r="A445" s="88">
        <v>43773.698670023201</v>
      </c>
      <c r="B445" s="144">
        <v>1100</v>
      </c>
      <c r="C445">
        <v>10.89</v>
      </c>
      <c r="D445" t="s">
        <v>1</v>
      </c>
      <c r="F445" t="s">
        <v>3</v>
      </c>
      <c r="G445" t="s">
        <v>311</v>
      </c>
    </row>
    <row r="446" spans="1:7" ht="15" customHeight="1">
      <c r="A446" s="88">
        <v>43773.698670023201</v>
      </c>
      <c r="B446" s="144">
        <v>200</v>
      </c>
      <c r="C446">
        <v>1.98</v>
      </c>
      <c r="D446" t="s">
        <v>1</v>
      </c>
      <c r="F446" t="s">
        <v>3</v>
      </c>
      <c r="G446" t="s">
        <v>266</v>
      </c>
    </row>
    <row r="447" spans="1:7" ht="15" customHeight="1">
      <c r="A447" s="88">
        <v>43781.743315393498</v>
      </c>
      <c r="B447" s="144">
        <v>800</v>
      </c>
      <c r="C447">
        <v>7.92</v>
      </c>
      <c r="D447" t="s">
        <v>1</v>
      </c>
      <c r="F447" t="s">
        <v>3</v>
      </c>
      <c r="G447" t="s">
        <v>278</v>
      </c>
    </row>
    <row r="448" spans="1:7" ht="15" customHeight="1">
      <c r="A448" s="88">
        <v>43782.666734803199</v>
      </c>
      <c r="B448" s="144">
        <v>400</v>
      </c>
      <c r="C448">
        <v>3.96</v>
      </c>
      <c r="D448" t="s">
        <v>1</v>
      </c>
      <c r="F448" t="s">
        <v>3</v>
      </c>
      <c r="G448" t="s">
        <v>324</v>
      </c>
    </row>
    <row r="449" spans="1:8" ht="15" customHeight="1">
      <c r="A449" s="142">
        <v>43817.589895868099</v>
      </c>
      <c r="B449" s="140">
        <v>300</v>
      </c>
      <c r="C449" s="140">
        <v>2.97</v>
      </c>
      <c r="D449" s="140" t="s">
        <v>1</v>
      </c>
      <c r="E449" s="140"/>
      <c r="F449" t="s">
        <v>3</v>
      </c>
      <c r="G449" t="s">
        <v>75</v>
      </c>
    </row>
    <row r="450" spans="1:8" ht="15" customHeight="1">
      <c r="A450" s="88">
        <v>43790.658412881901</v>
      </c>
      <c r="B450" s="144">
        <v>200</v>
      </c>
      <c r="C450">
        <v>1.98</v>
      </c>
      <c r="D450" t="s">
        <v>1</v>
      </c>
      <c r="F450" t="s">
        <v>3</v>
      </c>
      <c r="G450" t="s">
        <v>16</v>
      </c>
      <c r="H450" s="128">
        <f>C450/B450*100</f>
        <v>0.98999999999999988</v>
      </c>
    </row>
    <row r="451" spans="1:8" ht="15" customHeight="1">
      <c r="A451" s="88">
        <v>43791.708599919002</v>
      </c>
      <c r="B451" s="144">
        <v>300</v>
      </c>
      <c r="C451">
        <v>2.97</v>
      </c>
      <c r="D451" t="s">
        <v>1</v>
      </c>
      <c r="F451" t="s">
        <v>3</v>
      </c>
      <c r="G451" t="s">
        <v>328</v>
      </c>
    </row>
    <row r="452" spans="1:8" ht="15" customHeight="1">
      <c r="A452" s="88">
        <v>43794.6445864583</v>
      </c>
      <c r="B452" s="144">
        <v>200</v>
      </c>
      <c r="C452">
        <v>1.98</v>
      </c>
      <c r="D452" t="s">
        <v>1</v>
      </c>
      <c r="F452" t="s">
        <v>3</v>
      </c>
      <c r="G452" t="s">
        <v>273</v>
      </c>
    </row>
    <row r="453" spans="1:8" ht="15" customHeight="1">
      <c r="A453" s="88">
        <v>43796.6433298958</v>
      </c>
      <c r="B453" s="144">
        <v>200</v>
      </c>
      <c r="C453">
        <v>1.98</v>
      </c>
      <c r="D453" t="s">
        <v>1</v>
      </c>
      <c r="F453" t="s">
        <v>3</v>
      </c>
      <c r="G453" t="s">
        <v>277</v>
      </c>
    </row>
    <row r="454" spans="1:8" ht="15" customHeight="1">
      <c r="A454" s="88">
        <v>43796.6433298958</v>
      </c>
      <c r="B454" s="144">
        <v>100</v>
      </c>
      <c r="C454">
        <v>0.99</v>
      </c>
      <c r="D454" t="s">
        <v>1</v>
      </c>
      <c r="F454" t="s">
        <v>3</v>
      </c>
      <c r="G454" t="s">
        <v>314</v>
      </c>
    </row>
    <row r="455" spans="1:8" ht="15" customHeight="1">
      <c r="A455" s="88">
        <v>43796.6433298958</v>
      </c>
      <c r="B455" s="144">
        <v>100</v>
      </c>
      <c r="C455">
        <v>0.99</v>
      </c>
      <c r="D455" t="s">
        <v>1</v>
      </c>
      <c r="F455" t="s">
        <v>3</v>
      </c>
      <c r="G455" t="s">
        <v>314</v>
      </c>
    </row>
    <row r="456" spans="1:8" ht="15" customHeight="1">
      <c r="A456" s="88">
        <v>43796.6433298958</v>
      </c>
      <c r="B456" s="144">
        <v>200</v>
      </c>
      <c r="C456">
        <v>1.98</v>
      </c>
      <c r="D456" t="s">
        <v>1</v>
      </c>
      <c r="F456" t="s">
        <v>3</v>
      </c>
      <c r="G456" t="s">
        <v>81</v>
      </c>
    </row>
    <row r="457" spans="1:8" ht="15" customHeight="1">
      <c r="A457" s="88">
        <v>43796.6433298958</v>
      </c>
      <c r="B457" s="144">
        <v>100</v>
      </c>
      <c r="C457">
        <v>0.99</v>
      </c>
      <c r="D457" t="s">
        <v>1</v>
      </c>
      <c r="F457" t="s">
        <v>3</v>
      </c>
      <c r="G457" t="s">
        <v>362</v>
      </c>
    </row>
    <row r="458" spans="1:8" ht="15" customHeight="1">
      <c r="A458" s="88">
        <v>43796.6433298958</v>
      </c>
      <c r="B458" s="144">
        <v>1700</v>
      </c>
      <c r="C458">
        <v>16.829999999999998</v>
      </c>
      <c r="D458" t="s">
        <v>1</v>
      </c>
      <c r="F458" t="s">
        <v>3</v>
      </c>
      <c r="G458" t="s">
        <v>362</v>
      </c>
    </row>
    <row r="459" spans="1:8" ht="15" customHeight="1">
      <c r="A459" s="88">
        <v>43796.6433298958</v>
      </c>
      <c r="B459" s="144">
        <v>200</v>
      </c>
      <c r="C459">
        <v>1.98</v>
      </c>
      <c r="D459" t="s">
        <v>1</v>
      </c>
      <c r="F459" t="s">
        <v>3</v>
      </c>
      <c r="G459" t="s">
        <v>331</v>
      </c>
    </row>
    <row r="460" spans="1:8" ht="15" customHeight="1">
      <c r="A460" s="88">
        <v>43796.6433298958</v>
      </c>
      <c r="B460" s="144">
        <v>200</v>
      </c>
      <c r="C460">
        <v>1.98</v>
      </c>
      <c r="D460" t="s">
        <v>1</v>
      </c>
      <c r="F460" t="s">
        <v>3</v>
      </c>
      <c r="G460" t="s">
        <v>299</v>
      </c>
    </row>
    <row r="461" spans="1:8" ht="15" customHeight="1">
      <c r="A461" s="88">
        <v>43796.6433298958</v>
      </c>
      <c r="B461" s="144">
        <v>200</v>
      </c>
      <c r="C461">
        <v>1.98</v>
      </c>
      <c r="D461" t="s">
        <v>1</v>
      </c>
      <c r="F461" t="s">
        <v>3</v>
      </c>
      <c r="G461" t="s">
        <v>285</v>
      </c>
    </row>
    <row r="462" spans="1:8" ht="15" customHeight="1">
      <c r="A462" s="88">
        <v>43796.6433298958</v>
      </c>
      <c r="B462" s="144">
        <v>200</v>
      </c>
      <c r="C462">
        <v>1.98</v>
      </c>
      <c r="D462" t="s">
        <v>1</v>
      </c>
      <c r="F462" t="s">
        <v>3</v>
      </c>
      <c r="G462" t="s">
        <v>316</v>
      </c>
    </row>
    <row r="463" spans="1:8" ht="15" customHeight="1">
      <c r="A463" s="88">
        <v>43797.727335219897</v>
      </c>
      <c r="B463" s="144">
        <v>300</v>
      </c>
      <c r="C463">
        <v>2.97</v>
      </c>
      <c r="D463" t="s">
        <v>1</v>
      </c>
      <c r="F463" t="s">
        <v>3</v>
      </c>
      <c r="G463" t="s">
        <v>55</v>
      </c>
    </row>
    <row r="464" spans="1:8" ht="15" customHeight="1">
      <c r="A464" s="88">
        <v>43797.727335219897</v>
      </c>
      <c r="B464" s="144">
        <v>200</v>
      </c>
      <c r="C464">
        <v>1.98</v>
      </c>
      <c r="D464" t="s">
        <v>1</v>
      </c>
      <c r="F464" t="s">
        <v>3</v>
      </c>
      <c r="G464" t="s">
        <v>361</v>
      </c>
    </row>
    <row r="465" spans="1:8" ht="15" customHeight="1">
      <c r="A465" s="88">
        <v>43798.711915081003</v>
      </c>
      <c r="B465">
        <v>100</v>
      </c>
      <c r="C465">
        <v>0.99</v>
      </c>
      <c r="D465" t="s">
        <v>1</v>
      </c>
      <c r="F465" t="s">
        <v>3</v>
      </c>
      <c r="G465" t="s">
        <v>363</v>
      </c>
    </row>
    <row r="466" spans="1:8" ht="15" customHeight="1">
      <c r="A466" s="88">
        <v>43798.711915081003</v>
      </c>
      <c r="B466">
        <v>3000</v>
      </c>
      <c r="C466">
        <v>29.7</v>
      </c>
      <c r="D466" t="s">
        <v>1</v>
      </c>
      <c r="F466" t="s">
        <v>3</v>
      </c>
      <c r="G466" t="s">
        <v>363</v>
      </c>
    </row>
    <row r="467" spans="1:8" ht="15" customHeight="1">
      <c r="A467" s="88">
        <v>43798.711915081003</v>
      </c>
      <c r="B467" s="144">
        <v>1000</v>
      </c>
      <c r="C467">
        <v>9.9</v>
      </c>
      <c r="D467" t="s">
        <v>1</v>
      </c>
      <c r="F467" t="s">
        <v>3</v>
      </c>
      <c r="G467" t="s">
        <v>347</v>
      </c>
    </row>
    <row r="468" spans="1:8" ht="15" customHeight="1">
      <c r="A468" s="136">
        <v>43798.711915081003</v>
      </c>
      <c r="B468" s="144">
        <v>1000</v>
      </c>
      <c r="C468" s="134">
        <v>9.9</v>
      </c>
      <c r="D468" s="134" t="s">
        <v>1</v>
      </c>
      <c r="E468" s="134"/>
      <c r="F468" s="134" t="s">
        <v>3</v>
      </c>
      <c r="G468" s="134" t="s">
        <v>282</v>
      </c>
      <c r="H468">
        <f>C468/B468*100</f>
        <v>0.9900000000000001</v>
      </c>
    </row>
    <row r="469" spans="1:8" ht="15" customHeight="1">
      <c r="A469" s="88">
        <v>43798.711915081003</v>
      </c>
      <c r="B469" s="144">
        <v>200</v>
      </c>
      <c r="C469">
        <v>1.98</v>
      </c>
      <c r="D469" t="s">
        <v>1</v>
      </c>
      <c r="F469" t="s">
        <v>3</v>
      </c>
      <c r="G469" t="s">
        <v>364</v>
      </c>
    </row>
    <row r="470" spans="1:8" ht="15" customHeight="1">
      <c r="A470" s="88">
        <v>43798.711915081003</v>
      </c>
      <c r="B470">
        <v>1000</v>
      </c>
      <c r="C470">
        <v>9.9</v>
      </c>
      <c r="D470" t="s">
        <v>1</v>
      </c>
      <c r="F470" t="s">
        <v>3</v>
      </c>
      <c r="G470" t="s">
        <v>310</v>
      </c>
    </row>
    <row r="471" spans="1:8" ht="15" customHeight="1">
      <c r="A471" s="88">
        <v>43798.711915081003</v>
      </c>
      <c r="B471" s="144">
        <v>850</v>
      </c>
      <c r="C471">
        <v>8.4149999999999991</v>
      </c>
      <c r="D471" t="s">
        <v>1</v>
      </c>
      <c r="F471" t="s">
        <v>3</v>
      </c>
      <c r="G471" t="s">
        <v>283</v>
      </c>
    </row>
    <row r="472" spans="1:8" ht="15" customHeight="1">
      <c r="A472" s="145">
        <v>43801.690729629598</v>
      </c>
      <c r="B472" s="146">
        <v>0</v>
      </c>
      <c r="C472" s="125">
        <v>3.96</v>
      </c>
      <c r="D472" s="125" t="s">
        <v>1</v>
      </c>
      <c r="E472" s="125"/>
      <c r="F472" s="125" t="s">
        <v>3</v>
      </c>
      <c r="G472" s="125" t="s">
        <v>262</v>
      </c>
    </row>
    <row r="473" spans="1:8" ht="15" customHeight="1">
      <c r="A473" s="88">
        <v>43801.690729629598</v>
      </c>
      <c r="B473" s="144">
        <v>200</v>
      </c>
      <c r="C473">
        <v>1.98</v>
      </c>
      <c r="D473" t="s">
        <v>1</v>
      </c>
      <c r="F473" t="s">
        <v>3</v>
      </c>
      <c r="G473" t="s">
        <v>266</v>
      </c>
    </row>
    <row r="474" spans="1:8" ht="15" customHeight="1">
      <c r="A474" s="88">
        <v>43802.735416701398</v>
      </c>
      <c r="B474" s="144">
        <v>200</v>
      </c>
      <c r="C474">
        <v>1.98</v>
      </c>
      <c r="D474" t="s">
        <v>1</v>
      </c>
      <c r="F474" t="s">
        <v>3</v>
      </c>
      <c r="G474" t="s">
        <v>287</v>
      </c>
    </row>
    <row r="475" spans="1:8" ht="15" customHeight="1">
      <c r="A475" s="88">
        <v>43804.713043784701</v>
      </c>
      <c r="B475">
        <v>100</v>
      </c>
      <c r="C475">
        <v>0.99</v>
      </c>
      <c r="D475" t="s">
        <v>1</v>
      </c>
      <c r="F475" t="s">
        <v>3</v>
      </c>
      <c r="G475" t="s">
        <v>365</v>
      </c>
    </row>
    <row r="476" spans="1:8" ht="15" customHeight="1">
      <c r="A476" s="88">
        <v>43810.669623182897</v>
      </c>
      <c r="B476" s="144">
        <v>38.89</v>
      </c>
      <c r="C476">
        <v>0.38500000000000001</v>
      </c>
      <c r="D476" t="s">
        <v>1</v>
      </c>
      <c r="F476" t="s">
        <v>3</v>
      </c>
      <c r="G476" t="s">
        <v>314</v>
      </c>
    </row>
    <row r="477" spans="1:8" ht="15" customHeight="1">
      <c r="A477" s="88">
        <v>43812.717783564804</v>
      </c>
      <c r="B477" s="144">
        <v>200</v>
      </c>
      <c r="C477">
        <v>1.98</v>
      </c>
      <c r="D477" t="s">
        <v>1</v>
      </c>
      <c r="F477" t="s">
        <v>3</v>
      </c>
      <c r="G477" t="s">
        <v>324</v>
      </c>
    </row>
    <row r="478" spans="1:8" ht="15" customHeight="1">
      <c r="A478" s="88">
        <v>43817.589895868099</v>
      </c>
      <c r="B478" s="144">
        <v>300</v>
      </c>
      <c r="C478">
        <v>2.97</v>
      </c>
      <c r="D478" t="s">
        <v>1</v>
      </c>
      <c r="F478" t="s">
        <v>3</v>
      </c>
      <c r="G478" t="s">
        <v>322</v>
      </c>
    </row>
    <row r="479" spans="1:8" ht="15" customHeight="1">
      <c r="A479" s="142">
        <v>43846.692095949104</v>
      </c>
      <c r="B479" s="140">
        <v>300</v>
      </c>
      <c r="C479" s="140">
        <v>2.97</v>
      </c>
      <c r="D479" s="140" t="s">
        <v>1</v>
      </c>
      <c r="E479" s="140"/>
      <c r="F479" t="s">
        <v>3</v>
      </c>
      <c r="G479" t="s">
        <v>75</v>
      </c>
    </row>
    <row r="480" spans="1:8" ht="15" customHeight="1">
      <c r="A480" s="88">
        <v>43817.589895868099</v>
      </c>
      <c r="B480" s="144">
        <v>200</v>
      </c>
      <c r="C480">
        <v>1.98</v>
      </c>
      <c r="D480" t="s">
        <v>1</v>
      </c>
      <c r="F480" t="s">
        <v>3</v>
      </c>
      <c r="G480" t="s">
        <v>346</v>
      </c>
    </row>
    <row r="481" spans="1:8" ht="15" customHeight="1">
      <c r="A481" s="88">
        <v>43817.589895868099</v>
      </c>
      <c r="B481" s="144">
        <v>100</v>
      </c>
      <c r="C481">
        <v>0.99</v>
      </c>
      <c r="D481" t="s">
        <v>1</v>
      </c>
      <c r="F481" t="s">
        <v>3</v>
      </c>
      <c r="G481" t="s">
        <v>314</v>
      </c>
    </row>
    <row r="482" spans="1:8" ht="15" customHeight="1">
      <c r="A482" s="88">
        <v>43818.711577048598</v>
      </c>
      <c r="B482" s="144">
        <v>500</v>
      </c>
      <c r="C482">
        <v>4.95</v>
      </c>
      <c r="D482" t="s">
        <v>1</v>
      </c>
      <c r="F482" t="s">
        <v>3</v>
      </c>
      <c r="G482" t="s">
        <v>312</v>
      </c>
    </row>
    <row r="483" spans="1:8" ht="15" customHeight="1">
      <c r="A483" s="88">
        <v>43822.694187349502</v>
      </c>
      <c r="B483" s="144">
        <v>400</v>
      </c>
      <c r="C483">
        <v>3.96</v>
      </c>
      <c r="D483" t="s">
        <v>1</v>
      </c>
      <c r="F483" t="s">
        <v>3</v>
      </c>
      <c r="G483" t="s">
        <v>270</v>
      </c>
    </row>
    <row r="484" spans="1:8" ht="15" customHeight="1">
      <c r="A484" s="88">
        <v>43822.694187349502</v>
      </c>
      <c r="B484" s="144">
        <v>200</v>
      </c>
      <c r="C484">
        <v>9.99</v>
      </c>
      <c r="D484" t="s">
        <v>1</v>
      </c>
      <c r="F484" t="s">
        <v>359</v>
      </c>
      <c r="G484" t="s">
        <v>81</v>
      </c>
    </row>
    <row r="485" spans="1:8" ht="15" customHeight="1">
      <c r="A485" s="88">
        <v>43822.694187349502</v>
      </c>
      <c r="B485" s="144">
        <v>400</v>
      </c>
      <c r="C485">
        <v>3.96</v>
      </c>
      <c r="D485" t="s">
        <v>1</v>
      </c>
      <c r="F485" t="s">
        <v>3</v>
      </c>
      <c r="G485" t="s">
        <v>321</v>
      </c>
    </row>
    <row r="486" spans="1:8" ht="15" customHeight="1">
      <c r="A486" s="88">
        <v>43822.694187349502</v>
      </c>
      <c r="B486" s="144">
        <v>200</v>
      </c>
      <c r="C486">
        <v>1.98</v>
      </c>
      <c r="D486" t="s">
        <v>1</v>
      </c>
      <c r="F486" t="s">
        <v>3</v>
      </c>
      <c r="G486" t="s">
        <v>316</v>
      </c>
    </row>
    <row r="487" spans="1:8" ht="15" customHeight="1">
      <c r="A487" s="88">
        <v>43826.582228587999</v>
      </c>
      <c r="B487" s="144">
        <v>200</v>
      </c>
      <c r="C487">
        <v>1.98</v>
      </c>
      <c r="D487" t="s">
        <v>1</v>
      </c>
      <c r="F487" t="s">
        <v>3</v>
      </c>
      <c r="G487" t="s">
        <v>273</v>
      </c>
    </row>
    <row r="488" spans="1:8" ht="15" customHeight="1">
      <c r="A488" s="88">
        <v>43826.582228587999</v>
      </c>
      <c r="B488" s="144">
        <v>200</v>
      </c>
      <c r="C488">
        <v>1.98</v>
      </c>
      <c r="D488" t="s">
        <v>1</v>
      </c>
      <c r="F488" t="s">
        <v>3</v>
      </c>
      <c r="G488" t="s">
        <v>361</v>
      </c>
    </row>
    <row r="489" spans="1:8" ht="15" customHeight="1">
      <c r="A489" s="88">
        <v>43829.736581481498</v>
      </c>
      <c r="B489" s="144">
        <v>600</v>
      </c>
      <c r="C489">
        <v>5.94</v>
      </c>
      <c r="D489" t="s">
        <v>1</v>
      </c>
      <c r="F489" t="s">
        <v>3</v>
      </c>
      <c r="G489" t="s">
        <v>85</v>
      </c>
    </row>
    <row r="490" spans="1:8" ht="15" customHeight="1">
      <c r="A490" s="88">
        <v>43829.736581481498</v>
      </c>
      <c r="B490" s="144">
        <v>200</v>
      </c>
      <c r="C490">
        <v>1.98</v>
      </c>
      <c r="D490" t="s">
        <v>1</v>
      </c>
      <c r="F490" t="s">
        <v>3</v>
      </c>
      <c r="G490" t="s">
        <v>299</v>
      </c>
    </row>
    <row r="491" spans="1:8" ht="15" customHeight="1">
      <c r="A491" s="88">
        <v>43830.632977395799</v>
      </c>
      <c r="B491" s="144">
        <v>200</v>
      </c>
      <c r="C491">
        <v>1.98</v>
      </c>
      <c r="D491" t="s">
        <v>1</v>
      </c>
      <c r="F491" t="s">
        <v>3</v>
      </c>
      <c r="G491" t="s">
        <v>16</v>
      </c>
      <c r="H491" s="128">
        <f>C491/B491*100</f>
        <v>0.98999999999999988</v>
      </c>
    </row>
    <row r="492" spans="1:8" ht="15" customHeight="1">
      <c r="A492" s="88">
        <v>43830.632977395799</v>
      </c>
      <c r="B492" s="144">
        <v>200</v>
      </c>
      <c r="C492">
        <v>1.98</v>
      </c>
      <c r="D492" t="s">
        <v>1</v>
      </c>
      <c r="F492" t="s">
        <v>3</v>
      </c>
      <c r="G492" t="s">
        <v>343</v>
      </c>
    </row>
    <row r="493" spans="1:8" ht="15" customHeight="1">
      <c r="A493" s="88">
        <v>43833.743071099503</v>
      </c>
      <c r="B493" s="144">
        <v>100</v>
      </c>
      <c r="C493">
        <v>0.99</v>
      </c>
      <c r="D493" t="s">
        <v>1</v>
      </c>
      <c r="F493" t="s">
        <v>3</v>
      </c>
      <c r="G493" t="s">
        <v>314</v>
      </c>
    </row>
    <row r="494" spans="1:8" ht="15" customHeight="1">
      <c r="A494" s="136">
        <v>43843.733214236097</v>
      </c>
      <c r="B494" s="144">
        <v>300</v>
      </c>
      <c r="C494" s="134">
        <v>2.97</v>
      </c>
      <c r="D494" s="134" t="s">
        <v>1</v>
      </c>
      <c r="E494" s="134"/>
      <c r="F494" s="134" t="s">
        <v>3</v>
      </c>
      <c r="G494" s="134" t="s">
        <v>282</v>
      </c>
      <c r="H494">
        <f>C494/B494*100</f>
        <v>0.9900000000000001</v>
      </c>
    </row>
    <row r="495" spans="1:8" ht="15" customHeight="1">
      <c r="A495" s="88">
        <v>43843.733214236097</v>
      </c>
      <c r="B495" s="144">
        <v>300</v>
      </c>
      <c r="C495">
        <v>2.97</v>
      </c>
      <c r="D495" t="s">
        <v>1</v>
      </c>
      <c r="F495" t="s">
        <v>3</v>
      </c>
      <c r="G495" t="s">
        <v>283</v>
      </c>
    </row>
    <row r="496" spans="1:8" ht="15" customHeight="1">
      <c r="A496" s="142">
        <v>43878.696093055602</v>
      </c>
      <c r="B496" s="140">
        <v>300</v>
      </c>
      <c r="C496" s="140">
        <v>2.97</v>
      </c>
      <c r="D496" s="140" t="s">
        <v>1</v>
      </c>
      <c r="E496" s="140"/>
      <c r="F496" t="s">
        <v>3</v>
      </c>
      <c r="G496" t="s">
        <v>75</v>
      </c>
    </row>
    <row r="497" spans="1:8" ht="15" customHeight="1">
      <c r="A497" s="88">
        <v>43850.732011805601</v>
      </c>
      <c r="B497" s="144">
        <v>200</v>
      </c>
      <c r="C497">
        <v>1.98</v>
      </c>
      <c r="D497" t="s">
        <v>1</v>
      </c>
      <c r="F497" t="s">
        <v>3</v>
      </c>
      <c r="G497" t="s">
        <v>16</v>
      </c>
      <c r="H497" s="128">
        <f>C497/B497*100</f>
        <v>0.98999999999999988</v>
      </c>
    </row>
    <row r="498" spans="1:8" ht="15" customHeight="1">
      <c r="A498" s="88">
        <v>43850.732011805601</v>
      </c>
      <c r="B498" s="144">
        <v>400</v>
      </c>
      <c r="C498">
        <v>3.96</v>
      </c>
      <c r="D498" t="s">
        <v>1</v>
      </c>
      <c r="F498" t="s">
        <v>3</v>
      </c>
      <c r="G498" t="s">
        <v>311</v>
      </c>
    </row>
    <row r="499" spans="1:8" ht="15" customHeight="1">
      <c r="A499" s="88">
        <v>43852.6410725694</v>
      </c>
      <c r="B499" s="144">
        <v>300</v>
      </c>
      <c r="C499">
        <v>2.97</v>
      </c>
      <c r="D499" t="s">
        <v>1</v>
      </c>
      <c r="F499" t="s">
        <v>3</v>
      </c>
      <c r="G499" t="s">
        <v>322</v>
      </c>
    </row>
    <row r="500" spans="1:8" ht="15" customHeight="1">
      <c r="A500" s="88">
        <v>43854.6687522801</v>
      </c>
      <c r="B500" s="144">
        <v>200</v>
      </c>
      <c r="C500">
        <v>9.99</v>
      </c>
      <c r="D500" t="s">
        <v>1</v>
      </c>
      <c r="F500" t="s">
        <v>359</v>
      </c>
      <c r="G500" t="s">
        <v>81</v>
      </c>
    </row>
    <row r="501" spans="1:8" ht="15" customHeight="1">
      <c r="A501" s="88">
        <v>43857.696136030099</v>
      </c>
      <c r="B501" s="144">
        <v>200</v>
      </c>
      <c r="C501">
        <v>1.98</v>
      </c>
      <c r="D501" t="s">
        <v>1</v>
      </c>
      <c r="F501" t="s">
        <v>3</v>
      </c>
      <c r="G501" t="s">
        <v>270</v>
      </c>
    </row>
    <row r="502" spans="1:8" ht="15" customHeight="1">
      <c r="A502" s="88">
        <v>43857.696136030099</v>
      </c>
      <c r="B502" s="144">
        <v>200</v>
      </c>
      <c r="C502">
        <v>1.98</v>
      </c>
      <c r="D502" t="s">
        <v>1</v>
      </c>
      <c r="F502" t="s">
        <v>3</v>
      </c>
      <c r="G502" t="s">
        <v>273</v>
      </c>
    </row>
    <row r="503" spans="1:8" ht="15" customHeight="1">
      <c r="A503" s="88">
        <v>43857.696136030099</v>
      </c>
      <c r="B503" s="144">
        <v>400</v>
      </c>
      <c r="C503">
        <v>3.96</v>
      </c>
      <c r="D503" t="s">
        <v>1</v>
      </c>
      <c r="F503" t="s">
        <v>3</v>
      </c>
      <c r="G503" t="s">
        <v>339</v>
      </c>
    </row>
    <row r="504" spans="1:8" ht="15" customHeight="1">
      <c r="A504" s="88">
        <v>43857.696136030099</v>
      </c>
      <c r="B504" s="144">
        <v>200</v>
      </c>
      <c r="C504">
        <v>1.98</v>
      </c>
      <c r="D504" t="s">
        <v>1</v>
      </c>
      <c r="F504" t="s">
        <v>3</v>
      </c>
      <c r="G504" t="s">
        <v>361</v>
      </c>
    </row>
    <row r="505" spans="1:8" ht="15" customHeight="1">
      <c r="A505" s="88">
        <v>43857.696136030099</v>
      </c>
      <c r="B505" s="144">
        <v>200</v>
      </c>
      <c r="C505">
        <v>1.98</v>
      </c>
      <c r="D505" t="s">
        <v>1</v>
      </c>
      <c r="F505" t="s">
        <v>3</v>
      </c>
      <c r="G505" t="s">
        <v>321</v>
      </c>
    </row>
    <row r="506" spans="1:8" ht="15" customHeight="1">
      <c r="A506" s="88">
        <v>43857.696136030099</v>
      </c>
      <c r="B506" s="144">
        <v>200</v>
      </c>
      <c r="C506">
        <v>1.98</v>
      </c>
      <c r="D506" t="s">
        <v>1</v>
      </c>
      <c r="F506" t="s">
        <v>3</v>
      </c>
      <c r="G506" t="s">
        <v>316</v>
      </c>
    </row>
    <row r="507" spans="1:8" ht="15" customHeight="1">
      <c r="A507" s="88">
        <v>43858.671219988399</v>
      </c>
      <c r="B507" s="144">
        <v>200</v>
      </c>
      <c r="C507">
        <v>1.98</v>
      </c>
      <c r="D507" t="s">
        <v>1</v>
      </c>
      <c r="F507" t="s">
        <v>3</v>
      </c>
      <c r="G507" t="s">
        <v>299</v>
      </c>
    </row>
    <row r="508" spans="1:8" ht="15" customHeight="1">
      <c r="A508" s="88">
        <v>43858.825174108802</v>
      </c>
      <c r="B508" s="144">
        <v>1010</v>
      </c>
      <c r="C508">
        <v>25.149000000000001</v>
      </c>
      <c r="D508" t="s">
        <v>1</v>
      </c>
      <c r="F508" t="s">
        <v>274</v>
      </c>
      <c r="G508" t="s">
        <v>275</v>
      </c>
    </row>
    <row r="509" spans="1:8" ht="15" customHeight="1">
      <c r="A509" s="145">
        <v>43864.665956446799</v>
      </c>
      <c r="B509" s="146">
        <v>0</v>
      </c>
      <c r="C509" s="125">
        <v>9.9</v>
      </c>
      <c r="D509" s="125" t="s">
        <v>1</v>
      </c>
      <c r="E509" s="125"/>
      <c r="F509" s="125" t="s">
        <v>3</v>
      </c>
      <c r="G509" s="125" t="s">
        <v>262</v>
      </c>
    </row>
    <row r="510" spans="1:8" ht="15" customHeight="1">
      <c r="A510" s="88">
        <v>43864.665956446799</v>
      </c>
      <c r="B510" s="144">
        <v>200</v>
      </c>
      <c r="C510">
        <v>1.98</v>
      </c>
      <c r="D510" t="s">
        <v>1</v>
      </c>
      <c r="F510" t="s">
        <v>3</v>
      </c>
      <c r="G510" t="s">
        <v>364</v>
      </c>
    </row>
    <row r="511" spans="1:8" ht="15" customHeight="1">
      <c r="A511" s="88">
        <v>43871.677119247703</v>
      </c>
      <c r="B511" s="144">
        <v>200</v>
      </c>
      <c r="C511">
        <v>1.98</v>
      </c>
      <c r="D511" t="s">
        <v>1</v>
      </c>
      <c r="F511" t="s">
        <v>3</v>
      </c>
      <c r="G511" t="s">
        <v>311</v>
      </c>
    </row>
    <row r="512" spans="1:8" ht="15" customHeight="1">
      <c r="A512" s="88">
        <v>43873.677767974499</v>
      </c>
      <c r="B512" s="144">
        <v>400</v>
      </c>
      <c r="C512">
        <v>3.96</v>
      </c>
      <c r="D512" t="s">
        <v>1</v>
      </c>
      <c r="F512" t="s">
        <v>3</v>
      </c>
      <c r="G512" t="s">
        <v>356</v>
      </c>
    </row>
    <row r="513" spans="1:8" ht="15" customHeight="1">
      <c r="A513" s="88">
        <v>43874.680303935202</v>
      </c>
      <c r="B513" s="144">
        <v>400</v>
      </c>
      <c r="C513">
        <v>3.96</v>
      </c>
      <c r="D513" t="s">
        <v>1</v>
      </c>
      <c r="F513" t="s">
        <v>3</v>
      </c>
      <c r="G513" t="s">
        <v>55</v>
      </c>
    </row>
    <row r="514" spans="1:8" ht="15" customHeight="1">
      <c r="A514" s="142">
        <v>43907.6969773495</v>
      </c>
      <c r="B514" s="140">
        <v>300</v>
      </c>
      <c r="C514" s="140">
        <v>2.97</v>
      </c>
      <c r="D514" s="140" t="s">
        <v>1</v>
      </c>
      <c r="E514" s="140"/>
      <c r="F514" t="s">
        <v>3</v>
      </c>
      <c r="G514" t="s">
        <v>75</v>
      </c>
    </row>
    <row r="515" spans="1:8" ht="15" customHeight="1">
      <c r="A515" s="88">
        <v>43879.667479201402</v>
      </c>
      <c r="B515" s="144">
        <v>300</v>
      </c>
      <c r="C515">
        <v>2.97</v>
      </c>
      <c r="D515" t="s">
        <v>1</v>
      </c>
      <c r="F515" t="s">
        <v>3</v>
      </c>
      <c r="G515" t="s">
        <v>322</v>
      </c>
    </row>
    <row r="516" spans="1:8" ht="15" customHeight="1">
      <c r="A516" s="88">
        <v>43880.674945914398</v>
      </c>
      <c r="B516" s="144">
        <v>100</v>
      </c>
      <c r="C516">
        <v>0.99</v>
      </c>
      <c r="D516" t="s">
        <v>1</v>
      </c>
      <c r="F516" t="s">
        <v>3</v>
      </c>
      <c r="G516" t="s">
        <v>314</v>
      </c>
    </row>
    <row r="517" spans="1:8" ht="15" customHeight="1">
      <c r="A517" s="142">
        <v>43937.706453553197</v>
      </c>
      <c r="B517" s="140">
        <v>300</v>
      </c>
      <c r="C517" s="140">
        <v>2.97</v>
      </c>
      <c r="D517" s="140" t="s">
        <v>1</v>
      </c>
      <c r="E517" s="140"/>
      <c r="F517" t="s">
        <v>3</v>
      </c>
      <c r="G517" t="s">
        <v>75</v>
      </c>
      <c r="H517">
        <f>C517/B517*100</f>
        <v>0.9900000000000001</v>
      </c>
    </row>
    <row r="518" spans="1:8" ht="15" customHeight="1">
      <c r="A518" s="88">
        <v>43885.674413159701</v>
      </c>
      <c r="B518" s="144">
        <v>200</v>
      </c>
      <c r="C518">
        <v>1.98</v>
      </c>
      <c r="D518" t="s">
        <v>1</v>
      </c>
      <c r="F518" t="s">
        <v>3</v>
      </c>
      <c r="G518" t="s">
        <v>270</v>
      </c>
    </row>
    <row r="519" spans="1:8" ht="15" customHeight="1">
      <c r="A519" s="88">
        <v>43885.674413159701</v>
      </c>
      <c r="B519" s="144">
        <v>200</v>
      </c>
      <c r="C519">
        <v>1.98</v>
      </c>
      <c r="D519" t="s">
        <v>1</v>
      </c>
      <c r="F519" t="s">
        <v>3</v>
      </c>
      <c r="G519" t="s">
        <v>321</v>
      </c>
    </row>
    <row r="520" spans="1:8" ht="15" customHeight="1">
      <c r="A520" s="88">
        <v>43885.674413159701</v>
      </c>
      <c r="B520" s="144">
        <v>500</v>
      </c>
      <c r="C520">
        <v>4.95</v>
      </c>
      <c r="D520" t="s">
        <v>1</v>
      </c>
      <c r="F520" t="s">
        <v>3</v>
      </c>
      <c r="G520" t="s">
        <v>366</v>
      </c>
    </row>
    <row r="521" spans="1:8" ht="15" customHeight="1">
      <c r="A521" s="88">
        <v>43886.688799803203</v>
      </c>
      <c r="B521" s="144">
        <v>200</v>
      </c>
      <c r="C521">
        <v>1.98</v>
      </c>
      <c r="D521" t="s">
        <v>1</v>
      </c>
      <c r="F521" t="s">
        <v>3</v>
      </c>
      <c r="G521" t="s">
        <v>273</v>
      </c>
    </row>
    <row r="522" spans="1:8" ht="15" customHeight="1">
      <c r="A522" s="88">
        <v>43886.688799803203</v>
      </c>
      <c r="B522" s="144">
        <v>4000</v>
      </c>
      <c r="C522">
        <v>29.99</v>
      </c>
      <c r="D522" t="s">
        <v>1</v>
      </c>
      <c r="F522" t="s">
        <v>3</v>
      </c>
      <c r="G522" t="s">
        <v>367</v>
      </c>
    </row>
    <row r="523" spans="1:8" ht="15" customHeight="1">
      <c r="A523" s="88">
        <v>43888.671889085701</v>
      </c>
      <c r="B523" s="144">
        <v>400</v>
      </c>
      <c r="C523">
        <v>3.96</v>
      </c>
      <c r="D523" t="s">
        <v>1</v>
      </c>
      <c r="F523" t="s">
        <v>3</v>
      </c>
      <c r="G523" t="s">
        <v>339</v>
      </c>
    </row>
    <row r="524" spans="1:8" ht="15" customHeight="1">
      <c r="A524" s="88">
        <v>43888.671889085701</v>
      </c>
      <c r="B524" s="144">
        <v>200</v>
      </c>
      <c r="C524">
        <v>1.98</v>
      </c>
      <c r="D524" t="s">
        <v>1</v>
      </c>
      <c r="F524" t="s">
        <v>3</v>
      </c>
      <c r="G524" t="s">
        <v>361</v>
      </c>
    </row>
    <row r="525" spans="1:8" ht="15" customHeight="1">
      <c r="A525" s="88">
        <v>43888.671889085701</v>
      </c>
      <c r="B525" s="144">
        <v>200</v>
      </c>
      <c r="C525">
        <v>1.98</v>
      </c>
      <c r="D525" t="s">
        <v>1</v>
      </c>
      <c r="F525" t="s">
        <v>3</v>
      </c>
      <c r="G525" t="s">
        <v>316</v>
      </c>
    </row>
    <row r="526" spans="1:8" ht="15" customHeight="1">
      <c r="A526" s="88">
        <v>43890.311520451403</v>
      </c>
      <c r="B526" s="144">
        <v>200</v>
      </c>
      <c r="C526">
        <v>1.98</v>
      </c>
      <c r="D526" t="s">
        <v>1</v>
      </c>
      <c r="F526" t="s">
        <v>3</v>
      </c>
      <c r="G526" t="s">
        <v>81</v>
      </c>
    </row>
    <row r="527" spans="1:8" ht="15" customHeight="1">
      <c r="A527" s="88">
        <v>43890.311520451403</v>
      </c>
      <c r="B527" s="144">
        <v>200</v>
      </c>
      <c r="C527">
        <v>1.98</v>
      </c>
      <c r="D527" t="s">
        <v>1</v>
      </c>
      <c r="F527" t="s">
        <v>3</v>
      </c>
      <c r="G527" t="s">
        <v>299</v>
      </c>
    </row>
    <row r="528" spans="1:8" ht="15" customHeight="1">
      <c r="A528" s="145">
        <v>43893.675712962999</v>
      </c>
      <c r="B528" s="146">
        <v>800</v>
      </c>
      <c r="C528">
        <v>7.92</v>
      </c>
      <c r="D528" t="s">
        <v>1</v>
      </c>
      <c r="F528" t="s">
        <v>3</v>
      </c>
      <c r="G528" t="s">
        <v>79</v>
      </c>
    </row>
    <row r="529" spans="1:8" ht="15" customHeight="1">
      <c r="A529" s="88">
        <v>43894.665689317102</v>
      </c>
      <c r="B529" s="144">
        <v>300</v>
      </c>
      <c r="C529">
        <v>2.97</v>
      </c>
      <c r="D529" t="s">
        <v>1</v>
      </c>
      <c r="F529" t="s">
        <v>3</v>
      </c>
      <c r="G529" t="s">
        <v>16</v>
      </c>
      <c r="H529" s="128">
        <f>C529/B529*100</f>
        <v>0.9900000000000001</v>
      </c>
    </row>
    <row r="530" spans="1:8" ht="15" customHeight="1">
      <c r="A530" s="88">
        <v>43896.725055474497</v>
      </c>
      <c r="B530">
        <v>300</v>
      </c>
      <c r="C530">
        <v>2.97</v>
      </c>
      <c r="D530" t="s">
        <v>1</v>
      </c>
      <c r="F530" t="s">
        <v>3</v>
      </c>
      <c r="G530" t="s">
        <v>368</v>
      </c>
    </row>
    <row r="531" spans="1:8" ht="15" customHeight="1">
      <c r="A531" s="142">
        <v>43969.706844826404</v>
      </c>
      <c r="B531" s="140">
        <v>300</v>
      </c>
      <c r="C531" s="140">
        <v>2.97</v>
      </c>
      <c r="D531" s="140" t="s">
        <v>1</v>
      </c>
      <c r="E531" s="140"/>
      <c r="F531" t="s">
        <v>3</v>
      </c>
      <c r="G531" t="s">
        <v>75</v>
      </c>
      <c r="H531">
        <f>C531/B531*100</f>
        <v>0.9900000000000001</v>
      </c>
    </row>
    <row r="532" spans="1:8" ht="15" customHeight="1">
      <c r="A532" s="88">
        <v>43900.680079895799</v>
      </c>
      <c r="B532" s="144">
        <v>200</v>
      </c>
      <c r="C532">
        <v>1.98</v>
      </c>
      <c r="D532" t="s">
        <v>1</v>
      </c>
      <c r="F532" t="s">
        <v>3</v>
      </c>
      <c r="G532" t="s">
        <v>364</v>
      </c>
    </row>
    <row r="533" spans="1:8" ht="15" customHeight="1">
      <c r="A533" s="142">
        <v>43999.7213287384</v>
      </c>
      <c r="B533" s="140">
        <v>300</v>
      </c>
      <c r="C533" s="140">
        <v>2.97</v>
      </c>
      <c r="D533" s="140" t="s">
        <v>1</v>
      </c>
      <c r="E533" s="140"/>
      <c r="F533" t="s">
        <v>3</v>
      </c>
      <c r="G533" t="s">
        <v>75</v>
      </c>
    </row>
    <row r="534" spans="1:8" ht="15" customHeight="1">
      <c r="A534" s="88">
        <v>43907.6969773495</v>
      </c>
      <c r="B534" s="144">
        <v>300</v>
      </c>
      <c r="C534">
        <v>2.97</v>
      </c>
      <c r="D534" t="s">
        <v>1</v>
      </c>
      <c r="F534" t="s">
        <v>3</v>
      </c>
      <c r="G534" t="s">
        <v>367</v>
      </c>
    </row>
    <row r="535" spans="1:8" ht="15" customHeight="1">
      <c r="A535" s="88">
        <v>43913.691467326396</v>
      </c>
      <c r="B535" s="144">
        <v>400</v>
      </c>
      <c r="C535">
        <v>3.96</v>
      </c>
      <c r="D535" t="s">
        <v>1</v>
      </c>
      <c r="F535" t="s">
        <v>3</v>
      </c>
      <c r="G535" t="s">
        <v>339</v>
      </c>
    </row>
    <row r="536" spans="1:8" ht="15" customHeight="1">
      <c r="A536" s="88">
        <v>43914.693614085598</v>
      </c>
      <c r="B536" s="144">
        <v>250</v>
      </c>
      <c r="C536">
        <v>2.4750000000000001</v>
      </c>
      <c r="D536" t="s">
        <v>1</v>
      </c>
      <c r="F536" t="s">
        <v>3</v>
      </c>
      <c r="G536" t="s">
        <v>270</v>
      </c>
    </row>
    <row r="537" spans="1:8" ht="15" customHeight="1">
      <c r="A537" s="88">
        <v>43914.693614085598</v>
      </c>
      <c r="B537" s="144">
        <v>500</v>
      </c>
      <c r="C537">
        <v>4.95</v>
      </c>
      <c r="D537" t="s">
        <v>1</v>
      </c>
      <c r="F537" t="s">
        <v>3</v>
      </c>
      <c r="G537" t="s">
        <v>314</v>
      </c>
    </row>
    <row r="538" spans="1:8" ht="15" customHeight="1">
      <c r="A538" s="88">
        <v>43914.693614085598</v>
      </c>
      <c r="B538" s="144">
        <v>200</v>
      </c>
      <c r="C538">
        <v>1.98</v>
      </c>
      <c r="D538" t="s">
        <v>1</v>
      </c>
      <c r="F538" t="s">
        <v>3</v>
      </c>
      <c r="G538" t="s">
        <v>316</v>
      </c>
    </row>
    <row r="539" spans="1:8" ht="15" customHeight="1">
      <c r="A539" s="88">
        <v>43915.704872650502</v>
      </c>
      <c r="B539" s="144">
        <v>200</v>
      </c>
      <c r="C539">
        <v>1.98</v>
      </c>
      <c r="D539" t="s">
        <v>1</v>
      </c>
      <c r="F539" t="s">
        <v>3</v>
      </c>
      <c r="G539" t="s">
        <v>273</v>
      </c>
    </row>
    <row r="540" spans="1:8" ht="15" customHeight="1">
      <c r="A540" s="88">
        <v>43916.685672303203</v>
      </c>
      <c r="B540" s="144">
        <v>300</v>
      </c>
      <c r="C540">
        <v>2.97</v>
      </c>
      <c r="D540" t="s">
        <v>1</v>
      </c>
      <c r="F540" t="s">
        <v>3</v>
      </c>
      <c r="G540" t="s">
        <v>277</v>
      </c>
    </row>
    <row r="541" spans="1:8" ht="15" customHeight="1">
      <c r="A541" s="88">
        <v>43916.685672303203</v>
      </c>
      <c r="B541" s="144">
        <v>200</v>
      </c>
      <c r="C541">
        <v>1.98</v>
      </c>
      <c r="D541" t="s">
        <v>1</v>
      </c>
      <c r="F541" t="s">
        <v>3</v>
      </c>
      <c r="G541" t="s">
        <v>81</v>
      </c>
    </row>
    <row r="542" spans="1:8" ht="15" customHeight="1">
      <c r="A542" s="88">
        <v>43916.685672303203</v>
      </c>
      <c r="B542" s="144">
        <v>200</v>
      </c>
      <c r="C542">
        <v>1.98</v>
      </c>
      <c r="D542" t="s">
        <v>1</v>
      </c>
      <c r="F542" t="s">
        <v>3</v>
      </c>
      <c r="G542" t="s">
        <v>331</v>
      </c>
    </row>
    <row r="543" spans="1:8" ht="15" customHeight="1">
      <c r="A543" s="88">
        <v>43916.685672303203</v>
      </c>
      <c r="B543" s="144">
        <v>200</v>
      </c>
      <c r="C543">
        <v>1.98</v>
      </c>
      <c r="D543" t="s">
        <v>1</v>
      </c>
      <c r="F543" t="s">
        <v>3</v>
      </c>
      <c r="G543" t="s">
        <v>285</v>
      </c>
    </row>
    <row r="544" spans="1:8" ht="15" customHeight="1">
      <c r="A544" s="88">
        <v>43917.684526238401</v>
      </c>
      <c r="B544" s="144">
        <v>200</v>
      </c>
      <c r="C544">
        <v>1.98</v>
      </c>
      <c r="D544" t="s">
        <v>1</v>
      </c>
      <c r="F544" t="s">
        <v>3</v>
      </c>
      <c r="G544" t="s">
        <v>361</v>
      </c>
    </row>
    <row r="545" spans="1:8" ht="15" customHeight="1">
      <c r="A545" s="88">
        <v>43917.684526238401</v>
      </c>
      <c r="B545" s="144">
        <v>200</v>
      </c>
      <c r="C545">
        <v>1.98</v>
      </c>
      <c r="D545" t="s">
        <v>1</v>
      </c>
      <c r="F545" t="s">
        <v>3</v>
      </c>
      <c r="G545" t="s">
        <v>299</v>
      </c>
    </row>
    <row r="546" spans="1:8" ht="15" customHeight="1">
      <c r="A546" s="88">
        <v>43920.6756664352</v>
      </c>
      <c r="B546" s="144">
        <v>200</v>
      </c>
      <c r="C546">
        <v>1.98</v>
      </c>
      <c r="D546" t="s">
        <v>1</v>
      </c>
      <c r="F546" t="s">
        <v>3</v>
      </c>
      <c r="G546" t="s">
        <v>16</v>
      </c>
      <c r="H546" s="128">
        <f>C546/B546*100</f>
        <v>0.98999999999999988</v>
      </c>
    </row>
    <row r="547" spans="1:8" ht="15" customHeight="1">
      <c r="A547" s="88">
        <v>43921.690271909698</v>
      </c>
      <c r="B547" s="144">
        <v>500</v>
      </c>
      <c r="C547">
        <v>4.95</v>
      </c>
      <c r="D547" t="s">
        <v>1</v>
      </c>
      <c r="F547" t="s">
        <v>3</v>
      </c>
      <c r="G547" t="s">
        <v>266</v>
      </c>
    </row>
    <row r="548" spans="1:8" ht="15" customHeight="1">
      <c r="A548" s="88">
        <v>43924.7151312153</v>
      </c>
      <c r="B548" s="144">
        <v>470</v>
      </c>
      <c r="C548">
        <v>4.6529999999999996</v>
      </c>
      <c r="D548" t="s">
        <v>1</v>
      </c>
      <c r="F548" t="s">
        <v>3</v>
      </c>
      <c r="G548" t="s">
        <v>284</v>
      </c>
    </row>
    <row r="549" spans="1:8" ht="15" customHeight="1">
      <c r="A549" s="88">
        <v>43924.7151312153</v>
      </c>
      <c r="B549" s="144">
        <v>1000</v>
      </c>
      <c r="C549">
        <v>9.9</v>
      </c>
      <c r="D549" t="s">
        <v>1</v>
      </c>
      <c r="F549" t="s">
        <v>3</v>
      </c>
      <c r="G549" t="s">
        <v>284</v>
      </c>
    </row>
    <row r="550" spans="1:8" ht="15" customHeight="1">
      <c r="A550" s="88">
        <v>43924.7151312153</v>
      </c>
      <c r="B550" s="144">
        <v>200</v>
      </c>
      <c r="C550">
        <v>1.98</v>
      </c>
      <c r="D550" t="s">
        <v>1</v>
      </c>
      <c r="E550" t="s">
        <v>82</v>
      </c>
      <c r="F550" t="s">
        <v>3</v>
      </c>
      <c r="G550" t="s">
        <v>364</v>
      </c>
    </row>
    <row r="551" spans="1:8" ht="15" customHeight="1">
      <c r="A551" s="88">
        <v>43936.699772303196</v>
      </c>
      <c r="B551" s="144">
        <v>2000</v>
      </c>
      <c r="C551">
        <v>19.8</v>
      </c>
      <c r="D551" t="s">
        <v>1</v>
      </c>
      <c r="E551" t="s">
        <v>64</v>
      </c>
      <c r="F551" t="s">
        <v>3</v>
      </c>
      <c r="G551" t="s">
        <v>369</v>
      </c>
    </row>
    <row r="552" spans="1:8" ht="15" customHeight="1">
      <c r="A552" s="88">
        <v>43937.706453553197</v>
      </c>
      <c r="B552" s="144">
        <v>300</v>
      </c>
      <c r="C552">
        <v>2.97</v>
      </c>
      <c r="D552" t="s">
        <v>1</v>
      </c>
      <c r="E552" t="s">
        <v>58</v>
      </c>
      <c r="F552" t="s">
        <v>3</v>
      </c>
      <c r="G552" t="s">
        <v>322</v>
      </c>
    </row>
    <row r="553" spans="1:8" ht="15" customHeight="1">
      <c r="A553" s="88">
        <v>44029.674893715302</v>
      </c>
      <c r="B553">
        <v>300</v>
      </c>
      <c r="C553">
        <v>2.97</v>
      </c>
      <c r="D553" t="s">
        <v>1</v>
      </c>
      <c r="E553" t="s">
        <v>74</v>
      </c>
      <c r="F553" t="s">
        <v>3</v>
      </c>
      <c r="G553" t="s">
        <v>75</v>
      </c>
    </row>
    <row r="554" spans="1:8" ht="15" customHeight="1">
      <c r="A554" s="88">
        <v>43938.735082986102</v>
      </c>
      <c r="B554" s="144">
        <v>200</v>
      </c>
      <c r="C554">
        <v>1.98</v>
      </c>
      <c r="D554" t="s">
        <v>1</v>
      </c>
      <c r="E554" t="s">
        <v>15</v>
      </c>
      <c r="F554" t="s">
        <v>3</v>
      </c>
      <c r="G554" t="s">
        <v>16</v>
      </c>
      <c r="H554" s="128">
        <f>C554/B554*100</f>
        <v>0.98999999999999988</v>
      </c>
    </row>
    <row r="555" spans="1:8" ht="15" customHeight="1">
      <c r="A555" s="88">
        <v>43941.687143634299</v>
      </c>
      <c r="B555" s="144">
        <v>2200</v>
      </c>
      <c r="C555">
        <v>21.78</v>
      </c>
      <c r="D555" t="s">
        <v>1</v>
      </c>
      <c r="E555" t="s">
        <v>33</v>
      </c>
      <c r="F555" t="s">
        <v>3</v>
      </c>
      <c r="G555" t="s">
        <v>347</v>
      </c>
    </row>
    <row r="556" spans="1:8" ht="15" customHeight="1">
      <c r="A556" s="88">
        <v>43945.683757025501</v>
      </c>
      <c r="B556" s="144">
        <v>200</v>
      </c>
      <c r="C556">
        <v>1.98</v>
      </c>
      <c r="D556" t="s">
        <v>1</v>
      </c>
      <c r="E556" t="s">
        <v>69</v>
      </c>
      <c r="F556" t="s">
        <v>3</v>
      </c>
      <c r="G556" t="s">
        <v>339</v>
      </c>
    </row>
    <row r="557" spans="1:8" ht="15" customHeight="1">
      <c r="A557" s="88">
        <v>43949.675966053197</v>
      </c>
      <c r="B557" s="144">
        <v>300</v>
      </c>
      <c r="C557">
        <v>2.97</v>
      </c>
      <c r="D557" t="s">
        <v>1</v>
      </c>
      <c r="E557" t="s">
        <v>21</v>
      </c>
      <c r="F557" t="s">
        <v>3</v>
      </c>
      <c r="G557" t="s">
        <v>277</v>
      </c>
    </row>
    <row r="558" spans="1:8" ht="15" customHeight="1">
      <c r="A558" s="88">
        <v>43949.675966053197</v>
      </c>
      <c r="B558" s="144">
        <v>200</v>
      </c>
      <c r="C558">
        <v>1.98</v>
      </c>
      <c r="D558" t="s">
        <v>1</v>
      </c>
      <c r="E558" t="s">
        <v>13</v>
      </c>
      <c r="F558" t="s">
        <v>3</v>
      </c>
      <c r="G558" t="s">
        <v>273</v>
      </c>
    </row>
    <row r="559" spans="1:8" ht="15" customHeight="1">
      <c r="A559" s="88">
        <v>43949.675966053197</v>
      </c>
      <c r="B559" s="144">
        <v>400</v>
      </c>
      <c r="C559">
        <v>3.96</v>
      </c>
      <c r="D559" t="s">
        <v>1</v>
      </c>
      <c r="E559" t="s">
        <v>54</v>
      </c>
      <c r="F559" t="s">
        <v>3</v>
      </c>
      <c r="G559" t="s">
        <v>55</v>
      </c>
    </row>
    <row r="560" spans="1:8" ht="15" customHeight="1">
      <c r="A560" s="88">
        <v>43949.675966053197</v>
      </c>
      <c r="B560" s="144">
        <v>200</v>
      </c>
      <c r="C560">
        <v>1.98</v>
      </c>
      <c r="D560" t="s">
        <v>1</v>
      </c>
      <c r="E560" t="s">
        <v>53</v>
      </c>
      <c r="F560" t="s">
        <v>3</v>
      </c>
      <c r="G560" t="s">
        <v>81</v>
      </c>
    </row>
    <row r="561" spans="1:8" ht="15" customHeight="1">
      <c r="A561" s="88">
        <v>43949.675966053197</v>
      </c>
      <c r="B561" s="144">
        <v>200</v>
      </c>
      <c r="C561">
        <v>1.98</v>
      </c>
      <c r="D561" t="s">
        <v>1</v>
      </c>
      <c r="E561" t="s">
        <v>68</v>
      </c>
      <c r="F561" t="s">
        <v>3</v>
      </c>
      <c r="G561" t="s">
        <v>361</v>
      </c>
    </row>
    <row r="562" spans="1:8" ht="15" customHeight="1">
      <c r="A562" s="88">
        <v>43949.675966053197</v>
      </c>
      <c r="B562" s="144">
        <v>200</v>
      </c>
      <c r="C562">
        <v>1.98</v>
      </c>
      <c r="D562" t="s">
        <v>1</v>
      </c>
      <c r="E562" t="s">
        <v>65</v>
      </c>
      <c r="F562" t="s">
        <v>3</v>
      </c>
      <c r="G562" t="s">
        <v>331</v>
      </c>
    </row>
    <row r="563" spans="1:8" ht="15" customHeight="1">
      <c r="A563" s="88">
        <v>43949.675966053197</v>
      </c>
      <c r="B563" s="144">
        <v>200</v>
      </c>
      <c r="C563">
        <v>1.98</v>
      </c>
      <c r="D563" t="s">
        <v>1</v>
      </c>
      <c r="E563" t="s">
        <v>24</v>
      </c>
      <c r="F563" t="s">
        <v>3</v>
      </c>
      <c r="G563" t="s">
        <v>285</v>
      </c>
    </row>
    <row r="564" spans="1:8" ht="15" customHeight="1">
      <c r="A564" s="88">
        <v>43950.675852974498</v>
      </c>
      <c r="B564">
        <v>700</v>
      </c>
      <c r="C564">
        <v>6.93</v>
      </c>
      <c r="D564" t="s">
        <v>1</v>
      </c>
      <c r="E564" t="s">
        <v>87</v>
      </c>
      <c r="F564" t="s">
        <v>3</v>
      </c>
      <c r="G564" t="s">
        <v>370</v>
      </c>
    </row>
    <row r="565" spans="1:8" ht="15" customHeight="1">
      <c r="A565" s="88">
        <v>43950.675852974498</v>
      </c>
      <c r="B565" s="144">
        <v>200</v>
      </c>
      <c r="C565">
        <v>1.98</v>
      </c>
      <c r="D565" t="s">
        <v>1</v>
      </c>
      <c r="E565" t="s">
        <v>36</v>
      </c>
      <c r="F565" t="s">
        <v>3</v>
      </c>
      <c r="G565" t="s">
        <v>299</v>
      </c>
    </row>
    <row r="566" spans="1:8" ht="15" customHeight="1">
      <c r="A566" s="88">
        <v>43950.675852974498</v>
      </c>
      <c r="B566" s="144">
        <v>500</v>
      </c>
      <c r="C566">
        <v>4.95</v>
      </c>
      <c r="D566" t="s">
        <v>1</v>
      </c>
      <c r="E566" t="s">
        <v>61</v>
      </c>
      <c r="F566" t="s">
        <v>3</v>
      </c>
      <c r="G566" t="s">
        <v>326</v>
      </c>
    </row>
    <row r="567" spans="1:8" ht="15" customHeight="1">
      <c r="A567" s="88">
        <v>43950.675852974498</v>
      </c>
      <c r="B567" s="144">
        <v>200</v>
      </c>
      <c r="C567">
        <v>1.98</v>
      </c>
      <c r="D567" t="s">
        <v>1</v>
      </c>
      <c r="E567" t="s">
        <v>50</v>
      </c>
      <c r="F567" t="s">
        <v>3</v>
      </c>
      <c r="G567" t="s">
        <v>316</v>
      </c>
    </row>
    <row r="568" spans="1:8" ht="15" customHeight="1">
      <c r="A568" s="88">
        <v>43951.684727395797</v>
      </c>
      <c r="B568" s="144">
        <v>200</v>
      </c>
      <c r="C568">
        <v>1.98</v>
      </c>
      <c r="D568" t="s">
        <v>1</v>
      </c>
      <c r="E568" t="s">
        <v>6</v>
      </c>
      <c r="F568" t="s">
        <v>3</v>
      </c>
      <c r="G568" t="s">
        <v>266</v>
      </c>
    </row>
    <row r="569" spans="1:8" ht="15" customHeight="1">
      <c r="A569" s="88">
        <v>43955.6917256944</v>
      </c>
      <c r="B569" s="144">
        <v>400</v>
      </c>
      <c r="C569">
        <v>3.96</v>
      </c>
      <c r="D569" t="s">
        <v>1</v>
      </c>
      <c r="E569" t="s">
        <v>77</v>
      </c>
      <c r="F569" t="s">
        <v>3</v>
      </c>
      <c r="G569" t="s">
        <v>356</v>
      </c>
    </row>
    <row r="570" spans="1:8" ht="15" customHeight="1">
      <c r="A570" s="88">
        <v>43955.6917256944</v>
      </c>
      <c r="B570" s="144">
        <v>600</v>
      </c>
      <c r="C570">
        <v>5.94</v>
      </c>
      <c r="D570" t="s">
        <v>1</v>
      </c>
      <c r="E570" t="s">
        <v>86</v>
      </c>
      <c r="F570" t="s">
        <v>3</v>
      </c>
      <c r="G570" t="s">
        <v>367</v>
      </c>
    </row>
    <row r="571" spans="1:8" ht="15" customHeight="1">
      <c r="A571" s="88">
        <v>43958.142469791703</v>
      </c>
      <c r="B571" s="144">
        <v>200</v>
      </c>
      <c r="C571">
        <v>1.98</v>
      </c>
      <c r="D571" t="s">
        <v>1</v>
      </c>
      <c r="E571" t="s">
        <v>82</v>
      </c>
      <c r="F571" t="s">
        <v>3</v>
      </c>
      <c r="G571" t="s">
        <v>364</v>
      </c>
    </row>
    <row r="572" spans="1:8" ht="15" customHeight="1">
      <c r="A572" s="88">
        <v>43958.142469791703</v>
      </c>
      <c r="B572" s="144">
        <v>400</v>
      </c>
      <c r="C572">
        <v>3.96</v>
      </c>
      <c r="D572" t="s">
        <v>1</v>
      </c>
      <c r="E572" t="s">
        <v>46</v>
      </c>
      <c r="F572" t="s">
        <v>3</v>
      </c>
      <c r="G572" t="s">
        <v>311</v>
      </c>
    </row>
    <row r="573" spans="1:8" ht="15" customHeight="1">
      <c r="A573" s="88">
        <v>44060.7079360301</v>
      </c>
      <c r="B573">
        <v>300</v>
      </c>
      <c r="C573">
        <v>2.97</v>
      </c>
      <c r="D573" t="s">
        <v>1</v>
      </c>
      <c r="E573" t="s">
        <v>74</v>
      </c>
      <c r="F573" t="s">
        <v>3</v>
      </c>
      <c r="G573" t="s">
        <v>75</v>
      </c>
    </row>
    <row r="574" spans="1:8" ht="15" customHeight="1">
      <c r="A574" s="88">
        <v>43970.676260497698</v>
      </c>
      <c r="B574" s="144">
        <v>200</v>
      </c>
      <c r="C574">
        <v>1.98</v>
      </c>
      <c r="D574" t="s">
        <v>1</v>
      </c>
      <c r="E574" t="s">
        <v>15</v>
      </c>
      <c r="F574" t="s">
        <v>3</v>
      </c>
      <c r="G574" t="s">
        <v>16</v>
      </c>
      <c r="H574" s="128">
        <f>C574/B574*100</f>
        <v>0.98999999999999988</v>
      </c>
    </row>
    <row r="575" spans="1:8" ht="15" customHeight="1">
      <c r="A575" s="88">
        <v>43970.676260497698</v>
      </c>
      <c r="B575" s="144">
        <v>1000</v>
      </c>
      <c r="C575">
        <v>9.9</v>
      </c>
      <c r="D575" t="s">
        <v>1</v>
      </c>
      <c r="E575" t="s">
        <v>22</v>
      </c>
      <c r="F575" t="s">
        <v>3</v>
      </c>
      <c r="G575" t="s">
        <v>278</v>
      </c>
    </row>
    <row r="576" spans="1:8" ht="15" customHeight="1">
      <c r="A576" s="88">
        <v>43970.676260497698</v>
      </c>
      <c r="B576" s="144">
        <v>1000</v>
      </c>
      <c r="C576">
        <v>9.9</v>
      </c>
      <c r="D576" t="s">
        <v>1</v>
      </c>
      <c r="E576" t="s">
        <v>31</v>
      </c>
      <c r="F576" t="s">
        <v>3</v>
      </c>
      <c r="G576" t="s">
        <v>296</v>
      </c>
    </row>
    <row r="577" spans="1:8" ht="15" customHeight="1">
      <c r="A577" s="88">
        <v>43971.681056828696</v>
      </c>
      <c r="B577" s="144">
        <v>400</v>
      </c>
      <c r="C577">
        <v>9.99</v>
      </c>
      <c r="D577" t="s">
        <v>1</v>
      </c>
      <c r="E577" t="s">
        <v>23</v>
      </c>
      <c r="F577" t="s">
        <v>359</v>
      </c>
      <c r="G577" t="s">
        <v>371</v>
      </c>
    </row>
    <row r="578" spans="1:8" ht="15" customHeight="1">
      <c r="A578" s="88">
        <v>43976.673125347203</v>
      </c>
      <c r="B578" s="144">
        <v>200</v>
      </c>
      <c r="C578">
        <v>1.98</v>
      </c>
      <c r="D578" t="s">
        <v>1</v>
      </c>
      <c r="E578" t="s">
        <v>13</v>
      </c>
      <c r="F578" t="s">
        <v>3</v>
      </c>
      <c r="G578" t="s">
        <v>273</v>
      </c>
    </row>
    <row r="579" spans="1:8" ht="15" customHeight="1">
      <c r="A579" s="88">
        <v>43976.673125347203</v>
      </c>
      <c r="B579" s="144">
        <v>400</v>
      </c>
      <c r="C579">
        <v>3.96</v>
      </c>
      <c r="D579" t="s">
        <v>1</v>
      </c>
      <c r="E579" t="s">
        <v>54</v>
      </c>
      <c r="F579" t="s">
        <v>3</v>
      </c>
      <c r="G579" t="s">
        <v>55</v>
      </c>
    </row>
    <row r="580" spans="1:8" ht="15" customHeight="1">
      <c r="A580" s="88">
        <v>43977.699011111101</v>
      </c>
      <c r="B580" s="144">
        <v>200</v>
      </c>
      <c r="C580">
        <v>1.98</v>
      </c>
      <c r="D580" t="s">
        <v>1</v>
      </c>
      <c r="E580" t="s">
        <v>53</v>
      </c>
      <c r="F580" t="s">
        <v>3</v>
      </c>
      <c r="G580" t="s">
        <v>81</v>
      </c>
    </row>
    <row r="581" spans="1:8" ht="15" customHeight="1">
      <c r="A581" s="88">
        <v>43977.699011111101</v>
      </c>
      <c r="B581" s="144">
        <v>400</v>
      </c>
      <c r="C581">
        <v>3.96</v>
      </c>
      <c r="D581" t="s">
        <v>1</v>
      </c>
      <c r="E581" t="s">
        <v>69</v>
      </c>
      <c r="F581" t="s">
        <v>3</v>
      </c>
      <c r="G581" t="s">
        <v>339</v>
      </c>
    </row>
    <row r="582" spans="1:8" ht="15" customHeight="1">
      <c r="A582" s="88">
        <v>43978.685660682902</v>
      </c>
      <c r="B582" s="144">
        <v>200</v>
      </c>
      <c r="C582">
        <v>1.98</v>
      </c>
      <c r="D582" t="s">
        <v>1</v>
      </c>
      <c r="E582" t="s">
        <v>36</v>
      </c>
      <c r="F582" t="s">
        <v>3</v>
      </c>
      <c r="G582" t="s">
        <v>299</v>
      </c>
    </row>
    <row r="583" spans="1:8" ht="15" customHeight="1">
      <c r="A583" s="88">
        <v>43978.685660682902</v>
      </c>
      <c r="B583" s="144">
        <v>200</v>
      </c>
      <c r="C583">
        <v>1.98</v>
      </c>
      <c r="D583" t="s">
        <v>1</v>
      </c>
      <c r="E583" t="s">
        <v>50</v>
      </c>
      <c r="F583" t="s">
        <v>3</v>
      </c>
      <c r="G583" t="s">
        <v>316</v>
      </c>
    </row>
    <row r="584" spans="1:8" ht="15" customHeight="1">
      <c r="A584" s="88">
        <v>43979.6881333333</v>
      </c>
      <c r="B584" s="144">
        <v>200</v>
      </c>
      <c r="C584">
        <v>1.98</v>
      </c>
      <c r="D584" t="s">
        <v>1</v>
      </c>
      <c r="E584" t="s">
        <v>77</v>
      </c>
      <c r="F584" t="s">
        <v>3</v>
      </c>
      <c r="G584" t="s">
        <v>356</v>
      </c>
    </row>
    <row r="585" spans="1:8" ht="15" customHeight="1">
      <c r="A585" s="88">
        <v>43983.7086095255</v>
      </c>
      <c r="B585" s="144">
        <v>200</v>
      </c>
      <c r="C585">
        <v>1.98</v>
      </c>
      <c r="D585" t="s">
        <v>1</v>
      </c>
      <c r="E585" t="s">
        <v>48</v>
      </c>
      <c r="F585" t="s">
        <v>3</v>
      </c>
      <c r="G585" t="s">
        <v>314</v>
      </c>
    </row>
    <row r="586" spans="1:8" ht="15" customHeight="1">
      <c r="A586" s="88">
        <v>43983.7086095255</v>
      </c>
      <c r="B586" s="144">
        <v>200</v>
      </c>
      <c r="C586">
        <v>1.98</v>
      </c>
      <c r="D586" t="s">
        <v>1</v>
      </c>
      <c r="E586" t="s">
        <v>6</v>
      </c>
      <c r="F586" t="s">
        <v>3</v>
      </c>
      <c r="G586" t="s">
        <v>266</v>
      </c>
    </row>
    <row r="587" spans="1:8" ht="15" customHeight="1">
      <c r="A587" s="88">
        <v>43985.621453784697</v>
      </c>
      <c r="B587" s="144">
        <v>600</v>
      </c>
      <c r="C587">
        <v>5.94</v>
      </c>
      <c r="D587" t="s">
        <v>1</v>
      </c>
      <c r="E587" t="s">
        <v>46</v>
      </c>
      <c r="F587" t="s">
        <v>3</v>
      </c>
      <c r="G587" t="s">
        <v>311</v>
      </c>
    </row>
    <row r="588" spans="1:8" ht="15" customHeight="1">
      <c r="A588" s="88">
        <v>43992.686596412001</v>
      </c>
      <c r="B588">
        <v>500</v>
      </c>
      <c r="C588">
        <v>4.95</v>
      </c>
      <c r="D588" t="s">
        <v>1</v>
      </c>
      <c r="E588" t="s">
        <v>7</v>
      </c>
      <c r="F588" t="s">
        <v>3</v>
      </c>
      <c r="G588" t="s">
        <v>85</v>
      </c>
    </row>
    <row r="589" spans="1:8" ht="15" customHeight="1">
      <c r="A589" s="88">
        <v>43994.758403205997</v>
      </c>
      <c r="B589">
        <v>1500</v>
      </c>
      <c r="C589">
        <v>14.85</v>
      </c>
      <c r="D589" t="s">
        <v>1</v>
      </c>
      <c r="E589" t="s">
        <v>62</v>
      </c>
      <c r="F589" t="s">
        <v>3</v>
      </c>
      <c r="G589" t="s">
        <v>328</v>
      </c>
    </row>
    <row r="590" spans="1:8" ht="15" customHeight="1">
      <c r="A590" s="88">
        <v>43997.695766284698</v>
      </c>
      <c r="B590">
        <v>4000</v>
      </c>
      <c r="C590">
        <v>29.99</v>
      </c>
      <c r="D590" t="s">
        <v>1</v>
      </c>
      <c r="E590" t="s">
        <v>34</v>
      </c>
      <c r="F590" t="s">
        <v>3</v>
      </c>
      <c r="G590" t="s">
        <v>372</v>
      </c>
    </row>
    <row r="591" spans="1:8" ht="15" customHeight="1">
      <c r="A591" s="88">
        <v>44090.670692789397</v>
      </c>
      <c r="B591">
        <v>300</v>
      </c>
      <c r="C591">
        <v>2.97</v>
      </c>
      <c r="D591" t="s">
        <v>1</v>
      </c>
      <c r="E591" t="s">
        <v>74</v>
      </c>
      <c r="F591" t="s">
        <v>3</v>
      </c>
      <c r="G591" t="s">
        <v>75</v>
      </c>
    </row>
    <row r="592" spans="1:8" ht="15" customHeight="1">
      <c r="A592" s="88">
        <v>44000.690790046297</v>
      </c>
      <c r="B592">
        <v>200</v>
      </c>
      <c r="C592">
        <v>1.98</v>
      </c>
      <c r="D592" t="s">
        <v>1</v>
      </c>
      <c r="E592" t="s">
        <v>15</v>
      </c>
      <c r="F592" t="s">
        <v>3</v>
      </c>
      <c r="G592" t="s">
        <v>16</v>
      </c>
      <c r="H592" s="128">
        <f>C592/B592*100</f>
        <v>0.98999999999999988</v>
      </c>
    </row>
    <row r="593" spans="1:8" ht="15" customHeight="1">
      <c r="A593" s="88">
        <v>44120.678397071802</v>
      </c>
      <c r="B593">
        <v>300</v>
      </c>
      <c r="C593">
        <v>2.97</v>
      </c>
      <c r="D593" t="s">
        <v>1</v>
      </c>
      <c r="E593" t="s">
        <v>74</v>
      </c>
      <c r="F593" t="s">
        <v>3</v>
      </c>
      <c r="G593" t="s">
        <v>75</v>
      </c>
      <c r="H593">
        <f>C593/B593*100</f>
        <v>0.9900000000000001</v>
      </c>
    </row>
    <row r="594" spans="1:8" ht="15" customHeight="1">
      <c r="A594" s="88">
        <v>44000.690790046297</v>
      </c>
      <c r="B594">
        <v>50</v>
      </c>
      <c r="C594">
        <v>0.495</v>
      </c>
      <c r="D594" t="s">
        <v>1</v>
      </c>
      <c r="E594" t="s">
        <v>60</v>
      </c>
      <c r="F594" t="s">
        <v>3</v>
      </c>
      <c r="G594" t="s">
        <v>324</v>
      </c>
    </row>
    <row r="595" spans="1:8" ht="15" customHeight="1">
      <c r="A595" s="88">
        <v>44000.690790046297</v>
      </c>
      <c r="B595">
        <v>450</v>
      </c>
      <c r="C595">
        <v>4.4550000000000001</v>
      </c>
      <c r="D595" t="s">
        <v>1</v>
      </c>
      <c r="E595" t="s">
        <v>60</v>
      </c>
      <c r="F595" t="s">
        <v>3</v>
      </c>
      <c r="G595" t="s">
        <v>324</v>
      </c>
    </row>
    <row r="596" spans="1:8" ht="15" customHeight="1">
      <c r="A596" s="88">
        <v>44007.706606053202</v>
      </c>
      <c r="B596">
        <v>200</v>
      </c>
      <c r="C596">
        <v>1.98</v>
      </c>
      <c r="D596" t="s">
        <v>1</v>
      </c>
      <c r="E596" t="s">
        <v>13</v>
      </c>
      <c r="F596" t="s">
        <v>3</v>
      </c>
      <c r="G596" t="s">
        <v>273</v>
      </c>
    </row>
    <row r="597" spans="1:8" ht="15" customHeight="1">
      <c r="A597" s="88">
        <v>44011.576076354198</v>
      </c>
      <c r="B597">
        <v>200</v>
      </c>
      <c r="C597">
        <v>1.98</v>
      </c>
      <c r="D597" t="s">
        <v>1</v>
      </c>
      <c r="E597" t="s">
        <v>53</v>
      </c>
      <c r="F597" t="s">
        <v>3</v>
      </c>
      <c r="G597" t="s">
        <v>81</v>
      </c>
    </row>
    <row r="598" spans="1:8" ht="15" customHeight="1">
      <c r="A598" s="88">
        <v>44011.576076354198</v>
      </c>
      <c r="B598">
        <v>200</v>
      </c>
      <c r="C598">
        <v>1.98</v>
      </c>
      <c r="D598" t="s">
        <v>1</v>
      </c>
      <c r="E598" t="s">
        <v>36</v>
      </c>
      <c r="F598" t="s">
        <v>3</v>
      </c>
      <c r="G598" t="s">
        <v>299</v>
      </c>
    </row>
    <row r="599" spans="1:8" ht="15" customHeight="1">
      <c r="A599" s="88">
        <v>44011.576076354198</v>
      </c>
      <c r="B599">
        <v>250</v>
      </c>
      <c r="C599">
        <v>2.4750000000000001</v>
      </c>
      <c r="D599" t="s">
        <v>1</v>
      </c>
      <c r="E599" t="s">
        <v>61</v>
      </c>
      <c r="F599" t="s">
        <v>3</v>
      </c>
      <c r="G599" t="s">
        <v>326</v>
      </c>
    </row>
    <row r="600" spans="1:8" ht="15" customHeight="1">
      <c r="A600" s="88">
        <v>44011.576076354198</v>
      </c>
      <c r="B600">
        <v>200</v>
      </c>
      <c r="C600">
        <v>1.98</v>
      </c>
      <c r="D600" t="s">
        <v>1</v>
      </c>
      <c r="E600" t="s">
        <v>50</v>
      </c>
      <c r="F600" t="s">
        <v>3</v>
      </c>
      <c r="G600" t="s">
        <v>316</v>
      </c>
    </row>
    <row r="601" spans="1:8" ht="15" customHeight="1">
      <c r="A601" s="88">
        <v>44011.576076354198</v>
      </c>
      <c r="B601">
        <v>200</v>
      </c>
      <c r="C601">
        <v>1.98</v>
      </c>
      <c r="D601" t="s">
        <v>1</v>
      </c>
      <c r="E601" t="s">
        <v>6</v>
      </c>
      <c r="F601" t="s">
        <v>3</v>
      </c>
      <c r="G601" t="s">
        <v>266</v>
      </c>
    </row>
    <row r="602" spans="1:8" ht="15" customHeight="1">
      <c r="A602" s="88">
        <v>44012.700474652796</v>
      </c>
      <c r="B602">
        <v>1000</v>
      </c>
      <c r="C602">
        <v>9.9</v>
      </c>
      <c r="D602" t="s">
        <v>1</v>
      </c>
      <c r="E602" t="s">
        <v>67</v>
      </c>
      <c r="F602" t="s">
        <v>3</v>
      </c>
      <c r="G602" t="s">
        <v>343</v>
      </c>
    </row>
    <row r="603" spans="1:8" ht="15" customHeight="1">
      <c r="A603" s="88">
        <v>44152.605346909702</v>
      </c>
      <c r="B603">
        <v>300</v>
      </c>
      <c r="C603">
        <v>2.97</v>
      </c>
      <c r="D603" t="s">
        <v>1</v>
      </c>
      <c r="E603" t="s">
        <v>74</v>
      </c>
      <c r="F603" t="s">
        <v>3</v>
      </c>
      <c r="G603" t="s">
        <v>75</v>
      </c>
      <c r="H603">
        <f>C603/B603*100</f>
        <v>0.9900000000000001</v>
      </c>
    </row>
    <row r="604" spans="1:8" ht="15" customHeight="1">
      <c r="A604" s="88">
        <v>44013.732798692101</v>
      </c>
      <c r="B604">
        <v>2200</v>
      </c>
      <c r="C604">
        <v>54.78</v>
      </c>
      <c r="D604" t="s">
        <v>1</v>
      </c>
      <c r="E604" t="s">
        <v>56</v>
      </c>
      <c r="F604" t="s">
        <v>359</v>
      </c>
      <c r="G604" t="s">
        <v>354</v>
      </c>
    </row>
    <row r="605" spans="1:8" ht="15" customHeight="1">
      <c r="A605" s="88">
        <v>44014.698671215301</v>
      </c>
      <c r="B605">
        <v>1000</v>
      </c>
      <c r="C605">
        <v>9.9</v>
      </c>
      <c r="D605" t="s">
        <v>1</v>
      </c>
      <c r="E605" t="s">
        <v>23</v>
      </c>
      <c r="F605" t="s">
        <v>3</v>
      </c>
      <c r="G605" t="s">
        <v>371</v>
      </c>
    </row>
    <row r="606" spans="1:8" ht="15" customHeight="1">
      <c r="A606" s="147">
        <v>44019.784962963</v>
      </c>
      <c r="B606" s="148">
        <v>800</v>
      </c>
      <c r="C606">
        <v>7.92</v>
      </c>
      <c r="D606" t="s">
        <v>1</v>
      </c>
      <c r="E606" t="s">
        <v>30</v>
      </c>
      <c r="F606" t="s">
        <v>3</v>
      </c>
      <c r="G606" t="s">
        <v>291</v>
      </c>
    </row>
    <row r="607" spans="1:8" ht="15" customHeight="1">
      <c r="A607" s="88">
        <v>44019.784962963</v>
      </c>
      <c r="B607">
        <v>400</v>
      </c>
      <c r="C607">
        <v>3.96</v>
      </c>
      <c r="D607" t="s">
        <v>1</v>
      </c>
      <c r="E607" t="s">
        <v>47</v>
      </c>
      <c r="F607" t="s">
        <v>3</v>
      </c>
      <c r="G607" t="s">
        <v>312</v>
      </c>
    </row>
    <row r="608" spans="1:8" ht="15" customHeight="1">
      <c r="A608" s="88">
        <v>44019.784962963</v>
      </c>
      <c r="B608">
        <v>200</v>
      </c>
      <c r="C608">
        <v>1.98</v>
      </c>
      <c r="D608" t="s">
        <v>1</v>
      </c>
      <c r="E608" t="s">
        <v>48</v>
      </c>
      <c r="F608" t="s">
        <v>3</v>
      </c>
      <c r="G608" t="s">
        <v>314</v>
      </c>
    </row>
    <row r="609" spans="1:8" ht="15" customHeight="1">
      <c r="A609" s="88">
        <v>44019.784962963</v>
      </c>
      <c r="B609">
        <v>1500</v>
      </c>
      <c r="C609">
        <v>14.85</v>
      </c>
      <c r="D609" t="s">
        <v>1</v>
      </c>
      <c r="E609" t="s">
        <v>45</v>
      </c>
      <c r="F609" t="s">
        <v>3</v>
      </c>
      <c r="G609" t="s">
        <v>310</v>
      </c>
    </row>
    <row r="610" spans="1:8" ht="15" customHeight="1">
      <c r="A610" s="88">
        <v>44029.674893715302</v>
      </c>
      <c r="B610">
        <v>950</v>
      </c>
      <c r="C610">
        <v>9.4049999999999994</v>
      </c>
      <c r="D610" t="s">
        <v>1</v>
      </c>
      <c r="E610" t="s">
        <v>58</v>
      </c>
      <c r="F610" t="s">
        <v>3</v>
      </c>
      <c r="G610" t="s">
        <v>322</v>
      </c>
    </row>
    <row r="611" spans="1:8" ht="15" customHeight="1">
      <c r="A611" s="88">
        <v>44029.674893715302</v>
      </c>
      <c r="B611">
        <v>2000</v>
      </c>
      <c r="C611">
        <v>19.8</v>
      </c>
      <c r="D611" t="s">
        <v>1</v>
      </c>
      <c r="E611" t="s">
        <v>62</v>
      </c>
      <c r="F611" t="s">
        <v>3</v>
      </c>
      <c r="G611" t="s">
        <v>328</v>
      </c>
    </row>
    <row r="612" spans="1:8" ht="15" customHeight="1">
      <c r="A612" s="88">
        <v>44182.682770405103</v>
      </c>
      <c r="B612">
        <v>300</v>
      </c>
      <c r="C612">
        <v>2.97</v>
      </c>
      <c r="D612" t="s">
        <v>1</v>
      </c>
      <c r="E612" t="s">
        <v>74</v>
      </c>
      <c r="F612" t="s">
        <v>3</v>
      </c>
      <c r="G612" t="s">
        <v>75</v>
      </c>
    </row>
    <row r="613" spans="1:8" ht="15" customHeight="1">
      <c r="A613" s="88">
        <v>44036.740959178198</v>
      </c>
      <c r="B613">
        <v>100</v>
      </c>
      <c r="C613">
        <v>0.99</v>
      </c>
      <c r="D613" t="s">
        <v>1</v>
      </c>
      <c r="E613" t="s">
        <v>48</v>
      </c>
      <c r="F613" t="s">
        <v>3</v>
      </c>
      <c r="G613" t="s">
        <v>314</v>
      </c>
    </row>
    <row r="614" spans="1:8" ht="15" customHeight="1">
      <c r="A614" s="88">
        <v>44036.740959178198</v>
      </c>
      <c r="B614">
        <v>400</v>
      </c>
      <c r="C614">
        <v>3.96</v>
      </c>
      <c r="D614" t="s">
        <v>1</v>
      </c>
      <c r="E614" t="s">
        <v>69</v>
      </c>
      <c r="F614" t="s">
        <v>3</v>
      </c>
      <c r="G614" t="s">
        <v>339</v>
      </c>
    </row>
    <row r="615" spans="1:8" ht="15" customHeight="1">
      <c r="A615" s="88">
        <v>44039.717550925903</v>
      </c>
      <c r="B615">
        <v>200</v>
      </c>
      <c r="C615">
        <v>1.98</v>
      </c>
      <c r="D615" t="s">
        <v>1</v>
      </c>
      <c r="E615" t="s">
        <v>13</v>
      </c>
      <c r="F615" t="s">
        <v>3</v>
      </c>
      <c r="G615" t="s">
        <v>273</v>
      </c>
    </row>
    <row r="616" spans="1:8" ht="15" customHeight="1">
      <c r="A616" s="88">
        <v>44039.717550925903</v>
      </c>
      <c r="B616">
        <v>250</v>
      </c>
      <c r="C616">
        <v>2.4750000000000001</v>
      </c>
      <c r="D616" t="s">
        <v>1</v>
      </c>
      <c r="E616" t="s">
        <v>11</v>
      </c>
      <c r="F616" t="s">
        <v>3</v>
      </c>
      <c r="G616" t="s">
        <v>271</v>
      </c>
    </row>
    <row r="617" spans="1:8" ht="15" customHeight="1">
      <c r="A617" s="88">
        <v>44039.717550925903</v>
      </c>
      <c r="B617">
        <v>400</v>
      </c>
      <c r="C617">
        <v>3.96</v>
      </c>
      <c r="D617" t="s">
        <v>1</v>
      </c>
      <c r="E617" t="s">
        <v>54</v>
      </c>
      <c r="F617" t="s">
        <v>3</v>
      </c>
      <c r="G617" t="s">
        <v>55</v>
      </c>
    </row>
    <row r="618" spans="1:8" ht="15" customHeight="1">
      <c r="A618" s="88">
        <v>44039.717550925903</v>
      </c>
      <c r="B618">
        <v>200</v>
      </c>
      <c r="C618">
        <v>1.98</v>
      </c>
      <c r="D618" t="s">
        <v>1</v>
      </c>
      <c r="E618" t="s">
        <v>53</v>
      </c>
      <c r="F618" t="s">
        <v>3</v>
      </c>
      <c r="G618" t="s">
        <v>81</v>
      </c>
    </row>
    <row r="619" spans="1:8" ht="15" customHeight="1">
      <c r="A619" s="88">
        <v>44039.717550925903</v>
      </c>
      <c r="B619">
        <v>200</v>
      </c>
      <c r="C619">
        <v>1.98</v>
      </c>
      <c r="D619" t="s">
        <v>1</v>
      </c>
      <c r="E619" t="s">
        <v>36</v>
      </c>
      <c r="F619" t="s">
        <v>3</v>
      </c>
      <c r="G619" t="s">
        <v>299</v>
      </c>
    </row>
    <row r="620" spans="1:8" ht="15" customHeight="1">
      <c r="A620" s="88">
        <v>44040.667731330999</v>
      </c>
      <c r="B620">
        <v>200</v>
      </c>
      <c r="C620">
        <v>1.98</v>
      </c>
      <c r="D620" t="s">
        <v>1</v>
      </c>
      <c r="E620" t="s">
        <v>50</v>
      </c>
      <c r="F620" t="s">
        <v>3</v>
      </c>
      <c r="G620" t="s">
        <v>316</v>
      </c>
    </row>
    <row r="621" spans="1:8" ht="15" customHeight="1">
      <c r="A621" s="88">
        <v>44214.577607025501</v>
      </c>
      <c r="B621">
        <v>300</v>
      </c>
      <c r="C621">
        <v>2.97</v>
      </c>
      <c r="D621" t="s">
        <v>1</v>
      </c>
      <c r="E621" t="s">
        <v>74</v>
      </c>
      <c r="F621" t="s">
        <v>3</v>
      </c>
      <c r="G621" t="s">
        <v>75</v>
      </c>
      <c r="H621">
        <f>C621/B621*100</f>
        <v>0.9900000000000001</v>
      </c>
    </row>
    <row r="622" spans="1:8" ht="15" customHeight="1">
      <c r="A622" s="88">
        <v>44042.681644988399</v>
      </c>
      <c r="B622">
        <v>600</v>
      </c>
      <c r="C622">
        <v>5.94</v>
      </c>
      <c r="D622" t="s">
        <v>1</v>
      </c>
      <c r="E622" t="s">
        <v>20</v>
      </c>
      <c r="F622" t="s">
        <v>3</v>
      </c>
      <c r="G622" t="s">
        <v>283</v>
      </c>
    </row>
    <row r="623" spans="1:8" ht="15" customHeight="1">
      <c r="A623" s="88">
        <v>44042.681644988399</v>
      </c>
      <c r="B623">
        <v>200</v>
      </c>
      <c r="C623">
        <v>1.98</v>
      </c>
      <c r="D623" t="s">
        <v>1</v>
      </c>
      <c r="E623" t="s">
        <v>6</v>
      </c>
      <c r="F623" t="s">
        <v>3</v>
      </c>
      <c r="G623" t="s">
        <v>266</v>
      </c>
    </row>
    <row r="624" spans="1:8" ht="15" customHeight="1">
      <c r="A624" s="88">
        <v>44043.601010729202</v>
      </c>
      <c r="B624">
        <v>300</v>
      </c>
      <c r="C624">
        <v>2.97</v>
      </c>
      <c r="D624" t="s">
        <v>1</v>
      </c>
      <c r="E624" t="s">
        <v>15</v>
      </c>
      <c r="F624" t="s">
        <v>3</v>
      </c>
      <c r="G624" t="s">
        <v>16</v>
      </c>
      <c r="H624" s="128">
        <f>C624/B624*100</f>
        <v>0.9900000000000001</v>
      </c>
    </row>
    <row r="625" spans="1:8" ht="15" customHeight="1">
      <c r="A625" s="88">
        <v>44043.601010729202</v>
      </c>
      <c r="B625">
        <v>200</v>
      </c>
      <c r="C625">
        <v>1.98</v>
      </c>
      <c r="D625" t="s">
        <v>1</v>
      </c>
      <c r="E625" t="s">
        <v>23</v>
      </c>
      <c r="F625" t="s">
        <v>3</v>
      </c>
      <c r="G625" t="s">
        <v>371</v>
      </c>
    </row>
    <row r="626" spans="1:8" ht="15" customHeight="1">
      <c r="A626" s="88">
        <v>44043.601010729202</v>
      </c>
      <c r="B626">
        <v>300</v>
      </c>
      <c r="C626">
        <v>2.97</v>
      </c>
      <c r="D626" t="s">
        <v>1</v>
      </c>
      <c r="E626" t="s">
        <v>67</v>
      </c>
      <c r="F626" t="s">
        <v>3</v>
      </c>
      <c r="G626" t="s">
        <v>343</v>
      </c>
    </row>
    <row r="627" spans="1:8" ht="15" customHeight="1">
      <c r="A627" s="88">
        <v>44043.601010729202</v>
      </c>
      <c r="B627">
        <v>500</v>
      </c>
      <c r="C627">
        <v>4.95</v>
      </c>
      <c r="D627" t="s">
        <v>1</v>
      </c>
      <c r="E627" t="s">
        <v>61</v>
      </c>
      <c r="F627" t="s">
        <v>3</v>
      </c>
      <c r="G627" t="s">
        <v>326</v>
      </c>
    </row>
    <row r="628" spans="1:8" ht="15" customHeight="1">
      <c r="A628" s="88">
        <v>44054.6629437847</v>
      </c>
      <c r="B628">
        <v>600</v>
      </c>
      <c r="C628">
        <v>5.94</v>
      </c>
      <c r="D628" t="s">
        <v>1</v>
      </c>
      <c r="E628" t="s">
        <v>88</v>
      </c>
      <c r="F628" t="s">
        <v>3</v>
      </c>
      <c r="G628" t="s">
        <v>373</v>
      </c>
    </row>
    <row r="629" spans="1:8" ht="15" customHeight="1">
      <c r="A629" s="88">
        <v>44243.669476504598</v>
      </c>
      <c r="B629">
        <v>300</v>
      </c>
      <c r="C629">
        <v>2.97</v>
      </c>
      <c r="D629" t="s">
        <v>1</v>
      </c>
      <c r="E629" t="s">
        <v>74</v>
      </c>
      <c r="F629" t="s">
        <v>3</v>
      </c>
      <c r="G629" t="s">
        <v>75</v>
      </c>
    </row>
    <row r="630" spans="1:8" ht="15" customHeight="1">
      <c r="A630" s="88">
        <v>44061.672557523103</v>
      </c>
      <c r="B630">
        <v>1300</v>
      </c>
      <c r="C630">
        <v>12.87</v>
      </c>
      <c r="D630" t="s">
        <v>1</v>
      </c>
      <c r="E630" t="s">
        <v>80</v>
      </c>
      <c r="F630" t="s">
        <v>3</v>
      </c>
      <c r="G630" t="s">
        <v>362</v>
      </c>
    </row>
    <row r="631" spans="1:8" ht="15" customHeight="1">
      <c r="A631" s="88">
        <v>44062.712755208297</v>
      </c>
      <c r="B631">
        <v>200</v>
      </c>
      <c r="C631">
        <v>1.98</v>
      </c>
      <c r="D631" t="s">
        <v>1</v>
      </c>
      <c r="E631" t="s">
        <v>15</v>
      </c>
      <c r="F631" t="s">
        <v>3</v>
      </c>
      <c r="G631" t="s">
        <v>16</v>
      </c>
      <c r="H631" s="128">
        <f>C631/B631*100</f>
        <v>0.98999999999999988</v>
      </c>
    </row>
    <row r="632" spans="1:8" ht="15" customHeight="1">
      <c r="A632" s="88">
        <v>44067.674551006901</v>
      </c>
      <c r="B632">
        <v>200</v>
      </c>
      <c r="C632">
        <v>1.98</v>
      </c>
      <c r="D632" t="s">
        <v>1</v>
      </c>
      <c r="E632" t="s">
        <v>48</v>
      </c>
      <c r="F632" t="s">
        <v>3</v>
      </c>
      <c r="G632" t="s">
        <v>314</v>
      </c>
    </row>
    <row r="633" spans="1:8" ht="15" customHeight="1">
      <c r="A633" s="88">
        <v>44068.662480289298</v>
      </c>
      <c r="B633">
        <v>200</v>
      </c>
      <c r="C633">
        <v>1.98</v>
      </c>
      <c r="D633" t="s">
        <v>1</v>
      </c>
      <c r="E633" t="s">
        <v>13</v>
      </c>
      <c r="F633" t="s">
        <v>3</v>
      </c>
      <c r="G633" t="s">
        <v>273</v>
      </c>
    </row>
    <row r="634" spans="1:8" ht="15" customHeight="1">
      <c r="A634" s="88">
        <v>44068.662480289298</v>
      </c>
      <c r="B634">
        <v>400</v>
      </c>
      <c r="C634">
        <v>3.96</v>
      </c>
      <c r="D634" t="s">
        <v>1</v>
      </c>
      <c r="E634" t="s">
        <v>54</v>
      </c>
      <c r="F634" t="s">
        <v>3</v>
      </c>
      <c r="G634" t="s">
        <v>55</v>
      </c>
    </row>
    <row r="635" spans="1:8" ht="15" customHeight="1">
      <c r="A635" s="88">
        <v>44068.662480289298</v>
      </c>
      <c r="B635">
        <v>200</v>
      </c>
      <c r="C635">
        <v>1.98</v>
      </c>
      <c r="D635" t="s">
        <v>1</v>
      </c>
      <c r="E635" t="s">
        <v>25</v>
      </c>
      <c r="F635" t="s">
        <v>3</v>
      </c>
      <c r="G635" t="s">
        <v>374</v>
      </c>
    </row>
    <row r="636" spans="1:8" ht="15" customHeight="1">
      <c r="A636" s="88">
        <v>44068.662480289298</v>
      </c>
      <c r="B636">
        <v>200</v>
      </c>
      <c r="C636">
        <v>1.98</v>
      </c>
      <c r="D636" t="s">
        <v>1</v>
      </c>
      <c r="E636" t="s">
        <v>46</v>
      </c>
      <c r="F636" t="s">
        <v>3</v>
      </c>
      <c r="G636" t="s">
        <v>311</v>
      </c>
    </row>
    <row r="637" spans="1:8" ht="15" customHeight="1">
      <c r="A637" s="88">
        <v>44069.651288043999</v>
      </c>
      <c r="B637">
        <v>200</v>
      </c>
      <c r="C637">
        <v>1.98</v>
      </c>
      <c r="D637" t="s">
        <v>1</v>
      </c>
      <c r="E637" t="s">
        <v>53</v>
      </c>
      <c r="F637" t="s">
        <v>3</v>
      </c>
      <c r="G637" t="s">
        <v>81</v>
      </c>
    </row>
    <row r="638" spans="1:8" ht="15" customHeight="1">
      <c r="A638" s="88">
        <v>44069.651288043999</v>
      </c>
      <c r="B638">
        <v>400</v>
      </c>
      <c r="C638">
        <v>3.96</v>
      </c>
      <c r="D638" t="s">
        <v>1</v>
      </c>
      <c r="E638" t="s">
        <v>69</v>
      </c>
      <c r="F638" t="s">
        <v>3</v>
      </c>
      <c r="G638" t="s">
        <v>339</v>
      </c>
    </row>
    <row r="639" spans="1:8" ht="15" customHeight="1">
      <c r="A639" s="88">
        <v>44069.651288043999</v>
      </c>
      <c r="B639">
        <v>200</v>
      </c>
      <c r="C639">
        <v>1.98</v>
      </c>
      <c r="D639" t="s">
        <v>1</v>
      </c>
      <c r="E639" t="s">
        <v>36</v>
      </c>
      <c r="F639" t="s">
        <v>3</v>
      </c>
      <c r="G639" t="s">
        <v>299</v>
      </c>
    </row>
    <row r="640" spans="1:8" ht="15" customHeight="1">
      <c r="A640" s="88">
        <v>44070.671698611099</v>
      </c>
      <c r="B640">
        <v>1000</v>
      </c>
      <c r="C640">
        <v>9.9</v>
      </c>
      <c r="D640" t="s">
        <v>1</v>
      </c>
      <c r="E640" t="s">
        <v>31</v>
      </c>
      <c r="F640" t="s">
        <v>3</v>
      </c>
      <c r="G640" t="s">
        <v>296</v>
      </c>
    </row>
    <row r="641" spans="1:8" ht="15" customHeight="1">
      <c r="A641" s="88">
        <v>44070.671698611099</v>
      </c>
      <c r="B641">
        <v>200</v>
      </c>
      <c r="C641">
        <v>1.98</v>
      </c>
      <c r="D641" t="s">
        <v>1</v>
      </c>
      <c r="E641" t="s">
        <v>50</v>
      </c>
      <c r="F641" t="s">
        <v>3</v>
      </c>
      <c r="G641" t="s">
        <v>316</v>
      </c>
    </row>
    <row r="642" spans="1:8" ht="15" customHeight="1">
      <c r="A642" s="88">
        <v>44071.507247372698</v>
      </c>
      <c r="B642">
        <v>1088.67</v>
      </c>
      <c r="C642">
        <v>10.777799999999999</v>
      </c>
      <c r="D642" t="s">
        <v>1</v>
      </c>
      <c r="E642" t="s">
        <v>10</v>
      </c>
      <c r="F642" t="s">
        <v>3</v>
      </c>
      <c r="G642" t="s">
        <v>375</v>
      </c>
    </row>
    <row r="643" spans="1:8" ht="15" customHeight="1">
      <c r="A643" s="88">
        <v>44071.507247372698</v>
      </c>
      <c r="B643">
        <v>2000</v>
      </c>
      <c r="C643">
        <v>19.8</v>
      </c>
      <c r="D643" t="s">
        <v>1</v>
      </c>
      <c r="E643" t="s">
        <v>23</v>
      </c>
      <c r="F643" t="s">
        <v>3</v>
      </c>
      <c r="G643" t="s">
        <v>371</v>
      </c>
    </row>
    <row r="644" spans="1:8" ht="15" customHeight="1">
      <c r="A644" s="88">
        <v>44071.507247372698</v>
      </c>
      <c r="B644">
        <v>300</v>
      </c>
      <c r="C644">
        <v>2.97</v>
      </c>
      <c r="D644" t="s">
        <v>1</v>
      </c>
      <c r="E644" t="s">
        <v>67</v>
      </c>
      <c r="F644" t="s">
        <v>3</v>
      </c>
      <c r="G644" t="s">
        <v>343</v>
      </c>
    </row>
    <row r="645" spans="1:8" ht="15" customHeight="1">
      <c r="A645" s="88">
        <v>44071.507247372698</v>
      </c>
      <c r="B645">
        <v>1415.15</v>
      </c>
      <c r="C645">
        <v>14.0099</v>
      </c>
      <c r="D645" t="s">
        <v>1</v>
      </c>
      <c r="E645" t="s">
        <v>57</v>
      </c>
      <c r="F645" t="s">
        <v>3</v>
      </c>
      <c r="G645" t="s">
        <v>376</v>
      </c>
    </row>
    <row r="646" spans="1:8" ht="15" customHeight="1">
      <c r="A646" s="88">
        <v>44074.633435416697</v>
      </c>
      <c r="B646">
        <v>200</v>
      </c>
      <c r="C646">
        <v>1.98</v>
      </c>
      <c r="D646" t="s">
        <v>1</v>
      </c>
      <c r="E646" t="s">
        <v>6</v>
      </c>
      <c r="F646" t="s">
        <v>3</v>
      </c>
      <c r="G646" t="s">
        <v>266</v>
      </c>
    </row>
    <row r="647" spans="1:8" ht="15" customHeight="1">
      <c r="A647" s="136">
        <v>44078.665922534703</v>
      </c>
      <c r="B647" s="134">
        <v>200</v>
      </c>
      <c r="C647" s="134">
        <v>1.98</v>
      </c>
      <c r="D647" s="134" t="s">
        <v>1</v>
      </c>
      <c r="E647" s="134" t="s">
        <v>19</v>
      </c>
      <c r="F647" s="134" t="s">
        <v>3</v>
      </c>
      <c r="G647" s="134" t="s">
        <v>377</v>
      </c>
      <c r="H647">
        <f>C647/B647*100</f>
        <v>0.98999999999999988</v>
      </c>
    </row>
    <row r="648" spans="1:8" ht="15" customHeight="1">
      <c r="A648" s="88">
        <v>44081.561504513898</v>
      </c>
      <c r="B648">
        <v>1000</v>
      </c>
      <c r="C648">
        <v>9.9</v>
      </c>
      <c r="D648" t="s">
        <v>1</v>
      </c>
      <c r="E648" t="s">
        <v>62</v>
      </c>
      <c r="F648" t="s">
        <v>3</v>
      </c>
      <c r="G648" t="s">
        <v>328</v>
      </c>
    </row>
    <row r="649" spans="1:8" ht="15" customHeight="1">
      <c r="A649" s="88">
        <v>44271.642299074098</v>
      </c>
      <c r="B649">
        <v>300</v>
      </c>
      <c r="C649">
        <v>3.3</v>
      </c>
      <c r="D649" t="s">
        <v>1</v>
      </c>
      <c r="E649" t="s">
        <v>74</v>
      </c>
      <c r="F649" t="s">
        <v>3</v>
      </c>
      <c r="G649" t="s">
        <v>75</v>
      </c>
      <c r="H649">
        <f>C649/B649*100</f>
        <v>1.0999999999999999</v>
      </c>
    </row>
    <row r="650" spans="1:8" ht="15" customHeight="1">
      <c r="A650" s="136">
        <v>44083.552096145802</v>
      </c>
      <c r="B650" s="134">
        <v>250</v>
      </c>
      <c r="C650" s="134">
        <v>2.4750000000000001</v>
      </c>
      <c r="D650" s="134" t="s">
        <v>1</v>
      </c>
      <c r="E650" s="134" t="s">
        <v>19</v>
      </c>
      <c r="F650" s="134" t="s">
        <v>3</v>
      </c>
      <c r="G650" s="134" t="s">
        <v>377</v>
      </c>
      <c r="H650">
        <f>C650/B650*100</f>
        <v>0.9900000000000001</v>
      </c>
    </row>
    <row r="651" spans="1:8" ht="15" customHeight="1">
      <c r="A651" s="136">
        <v>44083.604638807898</v>
      </c>
      <c r="B651" s="134">
        <v>250</v>
      </c>
      <c r="C651" s="134">
        <v>2.4750000000000001</v>
      </c>
      <c r="D651" s="134" t="s">
        <v>1</v>
      </c>
      <c r="E651" s="134" t="s">
        <v>19</v>
      </c>
      <c r="F651" s="134" t="s">
        <v>3</v>
      </c>
      <c r="G651" s="134" t="s">
        <v>377</v>
      </c>
      <c r="H651">
        <f>C651/B651*100</f>
        <v>0.9900000000000001</v>
      </c>
    </row>
    <row r="652" spans="1:8" ht="15" customHeight="1">
      <c r="A652" s="88">
        <v>44084.656087465301</v>
      </c>
      <c r="B652" s="144">
        <v>100</v>
      </c>
      <c r="C652">
        <v>0.99</v>
      </c>
      <c r="D652" t="s">
        <v>1</v>
      </c>
      <c r="E652" t="s">
        <v>12</v>
      </c>
      <c r="F652" t="s">
        <v>3</v>
      </c>
      <c r="G652" t="s">
        <v>378</v>
      </c>
    </row>
    <row r="653" spans="1:8" ht="15" customHeight="1">
      <c r="A653" s="88">
        <v>44090.670692789397</v>
      </c>
      <c r="B653">
        <v>1000</v>
      </c>
      <c r="C653">
        <v>9.9</v>
      </c>
      <c r="D653" t="s">
        <v>1</v>
      </c>
      <c r="E653" t="s">
        <v>62</v>
      </c>
      <c r="F653" t="s">
        <v>3</v>
      </c>
      <c r="G653" t="s">
        <v>328</v>
      </c>
    </row>
    <row r="654" spans="1:8" ht="15" customHeight="1">
      <c r="A654" s="88">
        <v>44302.5547861921</v>
      </c>
      <c r="B654">
        <v>300</v>
      </c>
      <c r="C654">
        <v>3.3</v>
      </c>
      <c r="D654" t="s">
        <v>1</v>
      </c>
      <c r="E654" t="s">
        <v>74</v>
      </c>
      <c r="F654" t="s">
        <v>3</v>
      </c>
      <c r="G654" t="s">
        <v>75</v>
      </c>
    </row>
    <row r="655" spans="1:8" ht="15" customHeight="1">
      <c r="A655" s="88">
        <v>44091.670520173597</v>
      </c>
      <c r="B655">
        <v>250</v>
      </c>
      <c r="C655">
        <v>2.4750000000000001</v>
      </c>
      <c r="D655" t="s">
        <v>1</v>
      </c>
      <c r="E655" t="s">
        <v>15</v>
      </c>
      <c r="F655" t="s">
        <v>3</v>
      </c>
      <c r="G655" t="s">
        <v>16</v>
      </c>
      <c r="H655" s="128">
        <f>C655/B655*100</f>
        <v>0.9900000000000001</v>
      </c>
    </row>
    <row r="656" spans="1:8" ht="15" customHeight="1">
      <c r="A656" s="88">
        <v>44091.670520173597</v>
      </c>
      <c r="B656">
        <v>200</v>
      </c>
      <c r="C656">
        <v>1.98</v>
      </c>
      <c r="D656" t="s">
        <v>1</v>
      </c>
      <c r="E656" t="s">
        <v>7</v>
      </c>
      <c r="F656" t="s">
        <v>3</v>
      </c>
      <c r="G656" t="s">
        <v>85</v>
      </c>
    </row>
    <row r="657" spans="1:7" ht="15" customHeight="1">
      <c r="A657" s="88">
        <v>44095.643975312501</v>
      </c>
      <c r="B657">
        <v>200</v>
      </c>
      <c r="C657">
        <v>1.98</v>
      </c>
      <c r="D657" t="s">
        <v>1</v>
      </c>
      <c r="E657" t="s">
        <v>69</v>
      </c>
      <c r="F657" t="s">
        <v>3</v>
      </c>
      <c r="G657" t="s">
        <v>339</v>
      </c>
    </row>
    <row r="658" spans="1:7" ht="15" customHeight="1">
      <c r="A658" s="88">
        <v>44095.643975312501</v>
      </c>
      <c r="B658">
        <v>200</v>
      </c>
      <c r="C658">
        <v>1.98</v>
      </c>
      <c r="D658" t="s">
        <v>1</v>
      </c>
      <c r="E658" t="s">
        <v>50</v>
      </c>
      <c r="F658" t="s">
        <v>3</v>
      </c>
      <c r="G658" t="s">
        <v>316</v>
      </c>
    </row>
    <row r="659" spans="1:7" ht="15" customHeight="1">
      <c r="A659" s="88">
        <v>44096.745632835598</v>
      </c>
      <c r="B659">
        <v>200</v>
      </c>
      <c r="C659">
        <v>1.98</v>
      </c>
      <c r="D659" t="s">
        <v>1</v>
      </c>
      <c r="E659" t="s">
        <v>48</v>
      </c>
      <c r="F659" t="s">
        <v>3</v>
      </c>
      <c r="G659" t="s">
        <v>314</v>
      </c>
    </row>
    <row r="660" spans="1:7" ht="15" customHeight="1">
      <c r="A660" s="88">
        <v>44097.673594988402</v>
      </c>
      <c r="B660">
        <v>300</v>
      </c>
      <c r="C660">
        <v>2.97</v>
      </c>
      <c r="D660" t="s">
        <v>1</v>
      </c>
      <c r="E660" t="s">
        <v>61</v>
      </c>
      <c r="F660" t="s">
        <v>3</v>
      </c>
      <c r="G660" t="s">
        <v>326</v>
      </c>
    </row>
    <row r="661" spans="1:7" ht="15" customHeight="1">
      <c r="A661" s="88">
        <v>44099.626485497698</v>
      </c>
      <c r="B661">
        <v>200</v>
      </c>
      <c r="C661">
        <v>1.98</v>
      </c>
      <c r="D661" t="s">
        <v>1</v>
      </c>
      <c r="E661" t="s">
        <v>13</v>
      </c>
      <c r="F661" t="s">
        <v>3</v>
      </c>
      <c r="G661" t="s">
        <v>273</v>
      </c>
    </row>
    <row r="662" spans="1:7" ht="15" customHeight="1">
      <c r="A662" s="88">
        <v>44099.626485497698</v>
      </c>
      <c r="B662">
        <v>200</v>
      </c>
      <c r="C662">
        <v>1.98</v>
      </c>
      <c r="D662" t="s">
        <v>1</v>
      </c>
      <c r="E662" t="s">
        <v>25</v>
      </c>
      <c r="F662" t="s">
        <v>3</v>
      </c>
      <c r="G662" t="s">
        <v>374</v>
      </c>
    </row>
    <row r="663" spans="1:7" ht="15" customHeight="1">
      <c r="A663" s="88">
        <v>44102.686730173598</v>
      </c>
      <c r="B663">
        <v>300</v>
      </c>
      <c r="C663">
        <v>2.97</v>
      </c>
      <c r="D663" t="s">
        <v>1</v>
      </c>
      <c r="E663" t="s">
        <v>21</v>
      </c>
      <c r="F663" t="s">
        <v>3</v>
      </c>
      <c r="G663" t="s">
        <v>277</v>
      </c>
    </row>
    <row r="664" spans="1:7" ht="15" customHeight="1">
      <c r="A664" s="88">
        <v>44102.686730173598</v>
      </c>
      <c r="B664">
        <v>200</v>
      </c>
      <c r="C664">
        <v>1.98</v>
      </c>
      <c r="D664" t="s">
        <v>1</v>
      </c>
      <c r="E664" t="s">
        <v>53</v>
      </c>
      <c r="F664" t="s">
        <v>3</v>
      </c>
      <c r="G664" t="s">
        <v>81</v>
      </c>
    </row>
    <row r="665" spans="1:7" ht="15" customHeight="1">
      <c r="A665" s="88">
        <v>44102.686730173598</v>
      </c>
      <c r="B665">
        <v>200</v>
      </c>
      <c r="C665">
        <v>1.98</v>
      </c>
      <c r="D665" t="s">
        <v>1</v>
      </c>
      <c r="E665" t="s">
        <v>65</v>
      </c>
      <c r="F665" t="s">
        <v>3</v>
      </c>
      <c r="G665" t="s">
        <v>331</v>
      </c>
    </row>
    <row r="666" spans="1:7" ht="15" customHeight="1">
      <c r="A666" s="88">
        <v>44102.686730173598</v>
      </c>
      <c r="B666">
        <v>200</v>
      </c>
      <c r="C666">
        <v>1.98</v>
      </c>
      <c r="D666" t="s">
        <v>1</v>
      </c>
      <c r="E666" t="s">
        <v>36</v>
      </c>
      <c r="F666" t="s">
        <v>3</v>
      </c>
      <c r="G666" t="s">
        <v>299</v>
      </c>
    </row>
    <row r="667" spans="1:7" ht="15" customHeight="1">
      <c r="A667" s="88">
        <v>44102.686730173598</v>
      </c>
      <c r="B667">
        <v>200</v>
      </c>
      <c r="C667">
        <v>1.98</v>
      </c>
      <c r="D667" t="s">
        <v>1</v>
      </c>
      <c r="E667" t="s">
        <v>24</v>
      </c>
      <c r="F667" t="s">
        <v>3</v>
      </c>
      <c r="G667" t="s">
        <v>285</v>
      </c>
    </row>
    <row r="668" spans="1:7" ht="15" customHeight="1">
      <c r="A668" s="88">
        <v>44104.656426504604</v>
      </c>
      <c r="B668">
        <v>1200</v>
      </c>
      <c r="C668">
        <v>11.88</v>
      </c>
      <c r="D668" t="s">
        <v>1</v>
      </c>
      <c r="E668" t="s">
        <v>22</v>
      </c>
      <c r="F668" t="s">
        <v>3</v>
      </c>
      <c r="G668" t="s">
        <v>278</v>
      </c>
    </row>
    <row r="669" spans="1:7" ht="15" customHeight="1">
      <c r="A669" s="88">
        <v>44109.568853472199</v>
      </c>
      <c r="B669">
        <v>300</v>
      </c>
      <c r="C669">
        <v>2.97</v>
      </c>
      <c r="D669" t="s">
        <v>1</v>
      </c>
      <c r="E669" t="s">
        <v>54</v>
      </c>
      <c r="F669" t="s">
        <v>3</v>
      </c>
      <c r="G669" t="s">
        <v>55</v>
      </c>
    </row>
    <row r="670" spans="1:7" ht="15" customHeight="1">
      <c r="A670" s="88">
        <v>44109.568853472199</v>
      </c>
      <c r="B670">
        <v>300</v>
      </c>
      <c r="C670">
        <v>2.97</v>
      </c>
      <c r="D670" t="s">
        <v>1</v>
      </c>
      <c r="E670" t="s">
        <v>67</v>
      </c>
      <c r="F670" t="s">
        <v>3</v>
      </c>
      <c r="G670" t="s">
        <v>343</v>
      </c>
    </row>
    <row r="671" spans="1:7" ht="15" customHeight="1">
      <c r="A671" s="88">
        <v>44120.488058877301</v>
      </c>
      <c r="B671">
        <v>920</v>
      </c>
      <c r="C671">
        <v>22.908000000000001</v>
      </c>
      <c r="D671" t="s">
        <v>1</v>
      </c>
      <c r="E671" t="s">
        <v>14</v>
      </c>
      <c r="F671" t="s">
        <v>274</v>
      </c>
      <c r="G671" t="s">
        <v>275</v>
      </c>
    </row>
    <row r="672" spans="1:7" ht="15" customHeight="1">
      <c r="A672" s="88">
        <v>44333.602182256902</v>
      </c>
      <c r="B672">
        <v>300</v>
      </c>
      <c r="C672">
        <v>3.3</v>
      </c>
      <c r="D672" t="s">
        <v>1</v>
      </c>
      <c r="E672" t="s">
        <v>74</v>
      </c>
      <c r="F672" t="s">
        <v>3</v>
      </c>
      <c r="G672" t="s">
        <v>75</v>
      </c>
    </row>
    <row r="673" spans="1:8" ht="15" customHeight="1">
      <c r="A673" s="88">
        <v>44124.628807407396</v>
      </c>
      <c r="B673">
        <v>300</v>
      </c>
      <c r="C673">
        <v>2.97</v>
      </c>
      <c r="D673" t="s">
        <v>1</v>
      </c>
      <c r="E673" t="s">
        <v>15</v>
      </c>
      <c r="F673" t="s">
        <v>3</v>
      </c>
      <c r="G673" t="s">
        <v>16</v>
      </c>
      <c r="H673" s="128">
        <f>C673/B673*100</f>
        <v>0.9900000000000001</v>
      </c>
    </row>
    <row r="674" spans="1:8" ht="15" customHeight="1">
      <c r="A674" s="88">
        <v>44126.661617245401</v>
      </c>
      <c r="B674">
        <v>500</v>
      </c>
      <c r="C674">
        <v>4.95</v>
      </c>
      <c r="D674" t="s">
        <v>1</v>
      </c>
      <c r="E674" t="s">
        <v>61</v>
      </c>
      <c r="F674" t="s">
        <v>3</v>
      </c>
      <c r="G674" t="s">
        <v>326</v>
      </c>
    </row>
    <row r="675" spans="1:8" ht="15" customHeight="1">
      <c r="A675" s="88">
        <v>44130.585664699101</v>
      </c>
      <c r="B675">
        <v>200</v>
      </c>
      <c r="C675">
        <v>1.98</v>
      </c>
      <c r="D675" t="s">
        <v>1</v>
      </c>
      <c r="E675" t="s">
        <v>13</v>
      </c>
      <c r="F675" t="s">
        <v>3</v>
      </c>
      <c r="G675" t="s">
        <v>273</v>
      </c>
    </row>
    <row r="676" spans="1:8" ht="15" customHeight="1">
      <c r="A676" s="124">
        <v>44130.585664699101</v>
      </c>
      <c r="B676" s="17">
        <v>600</v>
      </c>
      <c r="C676" s="125">
        <v>5.94</v>
      </c>
      <c r="D676" s="125" t="s">
        <v>1</v>
      </c>
      <c r="E676" s="125" t="s">
        <v>2</v>
      </c>
      <c r="F676" s="125" t="s">
        <v>3</v>
      </c>
      <c r="G676" s="125" t="s">
        <v>344</v>
      </c>
    </row>
    <row r="677" spans="1:8" ht="15" customHeight="1">
      <c r="A677" s="88">
        <v>44130.585664699101</v>
      </c>
      <c r="B677">
        <v>200</v>
      </c>
      <c r="C677">
        <v>1.98</v>
      </c>
      <c r="D677" t="s">
        <v>1</v>
      </c>
      <c r="E677" t="s">
        <v>53</v>
      </c>
      <c r="F677" t="s">
        <v>3</v>
      </c>
      <c r="G677" t="s">
        <v>81</v>
      </c>
    </row>
    <row r="678" spans="1:8" ht="15" customHeight="1">
      <c r="A678" s="88">
        <v>44130.585664699101</v>
      </c>
      <c r="B678">
        <v>200</v>
      </c>
      <c r="C678">
        <v>1.98</v>
      </c>
      <c r="D678" t="s">
        <v>1</v>
      </c>
      <c r="E678" t="s">
        <v>25</v>
      </c>
      <c r="F678" t="s">
        <v>3</v>
      </c>
      <c r="G678" t="s">
        <v>374</v>
      </c>
    </row>
    <row r="679" spans="1:8" ht="15" customHeight="1">
      <c r="A679" s="88">
        <v>44130.585664699101</v>
      </c>
      <c r="B679">
        <v>600</v>
      </c>
      <c r="C679">
        <v>5.94</v>
      </c>
      <c r="D679" t="s">
        <v>1</v>
      </c>
      <c r="E679" t="s">
        <v>31</v>
      </c>
      <c r="F679" t="s">
        <v>3</v>
      </c>
      <c r="G679" t="s">
        <v>296</v>
      </c>
    </row>
    <row r="680" spans="1:8" ht="15" customHeight="1">
      <c r="A680" s="88">
        <v>44131.524524455999</v>
      </c>
      <c r="B680">
        <v>200</v>
      </c>
      <c r="C680">
        <v>1.98</v>
      </c>
      <c r="D680" t="s">
        <v>1</v>
      </c>
      <c r="E680" t="s">
        <v>69</v>
      </c>
      <c r="F680" t="s">
        <v>3</v>
      </c>
      <c r="G680" t="s">
        <v>339</v>
      </c>
    </row>
    <row r="681" spans="1:8" ht="15" customHeight="1">
      <c r="A681" s="88">
        <v>44131.524524455999</v>
      </c>
      <c r="B681">
        <v>200</v>
      </c>
      <c r="C681">
        <v>1.98</v>
      </c>
      <c r="D681" t="s">
        <v>1</v>
      </c>
      <c r="E681" t="s">
        <v>36</v>
      </c>
      <c r="F681" t="s">
        <v>3</v>
      </c>
      <c r="G681" t="s">
        <v>299</v>
      </c>
    </row>
    <row r="682" spans="1:8" ht="15" customHeight="1">
      <c r="A682" s="88">
        <v>44131.524524455999</v>
      </c>
      <c r="B682">
        <v>200</v>
      </c>
      <c r="C682">
        <v>1.98</v>
      </c>
      <c r="D682" t="s">
        <v>1</v>
      </c>
      <c r="E682" t="s">
        <v>50</v>
      </c>
      <c r="F682" t="s">
        <v>3</v>
      </c>
      <c r="G682" t="s">
        <v>316</v>
      </c>
    </row>
    <row r="683" spans="1:8" ht="15" customHeight="1">
      <c r="A683" s="88">
        <v>44133.576224536999</v>
      </c>
      <c r="B683">
        <v>300</v>
      </c>
      <c r="C683">
        <v>2.97</v>
      </c>
      <c r="D683" t="s">
        <v>1</v>
      </c>
      <c r="E683" t="s">
        <v>67</v>
      </c>
      <c r="F683" t="s">
        <v>3</v>
      </c>
      <c r="G683" t="s">
        <v>343</v>
      </c>
    </row>
    <row r="684" spans="1:8" ht="15" customHeight="1">
      <c r="A684" s="88">
        <v>44364.663977395801</v>
      </c>
      <c r="B684">
        <v>300</v>
      </c>
      <c r="C684">
        <v>3.3</v>
      </c>
      <c r="D684" t="s">
        <v>1</v>
      </c>
      <c r="E684" t="s">
        <v>74</v>
      </c>
      <c r="F684" t="s">
        <v>3</v>
      </c>
      <c r="G684" t="s">
        <v>75</v>
      </c>
      <c r="H684">
        <f>C684/B684*100</f>
        <v>1.0999999999999999</v>
      </c>
    </row>
    <row r="685" spans="1:8" ht="15" customHeight="1">
      <c r="A685" s="88">
        <v>44135.691644328697</v>
      </c>
      <c r="B685">
        <v>210</v>
      </c>
      <c r="C685">
        <v>9.99</v>
      </c>
      <c r="D685" t="s">
        <v>1</v>
      </c>
      <c r="E685" t="s">
        <v>14</v>
      </c>
      <c r="F685" t="s">
        <v>274</v>
      </c>
      <c r="G685" t="s">
        <v>275</v>
      </c>
    </row>
    <row r="686" spans="1:8" ht="15" customHeight="1">
      <c r="A686" s="88">
        <v>44140.536310034702</v>
      </c>
      <c r="B686">
        <v>400</v>
      </c>
      <c r="C686">
        <v>3.96</v>
      </c>
      <c r="D686" t="s">
        <v>1</v>
      </c>
      <c r="E686" t="s">
        <v>7</v>
      </c>
      <c r="F686" t="s">
        <v>3</v>
      </c>
      <c r="G686" t="s">
        <v>85</v>
      </c>
    </row>
    <row r="687" spans="1:8" ht="15" customHeight="1">
      <c r="A687" s="88">
        <v>44148.565529861102</v>
      </c>
      <c r="B687">
        <v>1000</v>
      </c>
      <c r="C687">
        <v>9.9</v>
      </c>
      <c r="D687" t="s">
        <v>1</v>
      </c>
      <c r="E687" t="s">
        <v>22</v>
      </c>
      <c r="F687" t="s">
        <v>3</v>
      </c>
      <c r="G687" t="s">
        <v>278</v>
      </c>
    </row>
    <row r="688" spans="1:8" ht="15" customHeight="1">
      <c r="A688" s="88">
        <v>44393.581277395802</v>
      </c>
      <c r="B688">
        <v>300</v>
      </c>
      <c r="C688">
        <v>3.3</v>
      </c>
      <c r="D688" t="s">
        <v>1</v>
      </c>
      <c r="E688" t="s">
        <v>74</v>
      </c>
      <c r="F688" t="s">
        <v>3</v>
      </c>
      <c r="G688" t="s">
        <v>75</v>
      </c>
    </row>
    <row r="689" spans="1:8" ht="15" customHeight="1">
      <c r="A689" s="88">
        <v>44154.695593865697</v>
      </c>
      <c r="B689">
        <v>300</v>
      </c>
      <c r="C689">
        <v>2.97</v>
      </c>
      <c r="D689" t="s">
        <v>1</v>
      </c>
      <c r="E689" t="s">
        <v>15</v>
      </c>
      <c r="F689" t="s">
        <v>3</v>
      </c>
      <c r="G689" t="s">
        <v>16</v>
      </c>
      <c r="H689" s="128">
        <f>C689/B689*100</f>
        <v>0.9900000000000001</v>
      </c>
    </row>
    <row r="690" spans="1:8" ht="15" customHeight="1">
      <c r="A690" s="88">
        <v>44158.6648486458</v>
      </c>
      <c r="B690">
        <v>200</v>
      </c>
      <c r="C690">
        <v>1.98</v>
      </c>
      <c r="D690" t="s">
        <v>1</v>
      </c>
      <c r="E690" t="s">
        <v>48</v>
      </c>
      <c r="F690" t="s">
        <v>3</v>
      </c>
      <c r="G690" t="s">
        <v>314</v>
      </c>
    </row>
    <row r="691" spans="1:8" ht="15" customHeight="1">
      <c r="A691" s="88">
        <v>44159.690844988399</v>
      </c>
      <c r="B691">
        <v>200</v>
      </c>
      <c r="C691">
        <v>1.98</v>
      </c>
      <c r="D691" t="s">
        <v>1</v>
      </c>
      <c r="E691" t="s">
        <v>25</v>
      </c>
      <c r="F691" t="s">
        <v>3</v>
      </c>
      <c r="G691" t="s">
        <v>374</v>
      </c>
    </row>
    <row r="692" spans="1:8" ht="15" customHeight="1">
      <c r="A692" s="88">
        <v>44160.650371527801</v>
      </c>
      <c r="B692">
        <v>200</v>
      </c>
      <c r="C692">
        <v>1.98</v>
      </c>
      <c r="D692" t="s">
        <v>1</v>
      </c>
      <c r="E692" t="s">
        <v>13</v>
      </c>
      <c r="F692" t="s">
        <v>3</v>
      </c>
      <c r="G692" t="s">
        <v>273</v>
      </c>
    </row>
    <row r="693" spans="1:8" ht="15" customHeight="1">
      <c r="A693" s="88">
        <v>44161.617874652802</v>
      </c>
      <c r="B693">
        <v>200</v>
      </c>
      <c r="C693">
        <v>1.98</v>
      </c>
      <c r="D693" t="s">
        <v>1</v>
      </c>
      <c r="E693" t="s">
        <v>69</v>
      </c>
      <c r="F693" t="s">
        <v>3</v>
      </c>
      <c r="G693" t="s">
        <v>339</v>
      </c>
    </row>
    <row r="694" spans="1:8" ht="15" customHeight="1">
      <c r="A694" s="88">
        <v>44162.639171064802</v>
      </c>
      <c r="B694">
        <v>300</v>
      </c>
      <c r="C694">
        <v>2.97</v>
      </c>
      <c r="D694" t="s">
        <v>1</v>
      </c>
      <c r="E694" t="s">
        <v>54</v>
      </c>
      <c r="F694" t="s">
        <v>3</v>
      </c>
      <c r="G694" t="s">
        <v>55</v>
      </c>
    </row>
    <row r="695" spans="1:8" ht="15" customHeight="1">
      <c r="A695" s="88">
        <v>44162.639171064802</v>
      </c>
      <c r="B695">
        <v>300</v>
      </c>
      <c r="C695">
        <v>2.97</v>
      </c>
      <c r="D695" t="s">
        <v>1</v>
      </c>
      <c r="E695" t="s">
        <v>67</v>
      </c>
      <c r="F695" t="s">
        <v>3</v>
      </c>
      <c r="G695" t="s">
        <v>343</v>
      </c>
    </row>
    <row r="696" spans="1:8" ht="15" customHeight="1">
      <c r="A696" s="88">
        <v>44162.639171064802</v>
      </c>
      <c r="B696">
        <v>200</v>
      </c>
      <c r="C696">
        <v>1.98</v>
      </c>
      <c r="D696" t="s">
        <v>1</v>
      </c>
      <c r="E696" t="s">
        <v>36</v>
      </c>
      <c r="F696" t="s">
        <v>3</v>
      </c>
      <c r="G696" t="s">
        <v>299</v>
      </c>
    </row>
    <row r="697" spans="1:8" ht="15" customHeight="1">
      <c r="A697" s="88">
        <v>44162.639171064802</v>
      </c>
      <c r="B697">
        <v>200</v>
      </c>
      <c r="C697">
        <v>1.98</v>
      </c>
      <c r="D697" t="s">
        <v>1</v>
      </c>
      <c r="E697" t="s">
        <v>50</v>
      </c>
      <c r="F697" t="s">
        <v>3</v>
      </c>
      <c r="G697" t="s">
        <v>316</v>
      </c>
    </row>
    <row r="698" spans="1:8" ht="15" customHeight="1">
      <c r="A698" s="88">
        <v>44165.596606400497</v>
      </c>
      <c r="B698">
        <v>200</v>
      </c>
      <c r="C698">
        <v>9.99</v>
      </c>
      <c r="D698" t="s">
        <v>1</v>
      </c>
      <c r="E698" t="s">
        <v>53</v>
      </c>
      <c r="F698" t="s">
        <v>359</v>
      </c>
      <c r="G698" t="s">
        <v>81</v>
      </c>
    </row>
    <row r="699" spans="1:8" ht="15" customHeight="1">
      <c r="A699" s="147">
        <v>44175.673660416702</v>
      </c>
      <c r="B699" s="148">
        <v>1000</v>
      </c>
      <c r="C699">
        <v>9.9</v>
      </c>
      <c r="D699" t="s">
        <v>1</v>
      </c>
      <c r="E699" t="s">
        <v>30</v>
      </c>
      <c r="F699" t="s">
        <v>3</v>
      </c>
      <c r="G699" t="s">
        <v>79</v>
      </c>
    </row>
    <row r="700" spans="1:8" ht="15" customHeight="1">
      <c r="A700" s="88">
        <v>44179.639728240698</v>
      </c>
      <c r="B700">
        <v>1000</v>
      </c>
      <c r="C700">
        <v>9.9</v>
      </c>
      <c r="D700" t="s">
        <v>1</v>
      </c>
      <c r="E700" t="s">
        <v>62</v>
      </c>
      <c r="F700" t="s">
        <v>3</v>
      </c>
      <c r="G700" t="s">
        <v>328</v>
      </c>
    </row>
    <row r="701" spans="1:8" ht="15" customHeight="1">
      <c r="A701" s="88">
        <v>43374.735611458302</v>
      </c>
      <c r="B701">
        <v>700</v>
      </c>
      <c r="C701">
        <v>6.23</v>
      </c>
      <c r="D701" t="s">
        <v>1</v>
      </c>
      <c r="E701" t="s">
        <v>52</v>
      </c>
      <c r="F701" t="s">
        <v>3</v>
      </c>
      <c r="G701" t="s">
        <v>319</v>
      </c>
    </row>
    <row r="702" spans="1:8" ht="15" customHeight="1">
      <c r="A702" s="88">
        <v>44186.396755821799</v>
      </c>
      <c r="B702">
        <v>1600</v>
      </c>
      <c r="C702">
        <v>15.84</v>
      </c>
      <c r="D702" t="s">
        <v>1</v>
      </c>
      <c r="E702" t="s">
        <v>77</v>
      </c>
      <c r="F702" t="s">
        <v>3</v>
      </c>
      <c r="G702" t="s">
        <v>356</v>
      </c>
    </row>
    <row r="703" spans="1:8" ht="15" customHeight="1">
      <c r="A703" s="88">
        <v>44186.396755821799</v>
      </c>
      <c r="B703">
        <v>200</v>
      </c>
      <c r="C703">
        <v>1.98</v>
      </c>
      <c r="D703" t="s">
        <v>1</v>
      </c>
      <c r="E703" t="s">
        <v>50</v>
      </c>
      <c r="F703" t="s">
        <v>3</v>
      </c>
      <c r="G703" t="s">
        <v>316</v>
      </c>
    </row>
    <row r="704" spans="1:8" ht="15" customHeight="1">
      <c r="A704" s="136">
        <v>44187.520254050898</v>
      </c>
      <c r="B704" s="134">
        <v>210</v>
      </c>
      <c r="C704" s="134">
        <v>2.0790000000000002</v>
      </c>
      <c r="D704" s="134" t="s">
        <v>1</v>
      </c>
      <c r="E704" s="134" t="s">
        <v>19</v>
      </c>
      <c r="F704" s="134" t="s">
        <v>3</v>
      </c>
      <c r="G704" s="134" t="s">
        <v>377</v>
      </c>
      <c r="H704">
        <f>C704/B704*100</f>
        <v>0.9900000000000001</v>
      </c>
    </row>
    <row r="705" spans="1:8" ht="15" customHeight="1">
      <c r="A705" s="88">
        <v>44188.564047800901</v>
      </c>
      <c r="B705">
        <v>200</v>
      </c>
      <c r="C705">
        <v>1.98</v>
      </c>
      <c r="D705" t="s">
        <v>1</v>
      </c>
      <c r="E705" t="s">
        <v>53</v>
      </c>
      <c r="F705" t="s">
        <v>3</v>
      </c>
      <c r="G705" t="s">
        <v>81</v>
      </c>
    </row>
    <row r="706" spans="1:8" ht="15" customHeight="1">
      <c r="A706" s="88">
        <v>44194.437101041702</v>
      </c>
      <c r="B706">
        <v>300</v>
      </c>
      <c r="C706">
        <v>2.97</v>
      </c>
      <c r="D706" t="s">
        <v>1</v>
      </c>
      <c r="E706" t="s">
        <v>21</v>
      </c>
      <c r="F706" t="s">
        <v>3</v>
      </c>
      <c r="G706" t="s">
        <v>277</v>
      </c>
    </row>
    <row r="707" spans="1:8" ht="15" customHeight="1">
      <c r="A707" s="88">
        <v>44194.437101041702</v>
      </c>
      <c r="B707">
        <v>200</v>
      </c>
      <c r="C707">
        <v>1.98</v>
      </c>
      <c r="D707" t="s">
        <v>1</v>
      </c>
      <c r="E707" t="s">
        <v>13</v>
      </c>
      <c r="F707" t="s">
        <v>3</v>
      </c>
      <c r="G707" t="s">
        <v>273</v>
      </c>
    </row>
    <row r="708" spans="1:8" ht="15" customHeight="1">
      <c r="A708" s="88">
        <v>44194.437101041702</v>
      </c>
      <c r="B708">
        <v>500</v>
      </c>
      <c r="C708">
        <v>4.95</v>
      </c>
      <c r="D708" t="s">
        <v>1</v>
      </c>
      <c r="E708" t="s">
        <v>7</v>
      </c>
      <c r="F708" t="s">
        <v>3</v>
      </c>
      <c r="G708" t="s">
        <v>85</v>
      </c>
    </row>
    <row r="709" spans="1:8" ht="15" customHeight="1">
      <c r="A709" s="88">
        <v>44194.437101041702</v>
      </c>
      <c r="B709">
        <v>200</v>
      </c>
      <c r="C709">
        <v>1.98</v>
      </c>
      <c r="D709" t="s">
        <v>1</v>
      </c>
      <c r="E709" t="s">
        <v>54</v>
      </c>
      <c r="F709" t="s">
        <v>3</v>
      </c>
      <c r="G709" t="s">
        <v>55</v>
      </c>
    </row>
    <row r="710" spans="1:8" ht="15" customHeight="1">
      <c r="A710" s="136">
        <v>44194.437101041702</v>
      </c>
      <c r="B710" s="134">
        <v>200</v>
      </c>
      <c r="C710" s="134">
        <v>1.98</v>
      </c>
      <c r="D710" s="134" t="s">
        <v>1</v>
      </c>
      <c r="E710" s="134" t="s">
        <v>19</v>
      </c>
      <c r="F710" s="134" t="s">
        <v>3</v>
      </c>
      <c r="G710" s="134" t="s">
        <v>377</v>
      </c>
      <c r="H710">
        <f>C710/B710*100</f>
        <v>0.98999999999999988</v>
      </c>
    </row>
    <row r="711" spans="1:8" ht="15" customHeight="1">
      <c r="A711" s="88">
        <v>44194.437101041702</v>
      </c>
      <c r="B711">
        <v>200</v>
      </c>
      <c r="C711">
        <v>1.98</v>
      </c>
      <c r="D711" t="s">
        <v>1</v>
      </c>
      <c r="E711" t="s">
        <v>25</v>
      </c>
      <c r="F711" t="s">
        <v>3</v>
      </c>
      <c r="G711" t="s">
        <v>374</v>
      </c>
    </row>
    <row r="712" spans="1:8" ht="15" customHeight="1">
      <c r="A712" s="88">
        <v>44194.437101041702</v>
      </c>
      <c r="B712">
        <v>200</v>
      </c>
      <c r="C712">
        <v>1.98</v>
      </c>
      <c r="D712" t="s">
        <v>1</v>
      </c>
      <c r="E712" t="s">
        <v>65</v>
      </c>
      <c r="F712" t="s">
        <v>3</v>
      </c>
      <c r="G712" t="s">
        <v>331</v>
      </c>
    </row>
    <row r="713" spans="1:8" ht="15" customHeight="1">
      <c r="A713" s="88">
        <v>44194.437101041702</v>
      </c>
      <c r="B713">
        <v>200</v>
      </c>
      <c r="C713">
        <v>1.98</v>
      </c>
      <c r="D713" t="s">
        <v>1</v>
      </c>
      <c r="E713" t="s">
        <v>24</v>
      </c>
      <c r="F713" t="s">
        <v>3</v>
      </c>
      <c r="G713" t="s">
        <v>285</v>
      </c>
    </row>
    <row r="714" spans="1:8" ht="15" customHeight="1">
      <c r="A714" s="88">
        <v>44196.484806330998</v>
      </c>
      <c r="B714">
        <v>200</v>
      </c>
      <c r="C714">
        <v>1.98</v>
      </c>
      <c r="D714" t="s">
        <v>1</v>
      </c>
      <c r="E714" t="s">
        <v>36</v>
      </c>
      <c r="F714" t="s">
        <v>3</v>
      </c>
      <c r="G714" t="s">
        <v>299</v>
      </c>
    </row>
    <row r="715" spans="1:8" ht="15" customHeight="1">
      <c r="A715" s="88">
        <v>44200.554443090303</v>
      </c>
      <c r="B715">
        <v>6000</v>
      </c>
      <c r="C715">
        <v>29.99</v>
      </c>
      <c r="D715" t="s">
        <v>1</v>
      </c>
      <c r="E715" t="s">
        <v>280</v>
      </c>
      <c r="F715" t="s">
        <v>3</v>
      </c>
      <c r="G715" t="s">
        <v>379</v>
      </c>
    </row>
    <row r="716" spans="1:8" ht="15" customHeight="1">
      <c r="A716" s="88">
        <v>43881.6760695255</v>
      </c>
      <c r="B716">
        <v>2000</v>
      </c>
      <c r="C716">
        <v>19.8</v>
      </c>
      <c r="D716" t="s">
        <v>1</v>
      </c>
      <c r="E716" t="s">
        <v>52</v>
      </c>
      <c r="F716" t="s">
        <v>3</v>
      </c>
      <c r="G716" t="s">
        <v>319</v>
      </c>
    </row>
    <row r="717" spans="1:8" ht="15" customHeight="1">
      <c r="A717" s="88">
        <v>44221.680350034701</v>
      </c>
      <c r="B717">
        <v>200</v>
      </c>
      <c r="C717">
        <v>1.98</v>
      </c>
      <c r="D717" t="s">
        <v>1</v>
      </c>
      <c r="E717" t="s">
        <v>13</v>
      </c>
      <c r="F717" t="s">
        <v>3</v>
      </c>
      <c r="G717" t="s">
        <v>273</v>
      </c>
    </row>
    <row r="718" spans="1:8" ht="15" customHeight="1">
      <c r="A718" s="88">
        <v>44222.654955439801</v>
      </c>
      <c r="B718">
        <v>300</v>
      </c>
      <c r="C718">
        <v>2.97</v>
      </c>
      <c r="D718" t="s">
        <v>1</v>
      </c>
      <c r="E718" t="s">
        <v>15</v>
      </c>
      <c r="F718" t="s">
        <v>3</v>
      </c>
      <c r="G718" t="s">
        <v>16</v>
      </c>
      <c r="H718" s="128">
        <f>C718/B718*100</f>
        <v>0.9900000000000001</v>
      </c>
    </row>
    <row r="719" spans="1:8" ht="15" customHeight="1">
      <c r="A719" s="88">
        <v>44222.654955439801</v>
      </c>
      <c r="B719">
        <v>200</v>
      </c>
      <c r="C719">
        <v>1.98</v>
      </c>
      <c r="D719" t="s">
        <v>1</v>
      </c>
      <c r="E719" t="s">
        <v>53</v>
      </c>
      <c r="F719" t="s">
        <v>3</v>
      </c>
      <c r="G719" t="s">
        <v>81</v>
      </c>
    </row>
    <row r="720" spans="1:8" ht="15" customHeight="1">
      <c r="A720" s="88">
        <v>44223.643959571797</v>
      </c>
      <c r="B720">
        <v>300</v>
      </c>
      <c r="C720">
        <v>2.97</v>
      </c>
      <c r="D720" t="s">
        <v>1</v>
      </c>
      <c r="E720" t="s">
        <v>21</v>
      </c>
      <c r="F720" t="s">
        <v>3</v>
      </c>
      <c r="G720" t="s">
        <v>277</v>
      </c>
    </row>
    <row r="721" spans="1:8" ht="15" customHeight="1">
      <c r="A721" s="88">
        <v>44223.643959571797</v>
      </c>
      <c r="B721">
        <v>200</v>
      </c>
      <c r="C721">
        <v>1.98</v>
      </c>
      <c r="D721" t="s">
        <v>1</v>
      </c>
      <c r="E721" t="s">
        <v>65</v>
      </c>
      <c r="F721" t="s">
        <v>3</v>
      </c>
      <c r="G721" t="s">
        <v>331</v>
      </c>
    </row>
    <row r="722" spans="1:8" ht="15" customHeight="1">
      <c r="A722" s="88">
        <v>44223.643959571797</v>
      </c>
      <c r="B722">
        <v>200</v>
      </c>
      <c r="C722">
        <v>1.98</v>
      </c>
      <c r="D722" t="s">
        <v>1</v>
      </c>
      <c r="E722" t="s">
        <v>24</v>
      </c>
      <c r="F722" t="s">
        <v>3</v>
      </c>
      <c r="G722" t="s">
        <v>285</v>
      </c>
    </row>
    <row r="723" spans="1:8" ht="15" customHeight="1">
      <c r="A723" s="147">
        <v>44225.710624108797</v>
      </c>
      <c r="B723" s="148">
        <v>400</v>
      </c>
      <c r="C723">
        <v>3.96</v>
      </c>
      <c r="D723" t="s">
        <v>1</v>
      </c>
      <c r="E723" t="s">
        <v>30</v>
      </c>
      <c r="F723" t="s">
        <v>3</v>
      </c>
      <c r="G723" t="s">
        <v>291</v>
      </c>
    </row>
    <row r="724" spans="1:8" ht="15" customHeight="1">
      <c r="A724" s="88">
        <v>44225.710624108797</v>
      </c>
      <c r="B724">
        <v>200</v>
      </c>
      <c r="C724">
        <v>1.98</v>
      </c>
      <c r="D724" t="s">
        <v>1</v>
      </c>
      <c r="E724" t="s">
        <v>36</v>
      </c>
      <c r="F724" t="s">
        <v>3</v>
      </c>
      <c r="G724" t="s">
        <v>299</v>
      </c>
    </row>
    <row r="725" spans="1:8" ht="15" customHeight="1">
      <c r="A725" s="88">
        <v>44229.733342048603</v>
      </c>
      <c r="B725">
        <v>1000</v>
      </c>
      <c r="C725">
        <v>9.9</v>
      </c>
      <c r="D725" t="s">
        <v>1</v>
      </c>
      <c r="E725" t="s">
        <v>20</v>
      </c>
      <c r="F725" t="s">
        <v>3</v>
      </c>
      <c r="G725" t="s">
        <v>283</v>
      </c>
    </row>
    <row r="726" spans="1:8" ht="15" customHeight="1">
      <c r="A726" s="88">
        <v>44230.7486067477</v>
      </c>
      <c r="B726">
        <v>300</v>
      </c>
      <c r="C726">
        <v>2.97</v>
      </c>
      <c r="D726" t="s">
        <v>1</v>
      </c>
      <c r="E726" t="s">
        <v>54</v>
      </c>
      <c r="F726" t="s">
        <v>3</v>
      </c>
      <c r="G726" t="s">
        <v>55</v>
      </c>
    </row>
    <row r="727" spans="1:8" ht="15" customHeight="1">
      <c r="A727" s="88">
        <v>44242.699821493101</v>
      </c>
      <c r="B727">
        <v>500</v>
      </c>
      <c r="C727">
        <v>4.95</v>
      </c>
      <c r="D727" t="s">
        <v>1</v>
      </c>
      <c r="E727" t="s">
        <v>7</v>
      </c>
      <c r="F727" t="s">
        <v>3</v>
      </c>
      <c r="G727" t="s">
        <v>85</v>
      </c>
    </row>
    <row r="728" spans="1:8" ht="15" customHeight="1">
      <c r="A728" s="136">
        <v>44242.699821493101</v>
      </c>
      <c r="B728" s="134">
        <v>1000</v>
      </c>
      <c r="C728" s="134">
        <v>9.9</v>
      </c>
      <c r="D728" s="134" t="s">
        <v>1</v>
      </c>
      <c r="E728" s="134" t="s">
        <v>19</v>
      </c>
      <c r="F728" s="134" t="s">
        <v>3</v>
      </c>
      <c r="G728" s="134" t="s">
        <v>377</v>
      </c>
      <c r="H728">
        <f>C728/B728*100</f>
        <v>0.9900000000000001</v>
      </c>
    </row>
    <row r="729" spans="1:8" ht="15" customHeight="1">
      <c r="A729" s="88">
        <v>43899.689570104201</v>
      </c>
      <c r="B729">
        <v>1200</v>
      </c>
      <c r="C729">
        <v>11.88</v>
      </c>
      <c r="D729" t="s">
        <v>1</v>
      </c>
      <c r="E729" t="s">
        <v>52</v>
      </c>
      <c r="F729" t="s">
        <v>3</v>
      </c>
      <c r="G729" t="s">
        <v>319</v>
      </c>
    </row>
    <row r="730" spans="1:8" ht="15" customHeight="1">
      <c r="A730" s="88">
        <v>44250.609266203697</v>
      </c>
      <c r="B730">
        <v>300</v>
      </c>
      <c r="C730">
        <v>2.97</v>
      </c>
      <c r="D730" t="s">
        <v>1</v>
      </c>
      <c r="E730" t="s">
        <v>15</v>
      </c>
      <c r="F730" t="s">
        <v>3</v>
      </c>
      <c r="G730" t="s">
        <v>16</v>
      </c>
      <c r="H730" s="128">
        <f>C730/B730*100</f>
        <v>0.9900000000000001</v>
      </c>
    </row>
    <row r="731" spans="1:8" ht="15" customHeight="1">
      <c r="A731" s="88">
        <v>44252.644443437501</v>
      </c>
      <c r="B731">
        <v>200</v>
      </c>
      <c r="C731">
        <v>1.98</v>
      </c>
      <c r="D731" t="s">
        <v>1</v>
      </c>
      <c r="E731" t="s">
        <v>13</v>
      </c>
      <c r="F731" t="s">
        <v>3</v>
      </c>
      <c r="G731" t="s">
        <v>273</v>
      </c>
    </row>
    <row r="732" spans="1:8" ht="15" customHeight="1">
      <c r="A732" s="88">
        <v>44252.644443437501</v>
      </c>
      <c r="B732">
        <v>300</v>
      </c>
      <c r="C732">
        <v>2.97</v>
      </c>
      <c r="D732" t="s">
        <v>1</v>
      </c>
      <c r="E732" t="s">
        <v>25</v>
      </c>
      <c r="F732" t="s">
        <v>3</v>
      </c>
      <c r="G732" t="s">
        <v>374</v>
      </c>
    </row>
    <row r="733" spans="1:8" ht="15" customHeight="1">
      <c r="A733" s="88">
        <v>44253.436159143501</v>
      </c>
      <c r="B733">
        <v>200</v>
      </c>
      <c r="C733">
        <v>1.98</v>
      </c>
      <c r="D733" t="s">
        <v>1</v>
      </c>
      <c r="E733" t="s">
        <v>23</v>
      </c>
      <c r="F733" t="s">
        <v>3</v>
      </c>
      <c r="G733" t="s">
        <v>371</v>
      </c>
    </row>
    <row r="734" spans="1:8" ht="15" customHeight="1">
      <c r="A734" s="88">
        <v>44253.436159143501</v>
      </c>
      <c r="B734">
        <v>200</v>
      </c>
      <c r="C734">
        <v>1.98</v>
      </c>
      <c r="D734" t="s">
        <v>1</v>
      </c>
      <c r="E734" t="s">
        <v>53</v>
      </c>
      <c r="F734" t="s">
        <v>3</v>
      </c>
      <c r="G734" t="s">
        <v>81</v>
      </c>
    </row>
    <row r="735" spans="1:8" ht="15" customHeight="1">
      <c r="A735" s="88">
        <v>44256.693458217604</v>
      </c>
      <c r="B735">
        <v>500</v>
      </c>
      <c r="C735">
        <v>5.5</v>
      </c>
      <c r="D735" t="s">
        <v>1</v>
      </c>
      <c r="E735" t="s">
        <v>67</v>
      </c>
      <c r="F735" t="s">
        <v>3</v>
      </c>
      <c r="G735" t="s">
        <v>343</v>
      </c>
    </row>
    <row r="736" spans="1:8" ht="15" customHeight="1">
      <c r="A736" s="88">
        <v>44256.693458217604</v>
      </c>
      <c r="B736">
        <v>200</v>
      </c>
      <c r="C736">
        <v>2.2000000000000002</v>
      </c>
      <c r="D736" t="s">
        <v>1</v>
      </c>
      <c r="E736" t="s">
        <v>37</v>
      </c>
      <c r="F736" t="s">
        <v>3</v>
      </c>
      <c r="G736" t="s">
        <v>380</v>
      </c>
    </row>
    <row r="737" spans="1:8" ht="15" customHeight="1">
      <c r="A737" s="88">
        <v>44256.693458217604</v>
      </c>
      <c r="B737">
        <v>300</v>
      </c>
      <c r="C737">
        <v>3.3</v>
      </c>
      <c r="D737" t="s">
        <v>1</v>
      </c>
      <c r="E737" t="s">
        <v>20</v>
      </c>
      <c r="F737" t="s">
        <v>3</v>
      </c>
      <c r="G737" t="s">
        <v>283</v>
      </c>
    </row>
    <row r="738" spans="1:8" ht="15" customHeight="1">
      <c r="A738" s="88">
        <v>44256.693458217604</v>
      </c>
      <c r="B738">
        <v>200</v>
      </c>
      <c r="C738">
        <v>2.2000000000000002</v>
      </c>
      <c r="D738" t="s">
        <v>1</v>
      </c>
      <c r="E738" t="s">
        <v>36</v>
      </c>
      <c r="F738" t="s">
        <v>3</v>
      </c>
      <c r="G738" t="s">
        <v>299</v>
      </c>
    </row>
    <row r="739" spans="1:8" ht="15" customHeight="1">
      <c r="A739" s="88">
        <v>44259.654639236098</v>
      </c>
      <c r="B739">
        <v>200</v>
      </c>
      <c r="C739">
        <v>2.2000000000000002</v>
      </c>
      <c r="D739" t="s">
        <v>1</v>
      </c>
      <c r="E739" t="s">
        <v>48</v>
      </c>
      <c r="F739" t="s">
        <v>3</v>
      </c>
      <c r="G739" t="s">
        <v>314</v>
      </c>
    </row>
    <row r="740" spans="1:8" ht="15" customHeight="1">
      <c r="A740" s="88">
        <v>44260.675022187497</v>
      </c>
      <c r="B740">
        <v>800</v>
      </c>
      <c r="C740">
        <v>8.8000000000000007</v>
      </c>
      <c r="D740" t="s">
        <v>1</v>
      </c>
      <c r="E740" t="s">
        <v>64</v>
      </c>
      <c r="F740" t="s">
        <v>3</v>
      </c>
      <c r="G740" t="s">
        <v>369</v>
      </c>
    </row>
    <row r="741" spans="1:8" ht="15" customHeight="1">
      <c r="A741" s="88">
        <v>44000.690790046297</v>
      </c>
      <c r="B741">
        <v>600</v>
      </c>
      <c r="C741">
        <v>5.94</v>
      </c>
      <c r="D741" t="s">
        <v>1</v>
      </c>
      <c r="E741" t="s">
        <v>52</v>
      </c>
      <c r="F741" t="s">
        <v>3</v>
      </c>
      <c r="G741" t="s">
        <v>319</v>
      </c>
    </row>
    <row r="742" spans="1:8" ht="15" customHeight="1">
      <c r="A742" s="88">
        <v>44280.6284224884</v>
      </c>
      <c r="B742">
        <v>200</v>
      </c>
      <c r="C742">
        <v>2.2000000000000002</v>
      </c>
      <c r="D742" t="s">
        <v>1</v>
      </c>
      <c r="E742" t="s">
        <v>13</v>
      </c>
      <c r="F742" t="s">
        <v>3</v>
      </c>
      <c r="G742" t="s">
        <v>273</v>
      </c>
    </row>
    <row r="743" spans="1:8" ht="15" customHeight="1">
      <c r="A743" s="88">
        <v>44281.6022578704</v>
      </c>
      <c r="B743">
        <v>300</v>
      </c>
      <c r="C743">
        <v>3.3</v>
      </c>
      <c r="D743" t="s">
        <v>1</v>
      </c>
      <c r="E743" t="s">
        <v>54</v>
      </c>
      <c r="F743" t="s">
        <v>3</v>
      </c>
      <c r="G743" t="s">
        <v>55</v>
      </c>
    </row>
    <row r="744" spans="1:8" ht="15" customHeight="1">
      <c r="A744" s="88">
        <v>44281.6022578704</v>
      </c>
      <c r="B744">
        <v>200</v>
      </c>
      <c r="C744">
        <v>2.2000000000000002</v>
      </c>
      <c r="D744" t="s">
        <v>1</v>
      </c>
      <c r="E744" t="s">
        <v>53</v>
      </c>
      <c r="F744" t="s">
        <v>3</v>
      </c>
      <c r="G744" t="s">
        <v>81</v>
      </c>
    </row>
    <row r="745" spans="1:8" ht="15" customHeight="1">
      <c r="A745" s="88">
        <v>44281.6022578704</v>
      </c>
      <c r="B745">
        <v>400</v>
      </c>
      <c r="C745">
        <v>4.4000000000000004</v>
      </c>
      <c r="D745" t="s">
        <v>1</v>
      </c>
      <c r="E745" t="s">
        <v>69</v>
      </c>
      <c r="F745" t="s">
        <v>3</v>
      </c>
      <c r="G745" t="s">
        <v>339</v>
      </c>
    </row>
    <row r="746" spans="1:8" ht="15" customHeight="1">
      <c r="A746" s="147">
        <v>44284.647979432899</v>
      </c>
      <c r="B746" s="148">
        <v>400</v>
      </c>
      <c r="C746">
        <v>4.4000000000000004</v>
      </c>
      <c r="D746" t="s">
        <v>1</v>
      </c>
      <c r="E746" t="s">
        <v>30</v>
      </c>
      <c r="F746" t="s">
        <v>3</v>
      </c>
      <c r="G746" t="s">
        <v>79</v>
      </c>
    </row>
    <row r="747" spans="1:8" ht="15" customHeight="1">
      <c r="A747" s="88">
        <v>44284.647979432899</v>
      </c>
      <c r="B747">
        <v>300</v>
      </c>
      <c r="C747">
        <v>3.3</v>
      </c>
      <c r="D747" t="s">
        <v>1</v>
      </c>
      <c r="E747" t="s">
        <v>280</v>
      </c>
      <c r="F747" t="s">
        <v>3</v>
      </c>
      <c r="G747" t="s">
        <v>379</v>
      </c>
    </row>
    <row r="748" spans="1:8" ht="15" customHeight="1">
      <c r="A748" s="88">
        <v>44284.647979432899</v>
      </c>
      <c r="B748">
        <v>200</v>
      </c>
      <c r="C748">
        <v>2.2000000000000002</v>
      </c>
      <c r="D748" t="s">
        <v>1</v>
      </c>
      <c r="E748" t="s">
        <v>36</v>
      </c>
      <c r="F748" t="s">
        <v>3</v>
      </c>
      <c r="G748" t="s">
        <v>299</v>
      </c>
    </row>
    <row r="749" spans="1:8" ht="15" customHeight="1">
      <c r="A749" s="88">
        <v>44285.639347418997</v>
      </c>
      <c r="B749">
        <v>200</v>
      </c>
      <c r="C749">
        <v>2.2000000000000002</v>
      </c>
      <c r="D749" t="s">
        <v>1</v>
      </c>
      <c r="E749" t="s">
        <v>67</v>
      </c>
      <c r="F749" t="s">
        <v>3</v>
      </c>
      <c r="G749" t="s">
        <v>343</v>
      </c>
    </row>
    <row r="750" spans="1:8" ht="15" customHeight="1">
      <c r="A750" s="88">
        <v>44285.639347418997</v>
      </c>
      <c r="B750">
        <v>400</v>
      </c>
      <c r="C750">
        <v>4.4000000000000004</v>
      </c>
      <c r="D750" t="s">
        <v>1</v>
      </c>
      <c r="E750" t="s">
        <v>68</v>
      </c>
      <c r="F750" t="s">
        <v>3</v>
      </c>
      <c r="G750" t="s">
        <v>361</v>
      </c>
    </row>
    <row r="751" spans="1:8" ht="15" customHeight="1">
      <c r="A751" s="88">
        <v>44287.554063044001</v>
      </c>
      <c r="B751">
        <v>200</v>
      </c>
      <c r="C751">
        <v>2.2000000000000002</v>
      </c>
      <c r="D751" t="s">
        <v>1</v>
      </c>
      <c r="E751" t="s">
        <v>64</v>
      </c>
      <c r="F751" t="s">
        <v>3</v>
      </c>
      <c r="G751" t="s">
        <v>369</v>
      </c>
    </row>
    <row r="752" spans="1:8" ht="15" customHeight="1">
      <c r="A752" s="88">
        <v>44287.554063044001</v>
      </c>
      <c r="B752">
        <v>200</v>
      </c>
      <c r="C752">
        <v>2.2000000000000002</v>
      </c>
      <c r="D752" t="s">
        <v>1</v>
      </c>
      <c r="E752" t="s">
        <v>15</v>
      </c>
      <c r="F752" t="s">
        <v>3</v>
      </c>
      <c r="G752" t="s">
        <v>16</v>
      </c>
      <c r="H752" s="128">
        <f>C752/B752*100</f>
        <v>1.1000000000000001</v>
      </c>
    </row>
    <row r="753" spans="1:8" ht="15" customHeight="1">
      <c r="A753" s="88">
        <v>44012.700474652796</v>
      </c>
      <c r="B753">
        <v>200</v>
      </c>
      <c r="C753">
        <v>1.98</v>
      </c>
      <c r="D753" t="s">
        <v>1</v>
      </c>
      <c r="E753" t="s">
        <v>52</v>
      </c>
      <c r="F753" t="s">
        <v>3</v>
      </c>
      <c r="G753" t="s">
        <v>319</v>
      </c>
    </row>
    <row r="754" spans="1:8" ht="15" customHeight="1">
      <c r="A754" s="88">
        <v>44312.589648298599</v>
      </c>
      <c r="B754">
        <v>200</v>
      </c>
      <c r="C754">
        <v>2.2000000000000002</v>
      </c>
      <c r="D754" t="s">
        <v>1</v>
      </c>
      <c r="E754" t="s">
        <v>13</v>
      </c>
      <c r="F754" t="s">
        <v>3</v>
      </c>
      <c r="G754" t="s">
        <v>273</v>
      </c>
    </row>
    <row r="755" spans="1:8" ht="15" customHeight="1">
      <c r="A755" s="88">
        <v>44312.589648298599</v>
      </c>
      <c r="B755">
        <v>200</v>
      </c>
      <c r="C755">
        <v>2.2000000000000002</v>
      </c>
      <c r="D755" t="s">
        <v>1</v>
      </c>
      <c r="E755" t="s">
        <v>53</v>
      </c>
      <c r="F755" t="s">
        <v>3</v>
      </c>
      <c r="G755" t="s">
        <v>81</v>
      </c>
    </row>
    <row r="756" spans="1:8" ht="15" customHeight="1">
      <c r="A756" s="88">
        <v>44312.589648298599</v>
      </c>
      <c r="B756">
        <v>1500</v>
      </c>
      <c r="C756">
        <v>16.5</v>
      </c>
      <c r="D756" t="s">
        <v>1</v>
      </c>
      <c r="E756" t="s">
        <v>49</v>
      </c>
      <c r="F756" t="s">
        <v>3</v>
      </c>
      <c r="G756" t="s">
        <v>315</v>
      </c>
    </row>
    <row r="757" spans="1:8" ht="15" customHeight="1">
      <c r="A757" s="88">
        <v>44312.589648298599</v>
      </c>
      <c r="B757">
        <v>200</v>
      </c>
      <c r="C757">
        <v>2.2000000000000002</v>
      </c>
      <c r="D757" t="s">
        <v>1</v>
      </c>
      <c r="E757" t="s">
        <v>36</v>
      </c>
      <c r="F757" t="s">
        <v>3</v>
      </c>
      <c r="G757" t="s">
        <v>299</v>
      </c>
    </row>
    <row r="758" spans="1:8" ht="15" customHeight="1">
      <c r="A758" s="88">
        <v>44316.6336273958</v>
      </c>
      <c r="B758">
        <v>200</v>
      </c>
      <c r="C758">
        <v>2.2000000000000002</v>
      </c>
      <c r="D758" t="s">
        <v>1</v>
      </c>
      <c r="E758" t="s">
        <v>68</v>
      </c>
      <c r="F758" t="s">
        <v>3</v>
      </c>
      <c r="G758" t="s">
        <v>361</v>
      </c>
    </row>
    <row r="759" spans="1:8" ht="15" customHeight="1">
      <c r="A759" s="88">
        <v>44316.652438576399</v>
      </c>
      <c r="B759">
        <v>2000</v>
      </c>
      <c r="C759">
        <v>22</v>
      </c>
      <c r="D759" t="s">
        <v>1</v>
      </c>
      <c r="E759" t="s">
        <v>66</v>
      </c>
      <c r="F759" t="s">
        <v>3</v>
      </c>
      <c r="G759" t="s">
        <v>381</v>
      </c>
      <c r="H759">
        <f>C759/B759*100</f>
        <v>1.0999999999999999</v>
      </c>
    </row>
    <row r="760" spans="1:8" ht="15" customHeight="1">
      <c r="A760" s="88">
        <v>44316.652985185203</v>
      </c>
      <c r="B760">
        <v>200</v>
      </c>
      <c r="C760">
        <v>2.2000000000000002</v>
      </c>
      <c r="D760" t="s">
        <v>1</v>
      </c>
      <c r="E760" t="s">
        <v>12</v>
      </c>
      <c r="F760" t="s">
        <v>3</v>
      </c>
      <c r="G760" t="s">
        <v>378</v>
      </c>
    </row>
    <row r="761" spans="1:8" ht="15" customHeight="1">
      <c r="A761" s="88">
        <v>44316.658999652798</v>
      </c>
      <c r="B761">
        <v>200</v>
      </c>
      <c r="C761">
        <v>2.2000000000000002</v>
      </c>
      <c r="D761" t="s">
        <v>1</v>
      </c>
      <c r="E761" t="s">
        <v>345</v>
      </c>
      <c r="F761" t="s">
        <v>3</v>
      </c>
      <c r="G761" t="s">
        <v>346</v>
      </c>
    </row>
    <row r="762" spans="1:8" ht="15" customHeight="1">
      <c r="A762" s="88">
        <v>44316.6592368403</v>
      </c>
      <c r="B762">
        <v>200</v>
      </c>
      <c r="C762">
        <v>2.2000000000000002</v>
      </c>
      <c r="D762" t="s">
        <v>1</v>
      </c>
      <c r="E762" t="s">
        <v>345</v>
      </c>
      <c r="F762" t="s">
        <v>3</v>
      </c>
      <c r="G762" t="s">
        <v>346</v>
      </c>
    </row>
    <row r="763" spans="1:8" ht="15" customHeight="1">
      <c r="A763" s="88">
        <v>44316.659506284697</v>
      </c>
      <c r="B763">
        <v>200</v>
      </c>
      <c r="C763">
        <v>2.2000000000000002</v>
      </c>
      <c r="D763" t="s">
        <v>1</v>
      </c>
      <c r="E763" t="s">
        <v>345</v>
      </c>
      <c r="F763" t="s">
        <v>3</v>
      </c>
      <c r="G763" t="s">
        <v>346</v>
      </c>
    </row>
    <row r="764" spans="1:8" ht="15" customHeight="1">
      <c r="A764" s="88">
        <v>44316.659753321801</v>
      </c>
      <c r="B764">
        <v>200</v>
      </c>
      <c r="C764">
        <v>2.2000000000000002</v>
      </c>
      <c r="D764" t="s">
        <v>1</v>
      </c>
      <c r="E764" t="s">
        <v>345</v>
      </c>
      <c r="F764" t="s">
        <v>3</v>
      </c>
      <c r="G764" t="s">
        <v>346</v>
      </c>
    </row>
    <row r="765" spans="1:8" ht="15" customHeight="1">
      <c r="A765" s="88">
        <v>44316.660867905099</v>
      </c>
      <c r="B765">
        <v>200</v>
      </c>
      <c r="C765">
        <v>2.2000000000000002</v>
      </c>
      <c r="D765" t="s">
        <v>1</v>
      </c>
      <c r="E765" t="s">
        <v>69</v>
      </c>
      <c r="F765" t="s">
        <v>3</v>
      </c>
      <c r="G765" t="s">
        <v>382</v>
      </c>
    </row>
    <row r="766" spans="1:8" ht="15" customHeight="1">
      <c r="A766" s="88">
        <v>44316.661245520801</v>
      </c>
      <c r="B766">
        <v>220</v>
      </c>
      <c r="C766">
        <v>2.42</v>
      </c>
      <c r="D766" t="s">
        <v>1</v>
      </c>
      <c r="E766" t="s">
        <v>69</v>
      </c>
      <c r="F766" t="s">
        <v>3</v>
      </c>
      <c r="G766" t="s">
        <v>382</v>
      </c>
    </row>
    <row r="767" spans="1:8" ht="15" customHeight="1">
      <c r="A767" s="88">
        <v>44320.572428391199</v>
      </c>
      <c r="B767">
        <v>200</v>
      </c>
      <c r="C767">
        <v>2.2000000000000002</v>
      </c>
      <c r="D767" t="s">
        <v>1</v>
      </c>
      <c r="E767" t="s">
        <v>64</v>
      </c>
      <c r="F767" t="s">
        <v>3</v>
      </c>
      <c r="G767" t="s">
        <v>369</v>
      </c>
    </row>
    <row r="768" spans="1:8" ht="15" customHeight="1">
      <c r="A768" s="88">
        <v>44320.572428391199</v>
      </c>
      <c r="B768">
        <v>500</v>
      </c>
      <c r="C768">
        <v>5.5</v>
      </c>
      <c r="D768" t="s">
        <v>1</v>
      </c>
      <c r="E768" t="s">
        <v>86</v>
      </c>
      <c r="F768" t="s">
        <v>3</v>
      </c>
      <c r="G768" t="s">
        <v>367</v>
      </c>
    </row>
    <row r="769" spans="1:8" ht="15" customHeight="1">
      <c r="A769" s="88">
        <v>44041.651794444399</v>
      </c>
      <c r="B769">
        <v>200</v>
      </c>
      <c r="C769">
        <v>1.98</v>
      </c>
      <c r="D769" t="s">
        <v>1</v>
      </c>
      <c r="E769" t="s">
        <v>52</v>
      </c>
      <c r="F769" t="s">
        <v>3</v>
      </c>
      <c r="G769" t="s">
        <v>319</v>
      </c>
    </row>
    <row r="770" spans="1:8" ht="15" customHeight="1">
      <c r="A770" s="88">
        <v>44333.602182256902</v>
      </c>
      <c r="B770">
        <v>2200</v>
      </c>
      <c r="C770">
        <v>24.2</v>
      </c>
      <c r="D770" t="s">
        <v>1</v>
      </c>
      <c r="E770" t="s">
        <v>34</v>
      </c>
      <c r="F770" t="s">
        <v>3</v>
      </c>
      <c r="G770" t="s">
        <v>372</v>
      </c>
    </row>
    <row r="771" spans="1:8" ht="15" customHeight="1">
      <c r="A771" s="88">
        <v>44337.6175147338</v>
      </c>
      <c r="B771">
        <v>200</v>
      </c>
      <c r="C771">
        <v>2.2000000000000002</v>
      </c>
      <c r="D771" t="s">
        <v>1</v>
      </c>
      <c r="E771" t="s">
        <v>15</v>
      </c>
      <c r="F771" t="s">
        <v>3</v>
      </c>
      <c r="G771" t="s">
        <v>16</v>
      </c>
      <c r="H771" s="128">
        <f>C771/B771*100</f>
        <v>1.1000000000000001</v>
      </c>
    </row>
    <row r="772" spans="1:8" ht="15" customHeight="1">
      <c r="A772" s="88">
        <v>44341.590333217602</v>
      </c>
      <c r="B772">
        <v>200</v>
      </c>
      <c r="C772">
        <v>2.2000000000000002</v>
      </c>
      <c r="D772" t="s">
        <v>1</v>
      </c>
      <c r="E772" t="s">
        <v>13</v>
      </c>
      <c r="F772" t="s">
        <v>3</v>
      </c>
      <c r="G772" t="s">
        <v>273</v>
      </c>
    </row>
    <row r="773" spans="1:8" ht="15" customHeight="1">
      <c r="A773" s="88">
        <v>44341.590333217602</v>
      </c>
      <c r="B773">
        <v>300</v>
      </c>
      <c r="C773">
        <v>3.3</v>
      </c>
      <c r="D773" t="s">
        <v>1</v>
      </c>
      <c r="E773" t="s">
        <v>25</v>
      </c>
      <c r="F773" t="s">
        <v>3</v>
      </c>
      <c r="G773" t="s">
        <v>374</v>
      </c>
    </row>
    <row r="774" spans="1:8" ht="15" customHeight="1">
      <c r="A774" s="88">
        <v>44342.617667557897</v>
      </c>
      <c r="B774">
        <v>400</v>
      </c>
      <c r="C774">
        <v>4.4000000000000004</v>
      </c>
      <c r="D774" t="s">
        <v>1</v>
      </c>
      <c r="E774" t="s">
        <v>54</v>
      </c>
      <c r="F774" t="s">
        <v>3</v>
      </c>
      <c r="G774" t="s">
        <v>55</v>
      </c>
    </row>
    <row r="775" spans="1:8" ht="15" customHeight="1">
      <c r="A775" s="88">
        <v>44342.617667557897</v>
      </c>
      <c r="B775">
        <v>200</v>
      </c>
      <c r="C775">
        <v>2.2000000000000002</v>
      </c>
      <c r="D775" t="s">
        <v>1</v>
      </c>
      <c r="E775" t="s">
        <v>53</v>
      </c>
      <c r="F775" t="s">
        <v>3</v>
      </c>
      <c r="G775" t="s">
        <v>81</v>
      </c>
    </row>
    <row r="776" spans="1:8" ht="15" customHeight="1">
      <c r="A776" s="88">
        <v>44342.617667557897</v>
      </c>
      <c r="B776">
        <v>500</v>
      </c>
      <c r="C776">
        <v>5.5</v>
      </c>
      <c r="D776" t="s">
        <v>1</v>
      </c>
      <c r="E776" t="s">
        <v>49</v>
      </c>
      <c r="F776" t="s">
        <v>3</v>
      </c>
      <c r="G776" t="s">
        <v>315</v>
      </c>
    </row>
    <row r="777" spans="1:8" ht="15" customHeight="1">
      <c r="A777" s="88">
        <v>44343.650390891198</v>
      </c>
      <c r="B777">
        <v>200</v>
      </c>
      <c r="C777">
        <v>2.2000000000000002</v>
      </c>
      <c r="D777" t="s">
        <v>1</v>
      </c>
      <c r="E777" t="s">
        <v>69</v>
      </c>
      <c r="F777" t="s">
        <v>3</v>
      </c>
      <c r="G777" t="s">
        <v>339</v>
      </c>
    </row>
    <row r="778" spans="1:8" ht="15" customHeight="1">
      <c r="A778" s="88">
        <v>44343.650390891198</v>
      </c>
      <c r="B778">
        <v>200</v>
      </c>
      <c r="C778">
        <v>2.2000000000000002</v>
      </c>
      <c r="D778" t="s">
        <v>1</v>
      </c>
      <c r="E778" t="s">
        <v>36</v>
      </c>
      <c r="F778" t="s">
        <v>3</v>
      </c>
      <c r="G778" t="s">
        <v>299</v>
      </c>
    </row>
    <row r="779" spans="1:8" ht="15" customHeight="1">
      <c r="A779" s="88">
        <v>44344.635775810202</v>
      </c>
      <c r="B779">
        <v>200</v>
      </c>
      <c r="C779">
        <v>2.2000000000000002</v>
      </c>
      <c r="D779" t="s">
        <v>1</v>
      </c>
      <c r="E779" t="s">
        <v>67</v>
      </c>
      <c r="F779" t="s">
        <v>3</v>
      </c>
      <c r="G779" t="s">
        <v>343</v>
      </c>
    </row>
    <row r="780" spans="1:8" ht="15" customHeight="1">
      <c r="A780" s="88">
        <v>44347.395964548603</v>
      </c>
      <c r="B780">
        <v>200</v>
      </c>
      <c r="C780">
        <v>2.2000000000000002</v>
      </c>
      <c r="D780" t="s">
        <v>1</v>
      </c>
      <c r="E780" t="s">
        <v>64</v>
      </c>
      <c r="F780" t="s">
        <v>3</v>
      </c>
      <c r="G780" t="s">
        <v>369</v>
      </c>
    </row>
    <row r="781" spans="1:8" ht="15" customHeight="1">
      <c r="A781" s="88">
        <v>44347.395964548603</v>
      </c>
      <c r="B781">
        <v>500</v>
      </c>
      <c r="C781">
        <v>5.5</v>
      </c>
      <c r="D781" t="s">
        <v>1</v>
      </c>
      <c r="E781" t="s">
        <v>20</v>
      </c>
      <c r="F781" t="s">
        <v>3</v>
      </c>
      <c r="G781" t="s">
        <v>283</v>
      </c>
    </row>
    <row r="782" spans="1:8" ht="15" customHeight="1">
      <c r="A782" s="88">
        <v>44081.561504513898</v>
      </c>
      <c r="B782">
        <v>200</v>
      </c>
      <c r="C782">
        <v>1.98</v>
      </c>
      <c r="D782" t="s">
        <v>1</v>
      </c>
      <c r="E782" t="s">
        <v>52</v>
      </c>
      <c r="F782" t="s">
        <v>3</v>
      </c>
      <c r="G782" t="s">
        <v>319</v>
      </c>
    </row>
    <row r="783" spans="1:8" ht="15" customHeight="1">
      <c r="A783" s="88">
        <v>44365.448381446797</v>
      </c>
      <c r="B783">
        <v>3000</v>
      </c>
      <c r="C783">
        <v>33</v>
      </c>
      <c r="D783" t="s">
        <v>1</v>
      </c>
      <c r="E783" t="s">
        <v>63</v>
      </c>
      <c r="F783" t="s">
        <v>3</v>
      </c>
      <c r="G783" t="s">
        <v>351</v>
      </c>
    </row>
    <row r="784" spans="1:8" ht="15" customHeight="1">
      <c r="A784" s="88">
        <v>44368.596995104199</v>
      </c>
      <c r="B784">
        <v>400</v>
      </c>
      <c r="C784">
        <v>4.4000000000000004</v>
      </c>
      <c r="D784" t="s">
        <v>1</v>
      </c>
      <c r="E784" t="s">
        <v>15</v>
      </c>
      <c r="F784" t="s">
        <v>3</v>
      </c>
      <c r="G784" t="s">
        <v>16</v>
      </c>
      <c r="H784" s="128">
        <f>C784/B784*100</f>
        <v>1.1000000000000001</v>
      </c>
    </row>
    <row r="785" spans="1:8" ht="15" customHeight="1">
      <c r="A785" s="88">
        <v>44372.475134838001</v>
      </c>
      <c r="B785">
        <v>200</v>
      </c>
      <c r="C785">
        <v>2.2000000000000002</v>
      </c>
      <c r="D785" t="s">
        <v>1</v>
      </c>
      <c r="E785" t="s">
        <v>69</v>
      </c>
      <c r="F785" t="s">
        <v>3</v>
      </c>
      <c r="G785" t="s">
        <v>339</v>
      </c>
    </row>
    <row r="786" spans="1:8" ht="15" customHeight="1">
      <c r="A786" s="88">
        <v>44375.594688738398</v>
      </c>
      <c r="B786">
        <v>200</v>
      </c>
      <c r="C786">
        <v>2.2000000000000002</v>
      </c>
      <c r="D786" t="s">
        <v>1</v>
      </c>
      <c r="E786" t="s">
        <v>53</v>
      </c>
      <c r="F786" t="s">
        <v>3</v>
      </c>
      <c r="G786" t="s">
        <v>81</v>
      </c>
    </row>
    <row r="787" spans="1:8" ht="15" customHeight="1">
      <c r="A787" s="88">
        <v>44375.594688738398</v>
      </c>
      <c r="B787">
        <v>200</v>
      </c>
      <c r="C787">
        <v>2.2000000000000002</v>
      </c>
      <c r="D787" t="s">
        <v>1</v>
      </c>
      <c r="E787" t="s">
        <v>36</v>
      </c>
      <c r="F787" t="s">
        <v>3</v>
      </c>
      <c r="G787" t="s">
        <v>299</v>
      </c>
    </row>
    <row r="788" spans="1:8" ht="15" customHeight="1">
      <c r="A788" s="136">
        <v>44376.648001585701</v>
      </c>
      <c r="B788" s="134">
        <v>200</v>
      </c>
      <c r="C788" s="134">
        <v>2.2000000000000002</v>
      </c>
      <c r="D788" s="134" t="s">
        <v>1</v>
      </c>
      <c r="E788" s="134" t="s">
        <v>19</v>
      </c>
      <c r="F788" s="134" t="s">
        <v>3</v>
      </c>
      <c r="G788" s="134" t="s">
        <v>377</v>
      </c>
      <c r="H788">
        <f>C788/B788*100</f>
        <v>1.1000000000000001</v>
      </c>
    </row>
    <row r="789" spans="1:8" ht="15" customHeight="1">
      <c r="A789" s="88">
        <v>44377.644287812502</v>
      </c>
      <c r="B789">
        <v>200</v>
      </c>
      <c r="C789">
        <v>2.2000000000000002</v>
      </c>
      <c r="D789" t="s">
        <v>1</v>
      </c>
      <c r="E789" t="s">
        <v>64</v>
      </c>
      <c r="F789" t="s">
        <v>3</v>
      </c>
      <c r="G789" t="s">
        <v>369</v>
      </c>
    </row>
    <row r="790" spans="1:8" ht="15" customHeight="1">
      <c r="A790" s="88">
        <v>44384.6860956366</v>
      </c>
      <c r="B790">
        <v>400</v>
      </c>
      <c r="C790">
        <v>4.4000000000000004</v>
      </c>
      <c r="D790" t="s">
        <v>1</v>
      </c>
      <c r="E790" t="s">
        <v>30</v>
      </c>
      <c r="F790" t="s">
        <v>3</v>
      </c>
      <c r="G790" t="s">
        <v>79</v>
      </c>
    </row>
    <row r="791" spans="1:8" ht="15" customHeight="1">
      <c r="A791" s="88">
        <v>44134.622143020802</v>
      </c>
      <c r="B791">
        <v>400</v>
      </c>
      <c r="C791">
        <v>3.96</v>
      </c>
      <c r="D791" t="s">
        <v>1</v>
      </c>
      <c r="E791" t="s">
        <v>52</v>
      </c>
      <c r="F791" t="s">
        <v>3</v>
      </c>
      <c r="G791" t="s">
        <v>319</v>
      </c>
    </row>
    <row r="792" spans="1:8" ht="15" customHeight="1">
      <c r="A792" s="88">
        <v>44393.581277395802</v>
      </c>
      <c r="B792">
        <v>500</v>
      </c>
      <c r="C792">
        <v>5.5</v>
      </c>
      <c r="D792" t="s">
        <v>1</v>
      </c>
      <c r="E792" t="s">
        <v>7</v>
      </c>
      <c r="F792" t="s">
        <v>3</v>
      </c>
      <c r="G792" t="s">
        <v>85</v>
      </c>
    </row>
    <row r="793" spans="1:8" ht="15" customHeight="1">
      <c r="A793" s="88">
        <v>44398.470458067102</v>
      </c>
      <c r="B793">
        <v>300</v>
      </c>
      <c r="C793">
        <v>3.3</v>
      </c>
      <c r="D793" t="s">
        <v>1</v>
      </c>
      <c r="E793" t="s">
        <v>15</v>
      </c>
      <c r="F793" t="s">
        <v>3</v>
      </c>
      <c r="G793" t="s">
        <v>16</v>
      </c>
      <c r="H793" s="128">
        <f>C793/B793*100</f>
        <v>1.0999999999999999</v>
      </c>
    </row>
    <row r="794" spans="1:8" ht="15" customHeight="1">
      <c r="A794" s="88">
        <v>44400.608472419</v>
      </c>
      <c r="B794">
        <v>400</v>
      </c>
      <c r="C794">
        <v>4.4000000000000004</v>
      </c>
      <c r="D794" t="s">
        <v>1</v>
      </c>
      <c r="E794" t="s">
        <v>54</v>
      </c>
      <c r="F794" t="s">
        <v>3</v>
      </c>
      <c r="G794" t="s">
        <v>55</v>
      </c>
    </row>
    <row r="795" spans="1:8" ht="15" customHeight="1">
      <c r="A795" s="88">
        <v>44403.615670138897</v>
      </c>
      <c r="B795">
        <v>200</v>
      </c>
      <c r="C795">
        <v>2.2000000000000002</v>
      </c>
      <c r="D795" t="s">
        <v>1</v>
      </c>
      <c r="E795" t="s">
        <v>53</v>
      </c>
      <c r="F795" t="s">
        <v>3</v>
      </c>
      <c r="G795" t="s">
        <v>81</v>
      </c>
    </row>
  </sheetData>
  <autoFilter ref="A1:H79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BE95"/>
  <sheetViews>
    <sheetView zoomScale="80" zoomScaleNormal="80" workbookViewId="0">
      <pane ySplit="1" topLeftCell="A2" activePane="bottomLeft" state="frozen"/>
      <selection pane="bottomLeft" activeCell="A12" sqref="A12"/>
    </sheetView>
  </sheetViews>
  <sheetFormatPr defaultColWidth="9.1328125" defaultRowHeight="14.25"/>
  <cols>
    <col min="1" max="1" width="30.86328125" customWidth="1"/>
    <col min="2" max="2" width="15.59765625" customWidth="1"/>
    <col min="3" max="3" width="17" customWidth="1"/>
    <col min="4" max="4" width="15.59765625" customWidth="1"/>
    <col min="5" max="5" width="19.3984375" customWidth="1"/>
    <col min="6" max="6" width="19.3984375" style="140" customWidth="1"/>
    <col min="7" max="7" width="14.3984375" customWidth="1"/>
    <col min="8" max="8" width="14.59765625" bestFit="1" customWidth="1"/>
    <col min="9" max="10" width="13.1328125" customWidth="1"/>
    <col min="11" max="11" width="12.86328125" bestFit="1" customWidth="1"/>
    <col min="12" max="12" width="11.265625" customWidth="1"/>
    <col min="13" max="13" width="9.265625" customWidth="1"/>
    <col min="14" max="14" width="14.1328125" customWidth="1"/>
    <col min="15" max="15" width="11.3984375" style="125" bestFit="1" customWidth="1"/>
    <col min="16" max="16" width="9.1328125" style="146"/>
    <col min="17" max="17" width="9.1328125" style="168"/>
    <col min="18" max="18" width="11.3984375" style="125" bestFit="1" customWidth="1"/>
    <col min="19" max="19" width="9.1328125" style="146"/>
    <col min="20" max="20" width="9.1328125" style="168"/>
    <col min="21" max="21" width="12.3984375" style="125" bestFit="1" customWidth="1"/>
    <col min="22" max="22" width="13.59765625" style="146" bestFit="1" customWidth="1"/>
    <col min="23" max="23" width="9.1328125" style="168"/>
    <col min="24" max="24" width="12.3984375" style="125" bestFit="1" customWidth="1"/>
    <col min="25" max="25" width="13.59765625" style="146" bestFit="1" customWidth="1"/>
    <col min="26" max="26" width="9.1328125" style="168"/>
    <col min="27" max="27" width="12.3984375" style="125" bestFit="1" customWidth="1"/>
    <col min="28" max="28" width="9.1328125" style="146"/>
    <col min="29" max="29" width="9.1328125" style="168"/>
    <col min="30" max="30" width="11.1328125" style="125" bestFit="1" customWidth="1"/>
    <col min="31" max="31" width="9.1328125" style="146"/>
    <col min="32" max="32" width="9.1328125" style="168"/>
    <col min="33" max="33" width="11.1328125" style="125" bestFit="1" customWidth="1"/>
    <col min="34" max="34" width="9.1328125" style="146"/>
    <col min="35" max="35" width="9.1328125" style="168"/>
    <col min="36" max="36" width="11.59765625" style="125" bestFit="1" customWidth="1"/>
    <col min="37" max="37" width="9.1328125" style="146"/>
    <col min="38" max="38" width="9.1328125" style="168"/>
    <col min="39" max="39" width="13.3984375" style="125" customWidth="1"/>
    <col min="40" max="40" width="13.59765625" style="146" bestFit="1" customWidth="1"/>
    <col min="41" max="41" width="9.1328125" style="168"/>
    <col min="42" max="42" width="12.3984375" style="125" bestFit="1" customWidth="1"/>
    <col min="43" max="43" width="13.59765625" style="146" bestFit="1" customWidth="1"/>
    <col min="44" max="44" width="9.1328125" style="168"/>
    <col min="45" max="45" width="12.1328125" style="125" bestFit="1" customWidth="1"/>
    <col min="46" max="46" width="13.59765625" style="146" bestFit="1" customWidth="1"/>
    <col min="47" max="47" width="9.1328125" style="168"/>
    <col min="48" max="48" width="11.265625" style="125" bestFit="1" customWidth="1"/>
    <col min="49" max="49" width="9.1328125" style="146"/>
    <col min="50" max="50" width="9.1328125" style="168"/>
    <col min="51" max="51" width="18" bestFit="1" customWidth="1"/>
    <col min="55" max="55" width="6" customWidth="1"/>
    <col min="56" max="57" width="9.1328125" hidden="1" customWidth="1"/>
  </cols>
  <sheetData>
    <row r="1" spans="1:52" s="14" customFormat="1" ht="78.75" customHeight="1">
      <c r="A1" s="11" t="s">
        <v>0</v>
      </c>
      <c r="B1" s="11" t="s">
        <v>106</v>
      </c>
      <c r="C1" s="11" t="s">
        <v>232</v>
      </c>
      <c r="D1" s="113" t="s">
        <v>392</v>
      </c>
      <c r="E1" s="113" t="s">
        <v>224</v>
      </c>
      <c r="F1" s="138" t="s">
        <v>393</v>
      </c>
      <c r="G1" s="149" t="s">
        <v>225</v>
      </c>
      <c r="H1" s="206" t="s">
        <v>400</v>
      </c>
      <c r="I1" s="149" t="s">
        <v>227</v>
      </c>
      <c r="J1" s="149" t="s">
        <v>394</v>
      </c>
      <c r="K1" s="149" t="s">
        <v>395</v>
      </c>
      <c r="L1" s="149" t="s">
        <v>231</v>
      </c>
      <c r="M1" s="149" t="s">
        <v>99</v>
      </c>
      <c r="N1" s="150" t="s">
        <v>230</v>
      </c>
      <c r="O1" s="151">
        <v>43282</v>
      </c>
      <c r="P1" s="152" t="s">
        <v>383</v>
      </c>
      <c r="Q1" s="153" t="s">
        <v>99</v>
      </c>
      <c r="R1" s="151">
        <v>43313</v>
      </c>
      <c r="S1" s="152" t="s">
        <v>383</v>
      </c>
      <c r="T1" s="153" t="s">
        <v>99</v>
      </c>
      <c r="U1" s="151">
        <v>43344</v>
      </c>
      <c r="V1" s="152" t="s">
        <v>383</v>
      </c>
      <c r="W1" s="153" t="s">
        <v>99</v>
      </c>
      <c r="X1" s="151">
        <v>43374</v>
      </c>
      <c r="Y1" s="152" t="s">
        <v>383</v>
      </c>
      <c r="Z1" s="154" t="s">
        <v>99</v>
      </c>
      <c r="AA1" s="151">
        <v>43405</v>
      </c>
      <c r="AB1" s="152" t="s">
        <v>383</v>
      </c>
      <c r="AC1" s="155" t="s">
        <v>99</v>
      </c>
      <c r="AD1" s="151">
        <v>43435</v>
      </c>
      <c r="AE1" s="152" t="s">
        <v>383</v>
      </c>
      <c r="AF1" s="155" t="s">
        <v>99</v>
      </c>
      <c r="AG1" s="151">
        <v>43466</v>
      </c>
      <c r="AH1" s="152" t="s">
        <v>383</v>
      </c>
      <c r="AI1" s="155" t="s">
        <v>99</v>
      </c>
      <c r="AJ1" s="151">
        <v>43497</v>
      </c>
      <c r="AK1" s="152" t="s">
        <v>383</v>
      </c>
      <c r="AL1" s="155" t="s">
        <v>99</v>
      </c>
      <c r="AM1" s="151">
        <v>43525</v>
      </c>
      <c r="AN1" s="152" t="s">
        <v>384</v>
      </c>
      <c r="AO1" s="155" t="s">
        <v>99</v>
      </c>
      <c r="AP1" s="151">
        <v>43556</v>
      </c>
      <c r="AQ1" s="152" t="s">
        <v>384</v>
      </c>
      <c r="AR1" s="155" t="s">
        <v>99</v>
      </c>
      <c r="AS1" s="151">
        <v>43586</v>
      </c>
      <c r="AT1" s="152" t="s">
        <v>384</v>
      </c>
      <c r="AU1" s="155" t="s">
        <v>99</v>
      </c>
      <c r="AV1" s="151">
        <v>43617</v>
      </c>
      <c r="AW1" s="152" t="s">
        <v>384</v>
      </c>
      <c r="AX1" s="155" t="s">
        <v>99</v>
      </c>
      <c r="AY1" s="86" t="s">
        <v>217</v>
      </c>
    </row>
    <row r="2" spans="1:52">
      <c r="A2" s="46" t="s">
        <v>662</v>
      </c>
      <c r="B2" s="121" t="s">
        <v>107</v>
      </c>
      <c r="C2" s="156">
        <v>100</v>
      </c>
      <c r="D2" s="157">
        <f>200*12</f>
        <v>2400</v>
      </c>
      <c r="E2" s="157">
        <v>0</v>
      </c>
      <c r="F2" s="158">
        <f>'Catch up Fee'!D2</f>
        <v>200</v>
      </c>
      <c r="G2" s="157">
        <f>C2+D2</f>
        <v>2500</v>
      </c>
      <c r="H2" s="159">
        <f>AY2</f>
        <v>1700</v>
      </c>
      <c r="I2" s="157">
        <f>G2-H2</f>
        <v>800</v>
      </c>
      <c r="J2" s="157">
        <f>I2+M2</f>
        <v>800</v>
      </c>
      <c r="K2" s="157">
        <f t="shared" ref="K2:K64" si="0">P2+S2+V2+Y2+AB2+AE2+AH2+AK2+AN2+AQ2+AT2+AW2</f>
        <v>15.73</v>
      </c>
      <c r="L2" s="157">
        <f t="shared" ref="L2:L7" si="1">(H2-K2-C2)*5.5%</f>
        <v>87.13485</v>
      </c>
      <c r="M2" s="157">
        <v>0</v>
      </c>
      <c r="N2" s="157">
        <f t="shared" ref="N2:N7" si="2">H2-K2-M2+L2</f>
        <v>1771.4048499999999</v>
      </c>
      <c r="O2" s="165">
        <v>0</v>
      </c>
      <c r="P2" s="166">
        <f>O2*0.89%</f>
        <v>0</v>
      </c>
      <c r="Q2" s="167">
        <v>0</v>
      </c>
      <c r="R2" s="165"/>
      <c r="S2" s="166">
        <f>R2*0.89%</f>
        <v>0</v>
      </c>
      <c r="T2" s="167">
        <v>0</v>
      </c>
      <c r="U2" s="165">
        <f>'2018-2019 B STATEMENT '!B38+'2018-2019 B STATEMENT '!B62</f>
        <v>500</v>
      </c>
      <c r="V2" s="166">
        <f>U2*0.89%</f>
        <v>4.45</v>
      </c>
      <c r="W2" s="167">
        <v>0</v>
      </c>
      <c r="X2" s="165">
        <f>'2018-2019 B STATEMENT '!B102</f>
        <v>200</v>
      </c>
      <c r="Y2" s="166">
        <f>X2*0.89%</f>
        <v>1.78</v>
      </c>
      <c r="Z2" s="167">
        <v>0</v>
      </c>
      <c r="AA2" s="165">
        <f>'2018-2019 B STATEMENT '!B140</f>
        <v>400</v>
      </c>
      <c r="AB2" s="166">
        <f>AA2*0.89%</f>
        <v>3.56</v>
      </c>
      <c r="AC2" s="167">
        <v>0</v>
      </c>
      <c r="AD2" s="165">
        <v>0</v>
      </c>
      <c r="AE2" s="166">
        <f>AD2*0.89%</f>
        <v>0</v>
      </c>
      <c r="AF2" s="167">
        <v>0</v>
      </c>
      <c r="AG2" s="165">
        <v>0</v>
      </c>
      <c r="AH2" s="166">
        <f>AG2*0.89%</f>
        <v>0</v>
      </c>
      <c r="AI2" s="167">
        <v>0</v>
      </c>
      <c r="AJ2" s="165">
        <v>0</v>
      </c>
      <c r="AK2" s="166">
        <f>AJ2*0.89%</f>
        <v>0</v>
      </c>
      <c r="AL2" s="167">
        <v>0</v>
      </c>
      <c r="AM2" s="165">
        <f>'2018-2019 B STATEMENT '!B233</f>
        <v>600</v>
      </c>
      <c r="AN2" s="166">
        <f>AM2*0.99%</f>
        <v>5.9399999999999995</v>
      </c>
      <c r="AO2" s="167">
        <v>0</v>
      </c>
      <c r="AP2" s="165">
        <v>0</v>
      </c>
      <c r="AQ2" s="166">
        <f>AP2*0.99%</f>
        <v>0</v>
      </c>
      <c r="AR2" s="167">
        <v>0</v>
      </c>
      <c r="AS2" s="165">
        <v>0</v>
      </c>
      <c r="AT2" s="166">
        <f>AS2*0.99%</f>
        <v>0</v>
      </c>
      <c r="AU2" s="167">
        <v>0</v>
      </c>
      <c r="AV2" s="165">
        <v>0</v>
      </c>
      <c r="AW2" s="166">
        <f>AV2*0.99%</f>
        <v>0</v>
      </c>
      <c r="AX2" s="167">
        <v>0</v>
      </c>
      <c r="AY2" s="87">
        <f t="shared" ref="AY2:AY7" si="3">O2+R2+U2+X2+AA2+AD2+AJ2+AG2+AM2+AP2+AS2+AV2</f>
        <v>1700</v>
      </c>
    </row>
    <row r="3" spans="1:52">
      <c r="A3" s="10" t="s">
        <v>574</v>
      </c>
      <c r="B3" s="121" t="s">
        <v>136</v>
      </c>
      <c r="C3" s="156">
        <v>100</v>
      </c>
      <c r="D3" s="157">
        <f t="shared" ref="D3:D66" si="4">200*12</f>
        <v>2400</v>
      </c>
      <c r="E3" s="157">
        <v>0</v>
      </c>
      <c r="F3" s="158">
        <f>'Catch up Fee'!D3</f>
        <v>1600</v>
      </c>
      <c r="G3" s="157">
        <f t="shared" ref="G3:G33" si="5">C3+D3</f>
        <v>2500</v>
      </c>
      <c r="H3" s="159">
        <f>AY3</f>
        <v>2500</v>
      </c>
      <c r="I3" s="157">
        <f>G3-H3</f>
        <v>0</v>
      </c>
      <c r="J3" s="157">
        <f>I3+M3</f>
        <v>0</v>
      </c>
      <c r="K3" s="157">
        <f t="shared" si="0"/>
        <v>24.749999999999996</v>
      </c>
      <c r="L3" s="157">
        <f t="shared" si="1"/>
        <v>130.63874999999999</v>
      </c>
      <c r="M3" s="157">
        <v>0</v>
      </c>
      <c r="N3" s="157">
        <f t="shared" si="2"/>
        <v>2605.8887500000001</v>
      </c>
      <c r="O3" s="165">
        <v>0</v>
      </c>
      <c r="P3" s="166">
        <f t="shared" ref="P3:P66" si="6">O3*0.89%</f>
        <v>0</v>
      </c>
      <c r="Q3" s="167">
        <v>0</v>
      </c>
      <c r="R3" s="165">
        <v>0</v>
      </c>
      <c r="S3" s="166">
        <f t="shared" ref="S3:S66" si="7">R3*0.89%</f>
        <v>0</v>
      </c>
      <c r="T3" s="167">
        <v>0</v>
      </c>
      <c r="U3" s="165">
        <v>0</v>
      </c>
      <c r="V3" s="166">
        <f t="shared" ref="V3:V66" si="8">U3*0.89%</f>
        <v>0</v>
      </c>
      <c r="W3" s="167">
        <v>0</v>
      </c>
      <c r="X3" s="165">
        <v>0</v>
      </c>
      <c r="Y3" s="166">
        <f t="shared" ref="Y3:Y66" si="9">X3*0.89%</f>
        <v>0</v>
      </c>
      <c r="Z3" s="167">
        <v>0</v>
      </c>
      <c r="AA3" s="165">
        <v>0</v>
      </c>
      <c r="AB3" s="166">
        <f t="shared" ref="AB3:AB66" si="10">AA3*0.89%</f>
        <v>0</v>
      </c>
      <c r="AC3" s="167">
        <v>0</v>
      </c>
      <c r="AD3" s="165">
        <v>0</v>
      </c>
      <c r="AE3" s="166">
        <f t="shared" ref="AE3:AE66" si="11">AD3*0.89%</f>
        <v>0</v>
      </c>
      <c r="AF3" s="167">
        <v>0</v>
      </c>
      <c r="AG3" s="165">
        <v>0</v>
      </c>
      <c r="AH3" s="166">
        <f t="shared" ref="AH3:AH66" si="12">AG3*0.89%</f>
        <v>0</v>
      </c>
      <c r="AI3" s="167">
        <v>0</v>
      </c>
      <c r="AJ3" s="165">
        <v>0</v>
      </c>
      <c r="AK3" s="166">
        <f t="shared" ref="AK3:AK66" si="13">AJ3*0.89%</f>
        <v>0</v>
      </c>
      <c r="AL3" s="167">
        <v>0</v>
      </c>
      <c r="AM3" s="165">
        <v>0</v>
      </c>
      <c r="AN3" s="166">
        <f t="shared" ref="AN3:AN66" si="14">AM3*0.99%</f>
        <v>0</v>
      </c>
      <c r="AO3" s="167">
        <v>0</v>
      </c>
      <c r="AP3" s="165">
        <v>2500</v>
      </c>
      <c r="AQ3" s="166">
        <f t="shared" ref="AQ3:AQ66" si="15">AP3*0.99%</f>
        <v>24.749999999999996</v>
      </c>
      <c r="AR3" s="167">
        <v>0</v>
      </c>
      <c r="AS3" s="165">
        <v>0</v>
      </c>
      <c r="AT3" s="166">
        <f t="shared" ref="AT3:AT66" si="16">AS3*0.99%</f>
        <v>0</v>
      </c>
      <c r="AU3" s="167">
        <v>0</v>
      </c>
      <c r="AV3" s="165">
        <v>0</v>
      </c>
      <c r="AW3" s="166">
        <f t="shared" ref="AW3:AW66" si="17">AV3*0.99%</f>
        <v>0</v>
      </c>
      <c r="AX3" s="167">
        <v>0</v>
      </c>
      <c r="AY3" s="87">
        <f t="shared" si="3"/>
        <v>2500</v>
      </c>
    </row>
    <row r="4" spans="1:52">
      <c r="A4" s="46" t="s">
        <v>575</v>
      </c>
      <c r="B4" s="121" t="s">
        <v>108</v>
      </c>
      <c r="C4" s="156">
        <v>100</v>
      </c>
      <c r="D4" s="157">
        <f t="shared" si="4"/>
        <v>2400</v>
      </c>
      <c r="E4" s="157">
        <v>0</v>
      </c>
      <c r="F4" s="158">
        <f>'Catch up Fee'!D4</f>
        <v>0</v>
      </c>
      <c r="G4" s="157">
        <f t="shared" si="5"/>
        <v>2500</v>
      </c>
      <c r="H4" s="159">
        <f t="shared" ref="H4:H66" si="18">AY4</f>
        <v>1500</v>
      </c>
      <c r="I4" s="157">
        <f>G4-H4-C4</f>
        <v>900</v>
      </c>
      <c r="J4" s="157">
        <f t="shared" ref="J4:J66" si="19">I4+M4</f>
        <v>900</v>
      </c>
      <c r="K4" s="157">
        <f t="shared" si="0"/>
        <v>14.349999999999998</v>
      </c>
      <c r="L4" s="157">
        <f t="shared" si="1"/>
        <v>76.210750000000004</v>
      </c>
      <c r="M4" s="157">
        <v>0</v>
      </c>
      <c r="N4" s="157">
        <f t="shared" si="2"/>
        <v>1561.8607500000001</v>
      </c>
      <c r="O4" s="165">
        <v>0</v>
      </c>
      <c r="P4" s="166">
        <f t="shared" si="6"/>
        <v>0</v>
      </c>
      <c r="Q4" s="167">
        <v>0</v>
      </c>
      <c r="R4" s="165">
        <v>0</v>
      </c>
      <c r="S4" s="166">
        <f t="shared" si="7"/>
        <v>0</v>
      </c>
      <c r="T4" s="167">
        <v>0</v>
      </c>
      <c r="U4" s="165">
        <f>'2018-2019 B STATEMENT '!B63</f>
        <v>500</v>
      </c>
      <c r="V4" s="166">
        <f t="shared" si="8"/>
        <v>4.45</v>
      </c>
      <c r="W4" s="167">
        <v>0</v>
      </c>
      <c r="X4" s="165">
        <v>0</v>
      </c>
      <c r="Y4" s="166">
        <f t="shared" si="9"/>
        <v>0</v>
      </c>
      <c r="Z4" s="167">
        <v>0</v>
      </c>
      <c r="AA4" s="165">
        <v>0</v>
      </c>
      <c r="AB4" s="166">
        <f t="shared" si="10"/>
        <v>0</v>
      </c>
      <c r="AC4" s="167">
        <v>0</v>
      </c>
      <c r="AD4" s="165">
        <v>0</v>
      </c>
      <c r="AE4" s="166">
        <f t="shared" si="11"/>
        <v>0</v>
      </c>
      <c r="AF4" s="167">
        <v>0</v>
      </c>
      <c r="AG4" s="165">
        <v>0</v>
      </c>
      <c r="AH4" s="166">
        <f t="shared" si="12"/>
        <v>0</v>
      </c>
      <c r="AI4" s="167">
        <v>0</v>
      </c>
      <c r="AJ4" s="165">
        <v>0</v>
      </c>
      <c r="AK4" s="166">
        <f t="shared" si="13"/>
        <v>0</v>
      </c>
      <c r="AL4" s="167">
        <v>0</v>
      </c>
      <c r="AM4" s="165">
        <f>'2018-2019 B STATEMENT '!B209</f>
        <v>500</v>
      </c>
      <c r="AN4" s="166">
        <f t="shared" si="14"/>
        <v>4.9499999999999993</v>
      </c>
      <c r="AO4" s="167">
        <v>0</v>
      </c>
      <c r="AP4" s="165">
        <f>'2018-2019 B STATEMENT '!B260</f>
        <v>500</v>
      </c>
      <c r="AQ4" s="166">
        <f t="shared" si="15"/>
        <v>4.9499999999999993</v>
      </c>
      <c r="AR4" s="167">
        <v>0</v>
      </c>
      <c r="AS4" s="165">
        <v>0</v>
      </c>
      <c r="AT4" s="166">
        <f t="shared" si="16"/>
        <v>0</v>
      </c>
      <c r="AU4" s="167">
        <v>0</v>
      </c>
      <c r="AV4" s="165">
        <v>0</v>
      </c>
      <c r="AW4" s="166">
        <f t="shared" si="17"/>
        <v>0</v>
      </c>
      <c r="AX4" s="167">
        <v>0</v>
      </c>
      <c r="AY4" s="87">
        <f t="shared" si="3"/>
        <v>1500</v>
      </c>
    </row>
    <row r="5" spans="1:52">
      <c r="A5" s="10" t="s">
        <v>576</v>
      </c>
      <c r="B5" s="121" t="s">
        <v>109</v>
      </c>
      <c r="C5" s="156">
        <v>100</v>
      </c>
      <c r="D5" s="157">
        <f t="shared" si="4"/>
        <v>2400</v>
      </c>
      <c r="E5" s="157">
        <v>0</v>
      </c>
      <c r="F5" s="158">
        <f>'Catch up Fee'!D5</f>
        <v>0</v>
      </c>
      <c r="G5" s="157">
        <f t="shared" si="5"/>
        <v>2500</v>
      </c>
      <c r="H5" s="159">
        <f t="shared" si="18"/>
        <v>200</v>
      </c>
      <c r="I5" s="157">
        <f>G5-H5-C5</f>
        <v>2200</v>
      </c>
      <c r="J5" s="157">
        <f t="shared" si="19"/>
        <v>2200</v>
      </c>
      <c r="K5" s="157">
        <f t="shared" si="0"/>
        <v>1.78</v>
      </c>
      <c r="L5" s="157">
        <f t="shared" si="1"/>
        <v>5.4020999999999999</v>
      </c>
      <c r="M5" s="157">
        <v>0</v>
      </c>
      <c r="N5" s="157">
        <f>H5-K5-M5+L5</f>
        <v>203.62209999999999</v>
      </c>
      <c r="O5" s="165">
        <v>0</v>
      </c>
      <c r="P5" s="166">
        <f t="shared" si="6"/>
        <v>0</v>
      </c>
      <c r="Q5" s="167">
        <v>0</v>
      </c>
      <c r="R5" s="165">
        <f>'2018-2019 B STATEMENT '!B7</f>
        <v>200</v>
      </c>
      <c r="S5" s="166">
        <f t="shared" si="7"/>
        <v>1.78</v>
      </c>
      <c r="T5" s="167">
        <v>0</v>
      </c>
      <c r="U5" s="165">
        <v>0</v>
      </c>
      <c r="V5" s="166">
        <f t="shared" si="8"/>
        <v>0</v>
      </c>
      <c r="W5" s="167">
        <v>0</v>
      </c>
      <c r="X5" s="165">
        <v>0</v>
      </c>
      <c r="Y5" s="166">
        <f t="shared" si="9"/>
        <v>0</v>
      </c>
      <c r="Z5" s="167">
        <v>0</v>
      </c>
      <c r="AA5" s="165">
        <v>0</v>
      </c>
      <c r="AB5" s="166">
        <f t="shared" si="10"/>
        <v>0</v>
      </c>
      <c r="AC5" s="167">
        <v>0</v>
      </c>
      <c r="AD5" s="165">
        <v>0</v>
      </c>
      <c r="AE5" s="166">
        <f t="shared" si="11"/>
        <v>0</v>
      </c>
      <c r="AF5" s="167">
        <v>0</v>
      </c>
      <c r="AG5" s="165">
        <v>0</v>
      </c>
      <c r="AH5" s="166">
        <f t="shared" si="12"/>
        <v>0</v>
      </c>
      <c r="AI5" s="167">
        <v>0</v>
      </c>
      <c r="AJ5" s="165">
        <v>0</v>
      </c>
      <c r="AK5" s="166">
        <f t="shared" si="13"/>
        <v>0</v>
      </c>
      <c r="AL5" s="167">
        <v>0</v>
      </c>
      <c r="AM5" s="165">
        <v>0</v>
      </c>
      <c r="AN5" s="166">
        <f t="shared" si="14"/>
        <v>0</v>
      </c>
      <c r="AO5" s="167">
        <v>0</v>
      </c>
      <c r="AP5" s="165">
        <v>0</v>
      </c>
      <c r="AQ5" s="166">
        <f t="shared" si="15"/>
        <v>0</v>
      </c>
      <c r="AR5" s="167">
        <v>0</v>
      </c>
      <c r="AS5" s="165">
        <v>0</v>
      </c>
      <c r="AT5" s="166">
        <f t="shared" si="16"/>
        <v>0</v>
      </c>
      <c r="AU5" s="167">
        <v>0</v>
      </c>
      <c r="AV5" s="165">
        <v>0</v>
      </c>
      <c r="AW5" s="166">
        <f t="shared" si="17"/>
        <v>0</v>
      </c>
      <c r="AX5" s="167">
        <v>0</v>
      </c>
      <c r="AY5" s="87">
        <f t="shared" si="3"/>
        <v>200</v>
      </c>
    </row>
    <row r="6" spans="1:52" s="41" customFormat="1">
      <c r="A6" s="46" t="s">
        <v>577</v>
      </c>
      <c r="B6" s="121" t="s">
        <v>110</v>
      </c>
      <c r="C6" s="156">
        <v>100</v>
      </c>
      <c r="D6" s="157">
        <f t="shared" si="4"/>
        <v>2400</v>
      </c>
      <c r="E6" s="157">
        <v>0</v>
      </c>
      <c r="F6" s="158">
        <f>'Catch up Fee'!D6</f>
        <v>0</v>
      </c>
      <c r="G6" s="157">
        <f t="shared" si="5"/>
        <v>2500</v>
      </c>
      <c r="H6" s="159">
        <f t="shared" si="18"/>
        <v>2500</v>
      </c>
      <c r="I6" s="157">
        <f>G6-H6-C6</f>
        <v>-100</v>
      </c>
      <c r="J6" s="157">
        <f t="shared" si="19"/>
        <v>-100</v>
      </c>
      <c r="K6" s="157">
        <f t="shared" si="0"/>
        <v>23.05</v>
      </c>
      <c r="L6" s="157">
        <f t="shared" si="1"/>
        <v>130.73224999999999</v>
      </c>
      <c r="M6" s="157">
        <v>0</v>
      </c>
      <c r="N6" s="157">
        <f t="shared" si="2"/>
        <v>2607.6822499999998</v>
      </c>
      <c r="O6" s="165">
        <v>0</v>
      </c>
      <c r="P6" s="166">
        <f t="shared" si="6"/>
        <v>0</v>
      </c>
      <c r="Q6" s="167">
        <v>0</v>
      </c>
      <c r="R6" s="165">
        <f>'2018-2019 B STATEMENT '!B10</f>
        <v>300</v>
      </c>
      <c r="S6" s="166">
        <f t="shared" si="7"/>
        <v>2.67</v>
      </c>
      <c r="T6" s="167">
        <v>0</v>
      </c>
      <c r="U6" s="165">
        <f>'2018-2019 B STATEMENT '!B36+'2018-2019 B STATEMENT '!B65</f>
        <v>400</v>
      </c>
      <c r="V6" s="166">
        <f t="shared" si="8"/>
        <v>3.56</v>
      </c>
      <c r="W6" s="167">
        <v>0</v>
      </c>
      <c r="X6" s="165">
        <v>0</v>
      </c>
      <c r="Y6" s="166">
        <f t="shared" si="9"/>
        <v>0</v>
      </c>
      <c r="Z6" s="167">
        <v>0</v>
      </c>
      <c r="AA6" s="165">
        <f>'2018-2019 B STATEMENT '!B111</f>
        <v>200</v>
      </c>
      <c r="AB6" s="166">
        <f t="shared" si="10"/>
        <v>1.78</v>
      </c>
      <c r="AC6" s="167">
        <v>0</v>
      </c>
      <c r="AD6" s="165">
        <f>'2018-2019 B STATEMENT '!B154</f>
        <v>200</v>
      </c>
      <c r="AE6" s="166">
        <f t="shared" si="11"/>
        <v>1.78</v>
      </c>
      <c r="AF6" s="167">
        <v>0</v>
      </c>
      <c r="AG6" s="165">
        <f>'2018-2019 B STATEMENT '!B164+'2018-2019 B STATEMENT '!B165</f>
        <v>400</v>
      </c>
      <c r="AH6" s="166">
        <f t="shared" si="12"/>
        <v>3.56</v>
      </c>
      <c r="AI6" s="167">
        <v>0</v>
      </c>
      <c r="AJ6" s="165">
        <f>'2018-2019 B STATEMENT '!B190</f>
        <v>200</v>
      </c>
      <c r="AK6" s="166">
        <f t="shared" si="13"/>
        <v>1.78</v>
      </c>
      <c r="AL6" s="167">
        <v>0</v>
      </c>
      <c r="AM6" s="165">
        <f>'2018-2019 B STATEMENT '!B217</f>
        <v>200</v>
      </c>
      <c r="AN6" s="166">
        <f t="shared" si="14"/>
        <v>1.9799999999999998</v>
      </c>
      <c r="AO6" s="167">
        <v>0</v>
      </c>
      <c r="AP6" s="165">
        <f>'2018-2019 B STATEMENT '!B261</f>
        <v>200</v>
      </c>
      <c r="AQ6" s="166">
        <f t="shared" si="15"/>
        <v>1.9799999999999998</v>
      </c>
      <c r="AR6" s="167">
        <v>0</v>
      </c>
      <c r="AS6" s="165">
        <f>'2018-2019 B STATEMENT '!B274</f>
        <v>200</v>
      </c>
      <c r="AT6" s="166">
        <f t="shared" si="16"/>
        <v>1.9799999999999998</v>
      </c>
      <c r="AU6" s="167">
        <v>0</v>
      </c>
      <c r="AV6" s="165">
        <f>'2018-2019 B STATEMENT '!B300</f>
        <v>200</v>
      </c>
      <c r="AW6" s="166">
        <f t="shared" si="17"/>
        <v>1.9799999999999998</v>
      </c>
      <c r="AX6" s="167">
        <v>0</v>
      </c>
      <c r="AY6" s="87">
        <f t="shared" si="3"/>
        <v>2500</v>
      </c>
      <c r="AZ6"/>
    </row>
    <row r="7" spans="1:52">
      <c r="A7" s="10" t="s">
        <v>578</v>
      </c>
      <c r="B7" s="121" t="s">
        <v>137</v>
      </c>
      <c r="C7" s="156">
        <v>100</v>
      </c>
      <c r="D7" s="157">
        <f t="shared" si="4"/>
        <v>2400</v>
      </c>
      <c r="E7" s="157">
        <v>0</v>
      </c>
      <c r="F7" s="158">
        <f>'Catch up Fee'!D7</f>
        <v>600</v>
      </c>
      <c r="G7" s="157">
        <f t="shared" si="5"/>
        <v>2500</v>
      </c>
      <c r="H7" s="159">
        <f t="shared" si="18"/>
        <v>1100</v>
      </c>
      <c r="I7" s="157">
        <f>G7-H7</f>
        <v>1400</v>
      </c>
      <c r="J7" s="157">
        <f t="shared" si="19"/>
        <v>1400</v>
      </c>
      <c r="K7" s="157">
        <f t="shared" si="0"/>
        <v>10.889999999999999</v>
      </c>
      <c r="L7" s="157">
        <f t="shared" si="1"/>
        <v>54.401049999999998</v>
      </c>
      <c r="M7" s="157">
        <v>0</v>
      </c>
      <c r="N7" s="157">
        <f t="shared" si="2"/>
        <v>1143.5110499999998</v>
      </c>
      <c r="O7" s="165">
        <v>0</v>
      </c>
      <c r="P7" s="166">
        <f t="shared" si="6"/>
        <v>0</v>
      </c>
      <c r="Q7" s="167">
        <v>0</v>
      </c>
      <c r="R7" s="165">
        <v>0</v>
      </c>
      <c r="S7" s="166">
        <f t="shared" si="7"/>
        <v>0</v>
      </c>
      <c r="T7" s="167">
        <v>0</v>
      </c>
      <c r="U7" s="165">
        <v>0</v>
      </c>
      <c r="V7" s="166">
        <f t="shared" si="8"/>
        <v>0</v>
      </c>
      <c r="W7" s="167">
        <v>0</v>
      </c>
      <c r="X7" s="165">
        <v>0</v>
      </c>
      <c r="Y7" s="166">
        <f t="shared" si="9"/>
        <v>0</v>
      </c>
      <c r="Z7" s="167">
        <v>0</v>
      </c>
      <c r="AA7" s="165">
        <v>0</v>
      </c>
      <c r="AB7" s="166">
        <f t="shared" si="10"/>
        <v>0</v>
      </c>
      <c r="AC7" s="167">
        <v>0</v>
      </c>
      <c r="AD7" s="165">
        <v>0</v>
      </c>
      <c r="AE7" s="166">
        <f t="shared" si="11"/>
        <v>0</v>
      </c>
      <c r="AF7" s="167">
        <v>0</v>
      </c>
      <c r="AG7" s="165">
        <v>0</v>
      </c>
      <c r="AH7" s="166">
        <f t="shared" si="12"/>
        <v>0</v>
      </c>
      <c r="AI7" s="167">
        <v>0</v>
      </c>
      <c r="AJ7" s="165">
        <v>0</v>
      </c>
      <c r="AK7" s="166">
        <f t="shared" si="13"/>
        <v>0</v>
      </c>
      <c r="AL7" s="167">
        <v>0</v>
      </c>
      <c r="AM7" s="165">
        <f>'2018-2019 B STATEMENT '!B228</f>
        <v>300</v>
      </c>
      <c r="AN7" s="166">
        <f t="shared" si="14"/>
        <v>2.9699999999999998</v>
      </c>
      <c r="AO7" s="167">
        <v>0</v>
      </c>
      <c r="AP7" s="165">
        <f>'2018-2019 B STATEMENT '!B252</f>
        <v>300</v>
      </c>
      <c r="AQ7" s="166">
        <f t="shared" si="15"/>
        <v>2.9699999999999998</v>
      </c>
      <c r="AR7" s="167">
        <v>0</v>
      </c>
      <c r="AS7" s="165">
        <f>'2018-2019 B STATEMENT '!B271</f>
        <v>500</v>
      </c>
      <c r="AT7" s="166">
        <f t="shared" si="16"/>
        <v>4.9499999999999993</v>
      </c>
      <c r="AU7" s="167">
        <v>0</v>
      </c>
      <c r="AV7" s="165">
        <v>0</v>
      </c>
      <c r="AW7" s="166">
        <f t="shared" si="17"/>
        <v>0</v>
      </c>
      <c r="AX7" s="167">
        <v>0</v>
      </c>
      <c r="AY7" s="87">
        <f t="shared" si="3"/>
        <v>1100</v>
      </c>
    </row>
    <row r="8" spans="1:52" s="41" customFormat="1">
      <c r="A8" s="46" t="s">
        <v>579</v>
      </c>
      <c r="B8" s="10" t="s">
        <v>175</v>
      </c>
      <c r="C8" s="228">
        <v>0</v>
      </c>
      <c r="D8" s="157">
        <f t="shared" si="4"/>
        <v>2400</v>
      </c>
      <c r="E8" s="157">
        <v>0</v>
      </c>
      <c r="F8" s="158">
        <f>'Catch up Fee'!D8</f>
        <v>7800</v>
      </c>
      <c r="G8" s="157">
        <f t="shared" si="5"/>
        <v>2400</v>
      </c>
      <c r="H8" s="159">
        <f t="shared" si="18"/>
        <v>0</v>
      </c>
      <c r="I8" s="157">
        <f>G8-H8</f>
        <v>2400</v>
      </c>
      <c r="J8" s="157">
        <f t="shared" si="19"/>
        <v>2400</v>
      </c>
      <c r="K8" s="157">
        <f t="shared" si="0"/>
        <v>0</v>
      </c>
      <c r="L8" s="157">
        <f t="shared" ref="L8:L71" si="20">(H8-K8-C8)*5.5%</f>
        <v>0</v>
      </c>
      <c r="M8" s="157">
        <v>0</v>
      </c>
      <c r="N8" s="157">
        <f t="shared" ref="N8:N71" si="21">H8-K8-M8+L8</f>
        <v>0</v>
      </c>
      <c r="O8" s="165">
        <v>0</v>
      </c>
      <c r="P8" s="166">
        <f t="shared" si="6"/>
        <v>0</v>
      </c>
      <c r="Q8" s="167">
        <v>0</v>
      </c>
      <c r="R8" s="165">
        <v>0</v>
      </c>
      <c r="S8" s="166">
        <f t="shared" si="7"/>
        <v>0</v>
      </c>
      <c r="T8" s="167">
        <v>0</v>
      </c>
      <c r="U8" s="165">
        <v>0</v>
      </c>
      <c r="V8" s="166">
        <f t="shared" si="8"/>
        <v>0</v>
      </c>
      <c r="W8" s="167">
        <v>0</v>
      </c>
      <c r="X8" s="165">
        <v>0</v>
      </c>
      <c r="Y8" s="166">
        <f t="shared" si="9"/>
        <v>0</v>
      </c>
      <c r="Z8" s="167">
        <v>0</v>
      </c>
      <c r="AA8" s="165">
        <v>0</v>
      </c>
      <c r="AB8" s="166">
        <f t="shared" si="10"/>
        <v>0</v>
      </c>
      <c r="AC8" s="167">
        <v>0</v>
      </c>
      <c r="AD8" s="165">
        <v>0</v>
      </c>
      <c r="AE8" s="166">
        <f t="shared" si="11"/>
        <v>0</v>
      </c>
      <c r="AF8" s="167">
        <v>0</v>
      </c>
      <c r="AG8" s="165">
        <v>0</v>
      </c>
      <c r="AH8" s="166">
        <f t="shared" si="12"/>
        <v>0</v>
      </c>
      <c r="AI8" s="167">
        <v>0</v>
      </c>
      <c r="AJ8" s="165">
        <v>0</v>
      </c>
      <c r="AK8" s="166">
        <f t="shared" si="13"/>
        <v>0</v>
      </c>
      <c r="AL8" s="167">
        <v>0</v>
      </c>
      <c r="AM8" s="165">
        <v>0</v>
      </c>
      <c r="AN8" s="166">
        <f t="shared" si="14"/>
        <v>0</v>
      </c>
      <c r="AO8" s="167">
        <v>0</v>
      </c>
      <c r="AP8" s="165">
        <v>0</v>
      </c>
      <c r="AQ8" s="166">
        <f t="shared" si="15"/>
        <v>0</v>
      </c>
      <c r="AR8" s="167">
        <v>0</v>
      </c>
      <c r="AS8" s="165">
        <v>0</v>
      </c>
      <c r="AT8" s="166">
        <f t="shared" si="16"/>
        <v>0</v>
      </c>
      <c r="AU8" s="167">
        <v>0</v>
      </c>
      <c r="AV8" s="165">
        <v>0</v>
      </c>
      <c r="AW8" s="166">
        <f t="shared" si="17"/>
        <v>0</v>
      </c>
      <c r="AX8" s="167">
        <v>0</v>
      </c>
      <c r="AY8" s="87">
        <f t="shared" ref="AY8:AY71" si="22">O8+R8+U8+X8+AA8+AD8+AJ8+AG8+AM8+AP8+AS8+AV8</f>
        <v>0</v>
      </c>
    </row>
    <row r="9" spans="1:52">
      <c r="A9" s="10" t="s">
        <v>580</v>
      </c>
      <c r="B9" s="10" t="s">
        <v>111</v>
      </c>
      <c r="C9" s="156">
        <v>100</v>
      </c>
      <c r="D9" s="157">
        <f t="shared" si="4"/>
        <v>2400</v>
      </c>
      <c r="E9" s="157">
        <v>0</v>
      </c>
      <c r="F9" s="158">
        <f>'Catch up Fee'!D9</f>
        <v>0</v>
      </c>
      <c r="G9" s="157">
        <f t="shared" si="5"/>
        <v>2500</v>
      </c>
      <c r="H9" s="159">
        <f t="shared" si="18"/>
        <v>1300</v>
      </c>
      <c r="I9" s="157">
        <f>G9-H9-C9</f>
        <v>1100</v>
      </c>
      <c r="J9" s="157">
        <f t="shared" si="19"/>
        <v>1100</v>
      </c>
      <c r="K9" s="157">
        <f t="shared" si="0"/>
        <v>11.57</v>
      </c>
      <c r="L9" s="157">
        <f t="shared" si="20"/>
        <v>65.363650000000007</v>
      </c>
      <c r="M9" s="157">
        <v>0</v>
      </c>
      <c r="N9" s="157">
        <f t="shared" si="21"/>
        <v>1353.7936500000001</v>
      </c>
      <c r="O9" s="165">
        <v>0</v>
      </c>
      <c r="P9" s="166">
        <f t="shared" si="6"/>
        <v>0</v>
      </c>
      <c r="Q9" s="167">
        <v>0</v>
      </c>
      <c r="R9" s="165">
        <f>'2018-2019 B STATEMENT '!B13+'2018-2019 B STATEMENT '!B20</f>
        <v>500</v>
      </c>
      <c r="S9" s="166">
        <f t="shared" si="7"/>
        <v>4.45</v>
      </c>
      <c r="T9" s="167">
        <v>0</v>
      </c>
      <c r="U9" s="165">
        <v>0</v>
      </c>
      <c r="V9" s="166">
        <f t="shared" si="8"/>
        <v>0</v>
      </c>
      <c r="W9" s="167">
        <v>0</v>
      </c>
      <c r="X9" s="165">
        <v>0</v>
      </c>
      <c r="Y9" s="166">
        <f t="shared" si="9"/>
        <v>0</v>
      </c>
      <c r="Z9" s="167">
        <v>0</v>
      </c>
      <c r="AA9" s="165">
        <v>0</v>
      </c>
      <c r="AB9" s="166">
        <f t="shared" si="10"/>
        <v>0</v>
      </c>
      <c r="AC9" s="167">
        <v>0</v>
      </c>
      <c r="AD9" s="165">
        <v>0</v>
      </c>
      <c r="AE9" s="166">
        <f t="shared" si="11"/>
        <v>0</v>
      </c>
      <c r="AF9" s="167">
        <v>0</v>
      </c>
      <c r="AG9" s="165">
        <f>'2018-2019 B STATEMENT '!B171</f>
        <v>400</v>
      </c>
      <c r="AH9" s="166">
        <f t="shared" si="12"/>
        <v>3.56</v>
      </c>
      <c r="AI9" s="167">
        <v>0</v>
      </c>
      <c r="AJ9" s="165">
        <f>'2018-2019 B STATEMENT '!B201</f>
        <v>400</v>
      </c>
      <c r="AK9" s="166">
        <f t="shared" si="13"/>
        <v>3.56</v>
      </c>
      <c r="AL9" s="167">
        <v>0</v>
      </c>
      <c r="AM9" s="165">
        <v>0</v>
      </c>
      <c r="AN9" s="166">
        <f t="shared" si="14"/>
        <v>0</v>
      </c>
      <c r="AO9" s="167">
        <v>0</v>
      </c>
      <c r="AP9" s="165">
        <v>0</v>
      </c>
      <c r="AQ9" s="166">
        <f t="shared" si="15"/>
        <v>0</v>
      </c>
      <c r="AR9" s="167">
        <v>0</v>
      </c>
      <c r="AS9" s="165">
        <v>0</v>
      </c>
      <c r="AT9" s="166">
        <f t="shared" si="16"/>
        <v>0</v>
      </c>
      <c r="AU9" s="167">
        <v>0</v>
      </c>
      <c r="AV9" s="165">
        <v>0</v>
      </c>
      <c r="AW9" s="166">
        <f t="shared" si="17"/>
        <v>0</v>
      </c>
      <c r="AX9" s="167">
        <v>0</v>
      </c>
      <c r="AY9" s="87">
        <f t="shared" si="22"/>
        <v>1300</v>
      </c>
    </row>
    <row r="10" spans="1:52">
      <c r="A10" s="46" t="s">
        <v>581</v>
      </c>
      <c r="B10" s="10" t="s">
        <v>112</v>
      </c>
      <c r="C10" s="156">
        <v>100</v>
      </c>
      <c r="D10" s="157">
        <f t="shared" si="4"/>
        <v>2400</v>
      </c>
      <c r="E10" s="157">
        <v>0</v>
      </c>
      <c r="F10" s="158">
        <f>'Catch up Fee'!D10</f>
        <v>0</v>
      </c>
      <c r="G10" s="157">
        <f t="shared" si="5"/>
        <v>2500</v>
      </c>
      <c r="H10" s="159">
        <f t="shared" si="18"/>
        <v>2100</v>
      </c>
      <c r="I10" s="157">
        <f>G10-H10-C10</f>
        <v>300</v>
      </c>
      <c r="J10" s="157">
        <f t="shared" si="19"/>
        <v>300</v>
      </c>
      <c r="K10" s="157">
        <f t="shared" si="0"/>
        <v>19.489999999999998</v>
      </c>
      <c r="L10" s="157">
        <f t="shared" si="20"/>
        <v>108.92805000000001</v>
      </c>
      <c r="M10" s="157">
        <v>0</v>
      </c>
      <c r="N10" s="157">
        <f t="shared" si="21"/>
        <v>2189.4380500000002</v>
      </c>
      <c r="O10" s="165">
        <v>0</v>
      </c>
      <c r="P10" s="166">
        <f t="shared" si="6"/>
        <v>0</v>
      </c>
      <c r="Q10" s="167">
        <v>0</v>
      </c>
      <c r="R10" s="165">
        <f>'2018-2019 B STATEMENT '!B21</f>
        <v>300</v>
      </c>
      <c r="S10" s="166">
        <f t="shared" si="7"/>
        <v>2.67</v>
      </c>
      <c r="T10" s="167">
        <v>0</v>
      </c>
      <c r="U10" s="165">
        <f>'2018-2019 B STATEMENT '!B49</f>
        <v>200</v>
      </c>
      <c r="V10" s="166">
        <f t="shared" si="8"/>
        <v>1.78</v>
      </c>
      <c r="W10" s="167">
        <v>0</v>
      </c>
      <c r="X10" s="165">
        <f>'2018-2019 B STATEMENT '!B96</f>
        <v>200</v>
      </c>
      <c r="Y10" s="166">
        <f t="shared" si="9"/>
        <v>1.78</v>
      </c>
      <c r="Z10" s="167">
        <v>0</v>
      </c>
      <c r="AA10" s="165">
        <f>'2018-2019 B STATEMENT '!B121</f>
        <v>200</v>
      </c>
      <c r="AB10" s="166">
        <f t="shared" si="10"/>
        <v>1.78</v>
      </c>
      <c r="AC10" s="167">
        <v>0</v>
      </c>
      <c r="AD10" s="165">
        <f>'2018-2019 B STATEMENT '!B150</f>
        <v>200</v>
      </c>
      <c r="AE10" s="166">
        <f t="shared" si="11"/>
        <v>1.78</v>
      </c>
      <c r="AF10" s="167">
        <v>0</v>
      </c>
      <c r="AG10" s="165">
        <v>0</v>
      </c>
      <c r="AH10" s="166">
        <f t="shared" si="12"/>
        <v>0</v>
      </c>
      <c r="AI10" s="167">
        <v>0</v>
      </c>
      <c r="AJ10" s="165">
        <f>'2018-2019 B STATEMENT '!B191</f>
        <v>200</v>
      </c>
      <c r="AK10" s="166">
        <f t="shared" si="13"/>
        <v>1.78</v>
      </c>
      <c r="AL10" s="167">
        <v>0</v>
      </c>
      <c r="AM10" s="165">
        <f>'2018-2019 B STATEMENT '!B221</f>
        <v>200</v>
      </c>
      <c r="AN10" s="166">
        <f t="shared" si="14"/>
        <v>1.9799999999999998</v>
      </c>
      <c r="AO10" s="167">
        <v>0</v>
      </c>
      <c r="AP10" s="165">
        <f>'2018-2019 B STATEMENT '!B253</f>
        <v>200</v>
      </c>
      <c r="AQ10" s="166">
        <f t="shared" si="15"/>
        <v>1.9799999999999998</v>
      </c>
      <c r="AR10" s="167">
        <v>0</v>
      </c>
      <c r="AS10" s="165">
        <f>'2018-2019 B STATEMENT '!B280</f>
        <v>200</v>
      </c>
      <c r="AT10" s="166">
        <f t="shared" si="16"/>
        <v>1.9799999999999998</v>
      </c>
      <c r="AU10" s="167">
        <v>0</v>
      </c>
      <c r="AV10" s="165">
        <f>'2018-2019 B STATEMENT '!B304</f>
        <v>200</v>
      </c>
      <c r="AW10" s="166">
        <f t="shared" si="17"/>
        <v>1.9799999999999998</v>
      </c>
      <c r="AX10" s="167">
        <v>0</v>
      </c>
      <c r="AY10" s="87">
        <f t="shared" si="22"/>
        <v>2100</v>
      </c>
    </row>
    <row r="11" spans="1:52">
      <c r="A11" s="10" t="s">
        <v>582</v>
      </c>
      <c r="B11" s="10" t="s">
        <v>138</v>
      </c>
      <c r="C11" s="228">
        <v>0</v>
      </c>
      <c r="D11" s="157">
        <f t="shared" si="4"/>
        <v>2400</v>
      </c>
      <c r="E11" s="157">
        <v>0</v>
      </c>
      <c r="F11" s="158">
        <f>'Catch up Fee'!D11</f>
        <v>2400</v>
      </c>
      <c r="G11" s="157">
        <f t="shared" si="5"/>
        <v>2400</v>
      </c>
      <c r="H11" s="159">
        <f t="shared" si="18"/>
        <v>0</v>
      </c>
      <c r="I11" s="157">
        <f>G11-H11</f>
        <v>2400</v>
      </c>
      <c r="J11" s="157">
        <f t="shared" si="19"/>
        <v>2400</v>
      </c>
      <c r="K11" s="157">
        <f t="shared" si="0"/>
        <v>0</v>
      </c>
      <c r="L11" s="157">
        <f t="shared" si="20"/>
        <v>0</v>
      </c>
      <c r="M11" s="157">
        <v>0</v>
      </c>
      <c r="N11" s="157">
        <f t="shared" si="21"/>
        <v>0</v>
      </c>
      <c r="O11" s="165">
        <v>0</v>
      </c>
      <c r="P11" s="166">
        <f t="shared" si="6"/>
        <v>0</v>
      </c>
      <c r="Q11" s="167">
        <v>0</v>
      </c>
      <c r="R11" s="165">
        <v>0</v>
      </c>
      <c r="S11" s="166">
        <f t="shared" si="7"/>
        <v>0</v>
      </c>
      <c r="T11" s="167">
        <v>0</v>
      </c>
      <c r="U11" s="165">
        <v>0</v>
      </c>
      <c r="V11" s="166">
        <f t="shared" si="8"/>
        <v>0</v>
      </c>
      <c r="W11" s="167">
        <v>0</v>
      </c>
      <c r="X11" s="165">
        <v>0</v>
      </c>
      <c r="Y11" s="166">
        <f t="shared" si="9"/>
        <v>0</v>
      </c>
      <c r="Z11" s="167">
        <v>0</v>
      </c>
      <c r="AA11" s="165">
        <v>0</v>
      </c>
      <c r="AB11" s="166">
        <f t="shared" si="10"/>
        <v>0</v>
      </c>
      <c r="AC11" s="167">
        <v>0</v>
      </c>
      <c r="AD11" s="165">
        <v>0</v>
      </c>
      <c r="AE11" s="166">
        <f t="shared" si="11"/>
        <v>0</v>
      </c>
      <c r="AF11" s="167">
        <v>0</v>
      </c>
      <c r="AG11" s="165">
        <v>0</v>
      </c>
      <c r="AH11" s="166">
        <f t="shared" si="12"/>
        <v>0</v>
      </c>
      <c r="AI11" s="167">
        <v>0</v>
      </c>
      <c r="AJ11" s="165">
        <v>0</v>
      </c>
      <c r="AK11" s="166">
        <f t="shared" si="13"/>
        <v>0</v>
      </c>
      <c r="AL11" s="167">
        <v>0</v>
      </c>
      <c r="AM11" s="165">
        <v>0</v>
      </c>
      <c r="AN11" s="166">
        <f t="shared" si="14"/>
        <v>0</v>
      </c>
      <c r="AO11" s="167">
        <v>0</v>
      </c>
      <c r="AP11" s="165">
        <v>0</v>
      </c>
      <c r="AQ11" s="166">
        <f t="shared" si="15"/>
        <v>0</v>
      </c>
      <c r="AR11" s="167">
        <v>0</v>
      </c>
      <c r="AS11" s="165">
        <v>0</v>
      </c>
      <c r="AT11" s="166">
        <f t="shared" si="16"/>
        <v>0</v>
      </c>
      <c r="AU11" s="167">
        <v>0</v>
      </c>
      <c r="AV11" s="165">
        <v>0</v>
      </c>
      <c r="AW11" s="166">
        <f t="shared" si="17"/>
        <v>0</v>
      </c>
      <c r="AX11" s="167">
        <v>0</v>
      </c>
      <c r="AY11" s="87">
        <f t="shared" si="22"/>
        <v>0</v>
      </c>
    </row>
    <row r="12" spans="1:52">
      <c r="A12" s="46" t="s">
        <v>583</v>
      </c>
      <c r="B12" s="10" t="s">
        <v>113</v>
      </c>
      <c r="C12" s="156">
        <v>100</v>
      </c>
      <c r="D12" s="157">
        <f t="shared" si="4"/>
        <v>2400</v>
      </c>
      <c r="E12" s="157">
        <v>0</v>
      </c>
      <c r="F12" s="158">
        <f>'Catch up Fee'!D12</f>
        <v>200</v>
      </c>
      <c r="G12" s="157">
        <f t="shared" si="5"/>
        <v>2500</v>
      </c>
      <c r="H12" s="159">
        <f t="shared" si="18"/>
        <v>3000</v>
      </c>
      <c r="I12" s="157">
        <f>G12-H12</f>
        <v>-500</v>
      </c>
      <c r="J12" s="157">
        <f t="shared" si="19"/>
        <v>-500</v>
      </c>
      <c r="K12" s="157">
        <f t="shared" si="0"/>
        <v>27.9</v>
      </c>
      <c r="L12" s="157">
        <f t="shared" si="20"/>
        <v>157.96549999999999</v>
      </c>
      <c r="M12" s="157">
        <v>0</v>
      </c>
      <c r="N12" s="157">
        <f t="shared" si="21"/>
        <v>3130.0654999999997</v>
      </c>
      <c r="O12" s="165">
        <v>0</v>
      </c>
      <c r="P12" s="166">
        <f t="shared" si="6"/>
        <v>0</v>
      </c>
      <c r="Q12" s="167">
        <v>0</v>
      </c>
      <c r="R12" s="165">
        <v>0</v>
      </c>
      <c r="S12" s="166">
        <f t="shared" si="7"/>
        <v>0</v>
      </c>
      <c r="T12" s="167">
        <v>0</v>
      </c>
      <c r="U12" s="165">
        <v>0</v>
      </c>
      <c r="V12" s="166">
        <f t="shared" si="8"/>
        <v>0</v>
      </c>
      <c r="W12" s="167">
        <v>0</v>
      </c>
      <c r="X12" s="165">
        <v>0</v>
      </c>
      <c r="Y12" s="166">
        <f t="shared" si="9"/>
        <v>0</v>
      </c>
      <c r="Z12" s="167">
        <v>0</v>
      </c>
      <c r="AA12" s="165">
        <f>'2018-2019 B STATEMENT '!B115</f>
        <v>900</v>
      </c>
      <c r="AB12" s="166">
        <f t="shared" si="10"/>
        <v>8.01</v>
      </c>
      <c r="AC12" s="167">
        <v>0</v>
      </c>
      <c r="AD12" s="165">
        <f>'2018-2019 B STATEMENT '!B142</f>
        <v>300</v>
      </c>
      <c r="AE12" s="166">
        <f t="shared" si="11"/>
        <v>2.67</v>
      </c>
      <c r="AF12" s="167">
        <v>0</v>
      </c>
      <c r="AG12" s="165">
        <v>0</v>
      </c>
      <c r="AH12" s="166">
        <f t="shared" si="12"/>
        <v>0</v>
      </c>
      <c r="AI12" s="167">
        <v>0</v>
      </c>
      <c r="AJ12" s="165">
        <f>'2018-2019 B STATEMENT '!B188</f>
        <v>600</v>
      </c>
      <c r="AK12" s="166">
        <f t="shared" si="13"/>
        <v>5.34</v>
      </c>
      <c r="AL12" s="167">
        <v>0</v>
      </c>
      <c r="AM12" s="165">
        <f>'2018-2019 B STATEMENT '!B236</f>
        <v>600</v>
      </c>
      <c r="AN12" s="166">
        <f t="shared" si="14"/>
        <v>5.9399999999999995</v>
      </c>
      <c r="AO12" s="167">
        <v>0</v>
      </c>
      <c r="AP12" s="165">
        <v>0</v>
      </c>
      <c r="AQ12" s="166">
        <f t="shared" si="15"/>
        <v>0</v>
      </c>
      <c r="AR12" s="167">
        <v>0</v>
      </c>
      <c r="AS12" s="165">
        <v>0</v>
      </c>
      <c r="AT12" s="166">
        <f t="shared" si="16"/>
        <v>0</v>
      </c>
      <c r="AU12" s="167">
        <v>0</v>
      </c>
      <c r="AV12" s="165">
        <f>'2018-2019 B STATEMENT '!B296</f>
        <v>600</v>
      </c>
      <c r="AW12" s="166">
        <f t="shared" si="17"/>
        <v>5.9399999999999995</v>
      </c>
      <c r="AX12" s="167">
        <v>0</v>
      </c>
      <c r="AY12" s="87">
        <f t="shared" si="22"/>
        <v>3000</v>
      </c>
    </row>
    <row r="13" spans="1:52">
      <c r="A13" s="10" t="s">
        <v>584</v>
      </c>
      <c r="B13" s="10" t="s">
        <v>114</v>
      </c>
      <c r="C13" s="156">
        <v>100</v>
      </c>
      <c r="D13" s="157">
        <f t="shared" si="4"/>
        <v>2400</v>
      </c>
      <c r="E13" s="157">
        <v>0</v>
      </c>
      <c r="F13" s="158">
        <f>'Catch up Fee'!D13</f>
        <v>0</v>
      </c>
      <c r="G13" s="157">
        <f t="shared" si="5"/>
        <v>2500</v>
      </c>
      <c r="H13" s="159">
        <f t="shared" si="18"/>
        <v>2300</v>
      </c>
      <c r="I13" s="157">
        <f>G13-H13-C13</f>
        <v>100</v>
      </c>
      <c r="J13" s="157">
        <f t="shared" si="19"/>
        <v>100</v>
      </c>
      <c r="K13" s="157">
        <f t="shared" si="0"/>
        <v>21.27</v>
      </c>
      <c r="L13" s="157">
        <f t="shared" si="20"/>
        <v>119.83015</v>
      </c>
      <c r="M13" s="157">
        <v>0</v>
      </c>
      <c r="N13" s="157">
        <f t="shared" si="21"/>
        <v>2398.5601500000002</v>
      </c>
      <c r="O13" s="165">
        <v>0</v>
      </c>
      <c r="P13" s="166">
        <f t="shared" si="6"/>
        <v>0</v>
      </c>
      <c r="Q13" s="167">
        <v>0</v>
      </c>
      <c r="R13" s="165">
        <f>'2018-2019 B STATEMENT '!B17</f>
        <v>300</v>
      </c>
      <c r="S13" s="166">
        <f t="shared" si="7"/>
        <v>2.67</v>
      </c>
      <c r="T13" s="167">
        <v>0</v>
      </c>
      <c r="U13" s="165">
        <f>'2018-2019 B STATEMENT '!B39</f>
        <v>200</v>
      </c>
      <c r="V13" s="166">
        <f t="shared" si="8"/>
        <v>1.78</v>
      </c>
      <c r="W13" s="167">
        <v>0</v>
      </c>
      <c r="X13" s="165">
        <f>'2018-2019 B STATEMENT '!B92</f>
        <v>200</v>
      </c>
      <c r="Y13" s="166">
        <f t="shared" si="9"/>
        <v>1.78</v>
      </c>
      <c r="Z13" s="167">
        <v>0</v>
      </c>
      <c r="AA13" s="165">
        <f>'2018-2019 B STATEMENT '!B112</f>
        <v>200</v>
      </c>
      <c r="AB13" s="166">
        <f t="shared" si="10"/>
        <v>1.78</v>
      </c>
      <c r="AC13" s="167">
        <v>0</v>
      </c>
      <c r="AD13" s="165">
        <f>'2018-2019 B STATEMENT '!B143</f>
        <v>200</v>
      </c>
      <c r="AE13" s="166">
        <f t="shared" si="11"/>
        <v>1.78</v>
      </c>
      <c r="AF13" s="167">
        <v>0</v>
      </c>
      <c r="AG13" s="165">
        <f>'2018-2019 B STATEMENT '!B166</f>
        <v>200</v>
      </c>
      <c r="AH13" s="166">
        <f t="shared" si="12"/>
        <v>1.78</v>
      </c>
      <c r="AI13" s="167">
        <v>0</v>
      </c>
      <c r="AJ13" s="165">
        <f>'2018-2019 B STATEMENT '!B184</f>
        <v>200</v>
      </c>
      <c r="AK13" s="166">
        <f t="shared" si="13"/>
        <v>1.78</v>
      </c>
      <c r="AL13" s="167">
        <v>0</v>
      </c>
      <c r="AM13" s="165">
        <f>'2018-2019 B STATEMENT '!B210</f>
        <v>200</v>
      </c>
      <c r="AN13" s="166">
        <f t="shared" si="14"/>
        <v>1.9799999999999998</v>
      </c>
      <c r="AO13" s="167">
        <v>0</v>
      </c>
      <c r="AP13" s="165">
        <f>'2018-2019 B STATEMENT '!B242</f>
        <v>200</v>
      </c>
      <c r="AQ13" s="166">
        <f t="shared" si="15"/>
        <v>1.9799999999999998</v>
      </c>
      <c r="AR13" s="167">
        <v>0</v>
      </c>
      <c r="AS13" s="165">
        <f>'2018-2019 B STATEMENT '!B273</f>
        <v>200</v>
      </c>
      <c r="AT13" s="166">
        <f t="shared" si="16"/>
        <v>1.9799999999999998</v>
      </c>
      <c r="AU13" s="167">
        <v>0</v>
      </c>
      <c r="AV13" s="165">
        <f>'2018-2019 B STATEMENT '!B297</f>
        <v>200</v>
      </c>
      <c r="AW13" s="166">
        <f t="shared" si="17"/>
        <v>1.9799999999999998</v>
      </c>
      <c r="AX13" s="167">
        <v>0</v>
      </c>
      <c r="AY13" s="87">
        <f t="shared" si="22"/>
        <v>2300</v>
      </c>
    </row>
    <row r="14" spans="1:52">
      <c r="A14" s="46" t="s">
        <v>585</v>
      </c>
      <c r="B14" s="10" t="s">
        <v>115</v>
      </c>
      <c r="C14" s="156">
        <v>100</v>
      </c>
      <c r="D14" s="157">
        <f t="shared" si="4"/>
        <v>2400</v>
      </c>
      <c r="E14" s="157">
        <v>0</v>
      </c>
      <c r="F14" s="158">
        <f>'Catch up Fee'!D14</f>
        <v>0</v>
      </c>
      <c r="G14" s="157">
        <f t="shared" si="5"/>
        <v>2500</v>
      </c>
      <c r="H14" s="159">
        <f t="shared" si="18"/>
        <v>2100</v>
      </c>
      <c r="I14" s="157">
        <f>G14-H14-C14</f>
        <v>300</v>
      </c>
      <c r="J14" s="157">
        <f t="shared" si="19"/>
        <v>300</v>
      </c>
      <c r="K14" s="157">
        <f t="shared" si="0"/>
        <v>19.29</v>
      </c>
      <c r="L14" s="157">
        <f t="shared" si="20"/>
        <v>108.93905000000001</v>
      </c>
      <c r="M14" s="157">
        <v>0</v>
      </c>
      <c r="N14" s="157">
        <f t="shared" si="21"/>
        <v>2189.64905</v>
      </c>
      <c r="O14" s="165">
        <v>0</v>
      </c>
      <c r="P14" s="166">
        <f t="shared" si="6"/>
        <v>0</v>
      </c>
      <c r="Q14" s="167">
        <v>0</v>
      </c>
      <c r="R14" s="165">
        <f>'2018-2019 B STATEMENT '!B22</f>
        <v>300</v>
      </c>
      <c r="S14" s="166">
        <f t="shared" si="7"/>
        <v>2.67</v>
      </c>
      <c r="T14" s="167">
        <v>0</v>
      </c>
      <c r="U14" s="165">
        <v>0</v>
      </c>
      <c r="V14" s="166">
        <f t="shared" si="8"/>
        <v>0</v>
      </c>
      <c r="W14" s="167">
        <v>0</v>
      </c>
      <c r="X14" s="165">
        <f>'2018-2019 B STATEMENT '!B72</f>
        <v>600</v>
      </c>
      <c r="Y14" s="166">
        <f t="shared" si="9"/>
        <v>5.34</v>
      </c>
      <c r="Z14" s="167">
        <v>0</v>
      </c>
      <c r="AA14" s="165">
        <v>0</v>
      </c>
      <c r="AB14" s="166">
        <f t="shared" si="10"/>
        <v>0</v>
      </c>
      <c r="AC14" s="167">
        <v>0</v>
      </c>
      <c r="AD14" s="165">
        <v>0</v>
      </c>
      <c r="AE14" s="166">
        <f t="shared" si="11"/>
        <v>0</v>
      </c>
      <c r="AF14" s="167">
        <v>0</v>
      </c>
      <c r="AG14" s="165">
        <v>0</v>
      </c>
      <c r="AH14" s="166">
        <f t="shared" si="12"/>
        <v>0</v>
      </c>
      <c r="AI14" s="167">
        <v>0</v>
      </c>
      <c r="AJ14" s="165">
        <f>'2018-2019 B STATEMENT '!B186</f>
        <v>600</v>
      </c>
      <c r="AK14" s="166">
        <f t="shared" si="13"/>
        <v>5.34</v>
      </c>
      <c r="AL14" s="167">
        <v>0</v>
      </c>
      <c r="AM14" s="165">
        <v>0</v>
      </c>
      <c r="AN14" s="166">
        <f t="shared" si="14"/>
        <v>0</v>
      </c>
      <c r="AO14" s="167">
        <v>0</v>
      </c>
      <c r="AP14" s="165">
        <v>0</v>
      </c>
      <c r="AQ14" s="166">
        <f t="shared" si="15"/>
        <v>0</v>
      </c>
      <c r="AR14" s="167">
        <v>0</v>
      </c>
      <c r="AS14" s="165">
        <f>'2018-2019 B STATEMENT '!B286</f>
        <v>600</v>
      </c>
      <c r="AT14" s="166">
        <f t="shared" si="16"/>
        <v>5.9399999999999995</v>
      </c>
      <c r="AU14" s="167">
        <v>0</v>
      </c>
      <c r="AV14" s="165">
        <v>0</v>
      </c>
      <c r="AW14" s="166">
        <f t="shared" si="17"/>
        <v>0</v>
      </c>
      <c r="AX14" s="167">
        <v>0</v>
      </c>
      <c r="AY14" s="87">
        <f t="shared" si="22"/>
        <v>2100</v>
      </c>
    </row>
    <row r="15" spans="1:52">
      <c r="A15" s="10" t="s">
        <v>586</v>
      </c>
      <c r="B15" s="10" t="s">
        <v>116</v>
      </c>
      <c r="C15" s="156">
        <v>100</v>
      </c>
      <c r="D15" s="157">
        <f t="shared" si="4"/>
        <v>2400</v>
      </c>
      <c r="E15" s="157">
        <v>0</v>
      </c>
      <c r="F15" s="158">
        <f>'Catch up Fee'!D15</f>
        <v>0</v>
      </c>
      <c r="G15" s="157">
        <f t="shared" si="5"/>
        <v>2500</v>
      </c>
      <c r="H15" s="159">
        <f t="shared" si="18"/>
        <v>100</v>
      </c>
      <c r="I15" s="157">
        <f>G15-H15-C15</f>
        <v>2300</v>
      </c>
      <c r="J15" s="157">
        <f t="shared" si="19"/>
        <v>2300</v>
      </c>
      <c r="K15" s="157">
        <f t="shared" si="0"/>
        <v>0.89</v>
      </c>
      <c r="L15" s="157">
        <f t="shared" si="20"/>
        <v>-4.8950000000000028E-2</v>
      </c>
      <c r="M15" s="157">
        <v>0</v>
      </c>
      <c r="N15" s="157">
        <f t="shared" si="21"/>
        <v>99.061049999999994</v>
      </c>
      <c r="O15" s="165">
        <v>0</v>
      </c>
      <c r="P15" s="166">
        <f t="shared" si="6"/>
        <v>0</v>
      </c>
      <c r="Q15" s="167">
        <v>0</v>
      </c>
      <c r="R15" s="165">
        <f>'2018-2019 B STATEMENT '!B3</f>
        <v>100</v>
      </c>
      <c r="S15" s="166">
        <f t="shared" si="7"/>
        <v>0.89</v>
      </c>
      <c r="T15" s="167">
        <v>0</v>
      </c>
      <c r="U15" s="165">
        <v>0</v>
      </c>
      <c r="V15" s="166">
        <f t="shared" si="8"/>
        <v>0</v>
      </c>
      <c r="W15" s="167">
        <v>0</v>
      </c>
      <c r="X15" s="165">
        <v>0</v>
      </c>
      <c r="Y15" s="166">
        <f t="shared" si="9"/>
        <v>0</v>
      </c>
      <c r="Z15" s="167">
        <v>0</v>
      </c>
      <c r="AA15" s="165">
        <v>0</v>
      </c>
      <c r="AB15" s="166">
        <f t="shared" si="10"/>
        <v>0</v>
      </c>
      <c r="AC15" s="167">
        <v>0</v>
      </c>
      <c r="AD15" s="165">
        <v>0</v>
      </c>
      <c r="AE15" s="166">
        <f t="shared" si="11"/>
        <v>0</v>
      </c>
      <c r="AF15" s="167">
        <v>0</v>
      </c>
      <c r="AG15" s="165">
        <v>0</v>
      </c>
      <c r="AH15" s="166">
        <f t="shared" si="12"/>
        <v>0</v>
      </c>
      <c r="AI15" s="167">
        <v>0</v>
      </c>
      <c r="AJ15" s="165">
        <v>0</v>
      </c>
      <c r="AK15" s="166">
        <f t="shared" si="13"/>
        <v>0</v>
      </c>
      <c r="AL15" s="167">
        <v>0</v>
      </c>
      <c r="AM15" s="165">
        <v>0</v>
      </c>
      <c r="AN15" s="166">
        <f t="shared" si="14"/>
        <v>0</v>
      </c>
      <c r="AO15" s="167">
        <v>0</v>
      </c>
      <c r="AP15" s="165">
        <v>0</v>
      </c>
      <c r="AQ15" s="166">
        <f t="shared" si="15"/>
        <v>0</v>
      </c>
      <c r="AR15" s="167">
        <v>0</v>
      </c>
      <c r="AS15" s="165">
        <v>0</v>
      </c>
      <c r="AT15" s="166">
        <f t="shared" si="16"/>
        <v>0</v>
      </c>
      <c r="AU15" s="167">
        <v>0</v>
      </c>
      <c r="AV15" s="165">
        <v>0</v>
      </c>
      <c r="AW15" s="166">
        <f t="shared" si="17"/>
        <v>0</v>
      </c>
      <c r="AX15" s="167">
        <v>0</v>
      </c>
      <c r="AY15" s="87">
        <f t="shared" si="22"/>
        <v>100</v>
      </c>
    </row>
    <row r="16" spans="1:52">
      <c r="A16" s="46" t="s">
        <v>587</v>
      </c>
      <c r="B16" s="10"/>
      <c r="C16" s="156">
        <v>100</v>
      </c>
      <c r="D16" s="157">
        <f t="shared" si="4"/>
        <v>2400</v>
      </c>
      <c r="E16" s="157">
        <v>0</v>
      </c>
      <c r="F16" s="158">
        <f>'Catch up Fee'!D16</f>
        <v>0</v>
      </c>
      <c r="G16" s="157">
        <f t="shared" si="5"/>
        <v>2500</v>
      </c>
      <c r="H16" s="159">
        <f t="shared" si="18"/>
        <v>0</v>
      </c>
      <c r="I16" s="157">
        <f>G16-H16-C16</f>
        <v>2400</v>
      </c>
      <c r="J16" s="157">
        <f t="shared" si="19"/>
        <v>2400</v>
      </c>
      <c r="K16" s="157">
        <f t="shared" si="0"/>
        <v>0</v>
      </c>
      <c r="L16" s="157">
        <f t="shared" si="20"/>
        <v>-5.5</v>
      </c>
      <c r="M16" s="157">
        <v>0</v>
      </c>
      <c r="N16" s="157">
        <f t="shared" si="21"/>
        <v>-5.5</v>
      </c>
      <c r="O16" s="165">
        <v>0</v>
      </c>
      <c r="P16" s="166">
        <f t="shared" si="6"/>
        <v>0</v>
      </c>
      <c r="Q16" s="167">
        <v>0</v>
      </c>
      <c r="R16" s="165">
        <v>0</v>
      </c>
      <c r="S16" s="166">
        <f t="shared" si="7"/>
        <v>0</v>
      </c>
      <c r="T16" s="167">
        <v>0</v>
      </c>
      <c r="U16" s="165">
        <v>0</v>
      </c>
      <c r="V16" s="166">
        <f t="shared" si="8"/>
        <v>0</v>
      </c>
      <c r="W16" s="167">
        <v>0</v>
      </c>
      <c r="X16" s="165">
        <v>0</v>
      </c>
      <c r="Y16" s="166">
        <f t="shared" si="9"/>
        <v>0</v>
      </c>
      <c r="Z16" s="167">
        <v>0</v>
      </c>
      <c r="AA16" s="165">
        <v>0</v>
      </c>
      <c r="AB16" s="166">
        <f t="shared" si="10"/>
        <v>0</v>
      </c>
      <c r="AC16" s="167">
        <v>0</v>
      </c>
      <c r="AD16" s="165">
        <v>0</v>
      </c>
      <c r="AE16" s="166">
        <f t="shared" si="11"/>
        <v>0</v>
      </c>
      <c r="AF16" s="167">
        <v>0</v>
      </c>
      <c r="AG16" s="165">
        <v>0</v>
      </c>
      <c r="AH16" s="166">
        <f t="shared" si="12"/>
        <v>0</v>
      </c>
      <c r="AI16" s="167">
        <v>0</v>
      </c>
      <c r="AJ16" s="165">
        <v>0</v>
      </c>
      <c r="AK16" s="166">
        <f t="shared" si="13"/>
        <v>0</v>
      </c>
      <c r="AL16" s="167">
        <v>0</v>
      </c>
      <c r="AM16" s="165">
        <v>0</v>
      </c>
      <c r="AN16" s="166">
        <f t="shared" si="14"/>
        <v>0</v>
      </c>
      <c r="AO16" s="167">
        <v>0</v>
      </c>
      <c r="AP16" s="165">
        <v>0</v>
      </c>
      <c r="AQ16" s="166">
        <f t="shared" si="15"/>
        <v>0</v>
      </c>
      <c r="AR16" s="167">
        <v>0</v>
      </c>
      <c r="AS16" s="165">
        <v>0</v>
      </c>
      <c r="AT16" s="166">
        <f t="shared" si="16"/>
        <v>0</v>
      </c>
      <c r="AU16" s="167">
        <v>0</v>
      </c>
      <c r="AV16" s="165">
        <v>0</v>
      </c>
      <c r="AW16" s="166">
        <f t="shared" si="17"/>
        <v>0</v>
      </c>
      <c r="AX16" s="167">
        <v>0</v>
      </c>
      <c r="AY16" s="87">
        <f t="shared" si="22"/>
        <v>0</v>
      </c>
    </row>
    <row r="17" spans="1:51">
      <c r="A17" s="10" t="s">
        <v>588</v>
      </c>
      <c r="B17" s="10" t="s">
        <v>115</v>
      </c>
      <c r="C17" s="156">
        <v>100</v>
      </c>
      <c r="D17" s="157">
        <f t="shared" si="4"/>
        <v>2400</v>
      </c>
      <c r="E17" s="157">
        <v>0</v>
      </c>
      <c r="F17" s="158">
        <f>'Catch up Fee'!D17</f>
        <v>0</v>
      </c>
      <c r="G17" s="157">
        <f t="shared" si="5"/>
        <v>2500</v>
      </c>
      <c r="H17" s="159">
        <f t="shared" si="18"/>
        <v>1300</v>
      </c>
      <c r="I17" s="157">
        <f>G17-H17-C17</f>
        <v>1100</v>
      </c>
      <c r="J17" s="157">
        <f t="shared" si="19"/>
        <v>1100</v>
      </c>
      <c r="K17" s="157">
        <f t="shared" si="0"/>
        <v>11.97</v>
      </c>
      <c r="L17" s="157">
        <f t="shared" si="20"/>
        <v>65.341650000000001</v>
      </c>
      <c r="M17" s="157">
        <v>0</v>
      </c>
      <c r="N17" s="157">
        <f t="shared" si="21"/>
        <v>1353.37165</v>
      </c>
      <c r="O17" s="165">
        <v>0</v>
      </c>
      <c r="P17" s="166">
        <f t="shared" si="6"/>
        <v>0</v>
      </c>
      <c r="Q17" s="167">
        <v>0</v>
      </c>
      <c r="R17" s="165">
        <v>0</v>
      </c>
      <c r="S17" s="166">
        <f t="shared" si="7"/>
        <v>0</v>
      </c>
      <c r="T17" s="167">
        <v>0</v>
      </c>
      <c r="U17" s="165">
        <f>'2018-2019 B STATEMENT '!B34+'2018-2019 B STATEMENT '!B64</f>
        <v>500</v>
      </c>
      <c r="V17" s="166">
        <f t="shared" si="8"/>
        <v>4.45</v>
      </c>
      <c r="W17" s="167">
        <v>0</v>
      </c>
      <c r="X17" s="165">
        <v>0</v>
      </c>
      <c r="Y17" s="166">
        <f t="shared" si="9"/>
        <v>0</v>
      </c>
      <c r="Z17" s="167">
        <v>0</v>
      </c>
      <c r="AA17" s="165">
        <f>'2018-2019 B STATEMENT '!B135</f>
        <v>200</v>
      </c>
      <c r="AB17" s="166">
        <f t="shared" si="10"/>
        <v>1.78</v>
      </c>
      <c r="AC17" s="167">
        <v>0</v>
      </c>
      <c r="AD17" s="165">
        <v>0</v>
      </c>
      <c r="AE17" s="166">
        <f t="shared" si="11"/>
        <v>0</v>
      </c>
      <c r="AF17" s="167">
        <v>0</v>
      </c>
      <c r="AG17" s="165">
        <f>'2018-2019 B STATEMENT '!B174</f>
        <v>200</v>
      </c>
      <c r="AH17" s="166">
        <f t="shared" si="12"/>
        <v>1.78</v>
      </c>
      <c r="AI17" s="167">
        <v>0</v>
      </c>
      <c r="AJ17" s="165">
        <v>0</v>
      </c>
      <c r="AK17" s="166">
        <f t="shared" si="13"/>
        <v>0</v>
      </c>
      <c r="AL17" s="167">
        <v>0</v>
      </c>
      <c r="AM17" s="165">
        <f>'2018-2019 B STATEMENT '!B206</f>
        <v>200</v>
      </c>
      <c r="AN17" s="166">
        <f t="shared" si="14"/>
        <v>1.9799999999999998</v>
      </c>
      <c r="AO17" s="167">
        <v>0</v>
      </c>
      <c r="AP17" s="165">
        <v>0</v>
      </c>
      <c r="AQ17" s="166">
        <f t="shared" si="15"/>
        <v>0</v>
      </c>
      <c r="AR17" s="167">
        <v>0</v>
      </c>
      <c r="AS17" s="165">
        <v>0</v>
      </c>
      <c r="AT17" s="166">
        <f t="shared" si="16"/>
        <v>0</v>
      </c>
      <c r="AU17" s="167">
        <v>0</v>
      </c>
      <c r="AV17" s="165">
        <f>'2018-2019 B STATEMENT '!B315</f>
        <v>200</v>
      </c>
      <c r="AW17" s="166">
        <f t="shared" si="17"/>
        <v>1.9799999999999998</v>
      </c>
      <c r="AX17" s="167">
        <v>0</v>
      </c>
      <c r="AY17" s="87">
        <f t="shared" si="22"/>
        <v>1300</v>
      </c>
    </row>
    <row r="18" spans="1:51">
      <c r="A18" s="46" t="s">
        <v>589</v>
      </c>
      <c r="B18" s="10" t="s">
        <v>139</v>
      </c>
      <c r="C18" s="156">
        <v>100</v>
      </c>
      <c r="D18" s="157">
        <f t="shared" si="4"/>
        <v>2400</v>
      </c>
      <c r="E18" s="157">
        <v>0</v>
      </c>
      <c r="F18" s="158">
        <f>'Catch up Fee'!D18</f>
        <v>1200</v>
      </c>
      <c r="G18" s="157">
        <f t="shared" si="5"/>
        <v>2500</v>
      </c>
      <c r="H18" s="159">
        <f t="shared" si="18"/>
        <v>2350</v>
      </c>
      <c r="I18" s="157">
        <f>G18-H18</f>
        <v>150</v>
      </c>
      <c r="J18" s="157">
        <f t="shared" si="19"/>
        <v>150</v>
      </c>
      <c r="K18" s="157">
        <f t="shared" si="0"/>
        <v>22.914999999999996</v>
      </c>
      <c r="L18" s="157">
        <f t="shared" si="20"/>
        <v>122.48967500000001</v>
      </c>
      <c r="M18" s="157">
        <v>0</v>
      </c>
      <c r="N18" s="157">
        <f t="shared" si="21"/>
        <v>2449.5746749999998</v>
      </c>
      <c r="O18" s="165">
        <v>0</v>
      </c>
      <c r="P18" s="166">
        <f t="shared" si="6"/>
        <v>0</v>
      </c>
      <c r="Q18" s="167">
        <v>0</v>
      </c>
      <c r="R18" s="165">
        <v>0</v>
      </c>
      <c r="S18" s="166">
        <f t="shared" si="7"/>
        <v>0</v>
      </c>
      <c r="T18" s="167">
        <v>0</v>
      </c>
      <c r="U18" s="165">
        <v>0</v>
      </c>
      <c r="V18" s="166">
        <f t="shared" si="8"/>
        <v>0</v>
      </c>
      <c r="W18" s="167">
        <v>0</v>
      </c>
      <c r="X18" s="165">
        <v>0</v>
      </c>
      <c r="Y18" s="166">
        <f t="shared" si="9"/>
        <v>0</v>
      </c>
      <c r="Z18" s="167">
        <v>0</v>
      </c>
      <c r="AA18" s="165">
        <v>0</v>
      </c>
      <c r="AB18" s="166">
        <f t="shared" si="10"/>
        <v>0</v>
      </c>
      <c r="AC18" s="167">
        <v>0</v>
      </c>
      <c r="AD18" s="165">
        <v>0</v>
      </c>
      <c r="AE18" s="166">
        <f t="shared" si="11"/>
        <v>0</v>
      </c>
      <c r="AF18" s="167">
        <v>0</v>
      </c>
      <c r="AG18" s="165">
        <v>0</v>
      </c>
      <c r="AH18" s="166">
        <f t="shared" si="12"/>
        <v>0</v>
      </c>
      <c r="AI18" s="167">
        <v>0</v>
      </c>
      <c r="AJ18" s="165">
        <f>'2018-2019 B STATEMENT '!B192</f>
        <v>350</v>
      </c>
      <c r="AK18" s="166">
        <f t="shared" si="13"/>
        <v>3.1149999999999998</v>
      </c>
      <c r="AL18" s="167">
        <v>0</v>
      </c>
      <c r="AM18" s="165">
        <f>'2018-2019 B STATEMENT '!B211</f>
        <v>1500</v>
      </c>
      <c r="AN18" s="166">
        <f t="shared" si="14"/>
        <v>14.849999999999998</v>
      </c>
      <c r="AO18" s="167">
        <v>0</v>
      </c>
      <c r="AP18" s="165">
        <f>'2018-2019 B STATEMENT '!B243</f>
        <v>500</v>
      </c>
      <c r="AQ18" s="166">
        <f t="shared" si="15"/>
        <v>4.9499999999999993</v>
      </c>
      <c r="AR18" s="167">
        <v>0</v>
      </c>
      <c r="AS18" s="165">
        <v>0</v>
      </c>
      <c r="AT18" s="166">
        <f t="shared" si="16"/>
        <v>0</v>
      </c>
      <c r="AU18" s="167">
        <v>0</v>
      </c>
      <c r="AV18" s="165">
        <v>0</v>
      </c>
      <c r="AW18" s="166">
        <f t="shared" si="17"/>
        <v>0</v>
      </c>
      <c r="AX18" s="167">
        <v>0</v>
      </c>
      <c r="AY18" s="87">
        <f t="shared" si="22"/>
        <v>2350</v>
      </c>
    </row>
    <row r="19" spans="1:51">
      <c r="A19" s="10" t="s">
        <v>590</v>
      </c>
      <c r="B19" s="10" t="s">
        <v>116</v>
      </c>
      <c r="C19" s="156">
        <v>100</v>
      </c>
      <c r="D19" s="157">
        <f t="shared" si="4"/>
        <v>2400</v>
      </c>
      <c r="E19" s="157">
        <v>0</v>
      </c>
      <c r="F19" s="158">
        <f>'Catch up Fee'!D19</f>
        <v>0</v>
      </c>
      <c r="G19" s="157">
        <f t="shared" si="5"/>
        <v>2500</v>
      </c>
      <c r="H19" s="159">
        <f t="shared" si="18"/>
        <v>2300</v>
      </c>
      <c r="I19" s="157">
        <f>G19-H19-C19</f>
        <v>100</v>
      </c>
      <c r="J19" s="157">
        <f t="shared" si="19"/>
        <v>100</v>
      </c>
      <c r="K19" s="157">
        <f t="shared" si="0"/>
        <v>21.27</v>
      </c>
      <c r="L19" s="157">
        <f t="shared" si="20"/>
        <v>119.83015</v>
      </c>
      <c r="M19" s="157">
        <v>0</v>
      </c>
      <c r="N19" s="157">
        <f t="shared" si="21"/>
        <v>2398.5601500000002</v>
      </c>
      <c r="O19" s="165">
        <v>0</v>
      </c>
      <c r="P19" s="166">
        <f t="shared" si="6"/>
        <v>0</v>
      </c>
      <c r="Q19" s="167">
        <v>0</v>
      </c>
      <c r="R19" s="165">
        <f>'2018-2019 B STATEMENT '!B14</f>
        <v>300</v>
      </c>
      <c r="S19" s="166">
        <f t="shared" si="7"/>
        <v>2.67</v>
      </c>
      <c r="T19" s="167">
        <v>0</v>
      </c>
      <c r="U19" s="165">
        <f>'2018-2019 B STATEMENT '!B46</f>
        <v>200</v>
      </c>
      <c r="V19" s="166">
        <f t="shared" si="8"/>
        <v>1.78</v>
      </c>
      <c r="W19" s="167">
        <v>0</v>
      </c>
      <c r="X19" s="165">
        <f>'2018-2019 B STATEMENT '!B88</f>
        <v>200</v>
      </c>
      <c r="Y19" s="166">
        <f t="shared" si="9"/>
        <v>1.78</v>
      </c>
      <c r="Z19" s="167">
        <v>0</v>
      </c>
      <c r="AA19" s="165">
        <f>'2018-2019 B STATEMENT '!B116</f>
        <v>200</v>
      </c>
      <c r="AB19" s="166">
        <f t="shared" si="10"/>
        <v>1.78</v>
      </c>
      <c r="AC19" s="167">
        <v>0</v>
      </c>
      <c r="AD19" s="165">
        <f>'2018-2019 B STATEMENT '!B147</f>
        <v>200</v>
      </c>
      <c r="AE19" s="166">
        <f t="shared" si="11"/>
        <v>1.78</v>
      </c>
      <c r="AF19" s="167">
        <v>0</v>
      </c>
      <c r="AG19" s="165">
        <f>'2018-2019 B STATEMENT '!B175</f>
        <v>200</v>
      </c>
      <c r="AH19" s="166">
        <f t="shared" si="12"/>
        <v>1.78</v>
      </c>
      <c r="AI19" s="167">
        <v>0</v>
      </c>
      <c r="AJ19" s="165">
        <f>'2018-2019 B STATEMENT '!B189</f>
        <v>200</v>
      </c>
      <c r="AK19" s="166">
        <f t="shared" si="13"/>
        <v>1.78</v>
      </c>
      <c r="AL19" s="167">
        <v>0</v>
      </c>
      <c r="AM19" s="165">
        <f>'2018-2019 B STATEMENT '!B213</f>
        <v>200</v>
      </c>
      <c r="AN19" s="166">
        <f t="shared" si="14"/>
        <v>1.9799999999999998</v>
      </c>
      <c r="AO19" s="167">
        <v>0</v>
      </c>
      <c r="AP19" s="165">
        <f>'2018-2019 B STATEMENT '!B247</f>
        <v>200</v>
      </c>
      <c r="AQ19" s="166">
        <f t="shared" si="15"/>
        <v>1.9799999999999998</v>
      </c>
      <c r="AR19" s="167">
        <v>0</v>
      </c>
      <c r="AS19" s="165">
        <f>'2018-2019 B STATEMENT '!B275</f>
        <v>200</v>
      </c>
      <c r="AT19" s="166">
        <f t="shared" si="16"/>
        <v>1.9799999999999998</v>
      </c>
      <c r="AU19" s="167">
        <v>0</v>
      </c>
      <c r="AV19" s="165">
        <f>'2018-2019 B STATEMENT '!B301</f>
        <v>200</v>
      </c>
      <c r="AW19" s="166">
        <f t="shared" si="17"/>
        <v>1.9799999999999998</v>
      </c>
      <c r="AX19" s="167">
        <v>0</v>
      </c>
      <c r="AY19" s="87">
        <f t="shared" si="22"/>
        <v>2300</v>
      </c>
    </row>
    <row r="20" spans="1:51">
      <c r="A20" s="46" t="s">
        <v>591</v>
      </c>
      <c r="B20" s="10" t="s">
        <v>140</v>
      </c>
      <c r="C20" s="228">
        <v>0</v>
      </c>
      <c r="D20" s="157">
        <f t="shared" si="4"/>
        <v>2400</v>
      </c>
      <c r="E20" s="157">
        <v>0</v>
      </c>
      <c r="F20" s="158">
        <f>'Catch up Fee'!D20</f>
        <v>2400</v>
      </c>
      <c r="G20" s="157">
        <f t="shared" si="5"/>
        <v>2400</v>
      </c>
      <c r="H20" s="159">
        <f t="shared" si="18"/>
        <v>0</v>
      </c>
      <c r="I20" s="157">
        <f>G20-H20</f>
        <v>2400</v>
      </c>
      <c r="J20" s="157">
        <f>I20+M20</f>
        <v>2400</v>
      </c>
      <c r="K20" s="157">
        <f t="shared" si="0"/>
        <v>0</v>
      </c>
      <c r="L20" s="157">
        <f t="shared" si="20"/>
        <v>0</v>
      </c>
      <c r="M20" s="157">
        <v>0</v>
      </c>
      <c r="N20" s="157">
        <f t="shared" si="21"/>
        <v>0</v>
      </c>
      <c r="O20" s="165">
        <v>0</v>
      </c>
      <c r="P20" s="166">
        <f t="shared" si="6"/>
        <v>0</v>
      </c>
      <c r="Q20" s="167">
        <v>0</v>
      </c>
      <c r="R20" s="165">
        <v>0</v>
      </c>
      <c r="S20" s="166">
        <f t="shared" si="7"/>
        <v>0</v>
      </c>
      <c r="T20" s="167">
        <v>0</v>
      </c>
      <c r="U20" s="165">
        <v>0</v>
      </c>
      <c r="V20" s="166">
        <f t="shared" si="8"/>
        <v>0</v>
      </c>
      <c r="W20" s="167">
        <v>0</v>
      </c>
      <c r="X20" s="165">
        <v>0</v>
      </c>
      <c r="Y20" s="166">
        <f t="shared" si="9"/>
        <v>0</v>
      </c>
      <c r="Z20" s="167">
        <v>0</v>
      </c>
      <c r="AA20" s="165">
        <v>0</v>
      </c>
      <c r="AB20" s="166">
        <f t="shared" si="10"/>
        <v>0</v>
      </c>
      <c r="AC20" s="167">
        <v>0</v>
      </c>
      <c r="AD20" s="165">
        <v>0</v>
      </c>
      <c r="AE20" s="166">
        <f t="shared" si="11"/>
        <v>0</v>
      </c>
      <c r="AF20" s="167">
        <v>0</v>
      </c>
      <c r="AG20" s="165">
        <v>0</v>
      </c>
      <c r="AH20" s="166">
        <f t="shared" si="12"/>
        <v>0</v>
      </c>
      <c r="AI20" s="167">
        <v>0</v>
      </c>
      <c r="AJ20" s="165">
        <v>0</v>
      </c>
      <c r="AK20" s="166">
        <f t="shared" si="13"/>
        <v>0</v>
      </c>
      <c r="AL20" s="167">
        <v>0</v>
      </c>
      <c r="AM20" s="165">
        <v>0</v>
      </c>
      <c r="AN20" s="166">
        <f t="shared" si="14"/>
        <v>0</v>
      </c>
      <c r="AO20" s="167">
        <v>0</v>
      </c>
      <c r="AP20" s="165">
        <v>0</v>
      </c>
      <c r="AQ20" s="166">
        <f t="shared" si="15"/>
        <v>0</v>
      </c>
      <c r="AR20" s="167">
        <v>0</v>
      </c>
      <c r="AS20" s="165">
        <v>0</v>
      </c>
      <c r="AT20" s="166">
        <f t="shared" si="16"/>
        <v>0</v>
      </c>
      <c r="AU20" s="167">
        <v>0</v>
      </c>
      <c r="AV20" s="165">
        <v>0</v>
      </c>
      <c r="AW20" s="166">
        <f t="shared" si="17"/>
        <v>0</v>
      </c>
      <c r="AX20" s="167">
        <v>0</v>
      </c>
      <c r="AY20" s="87">
        <f t="shared" si="22"/>
        <v>0</v>
      </c>
    </row>
    <row r="21" spans="1:51">
      <c r="A21" s="10" t="s">
        <v>592</v>
      </c>
      <c r="B21" s="10" t="s">
        <v>117</v>
      </c>
      <c r="C21" s="156">
        <v>100</v>
      </c>
      <c r="D21" s="157">
        <f t="shared" si="4"/>
        <v>2400</v>
      </c>
      <c r="E21" s="157">
        <v>0</v>
      </c>
      <c r="F21" s="158">
        <f>'Catch up Fee'!D21</f>
        <v>0</v>
      </c>
      <c r="G21" s="157">
        <f t="shared" si="5"/>
        <v>2500</v>
      </c>
      <c r="H21" s="159">
        <f t="shared" si="18"/>
        <v>900</v>
      </c>
      <c r="I21" s="157">
        <f>G21-H21-C21</f>
        <v>1500</v>
      </c>
      <c r="J21" s="157">
        <f t="shared" si="19"/>
        <v>1500</v>
      </c>
      <c r="K21" s="157">
        <f t="shared" si="0"/>
        <v>8.01</v>
      </c>
      <c r="L21" s="157">
        <f t="shared" si="20"/>
        <v>43.559449999999998</v>
      </c>
      <c r="M21" s="157">
        <v>0</v>
      </c>
      <c r="N21" s="157">
        <f t="shared" si="21"/>
        <v>935.54944999999998</v>
      </c>
      <c r="O21" s="165">
        <v>0</v>
      </c>
      <c r="P21" s="166">
        <f t="shared" si="6"/>
        <v>0</v>
      </c>
      <c r="Q21" s="167">
        <v>0</v>
      </c>
      <c r="R21" s="165">
        <f>'2018-2019 B STATEMENT '!B28</f>
        <v>300</v>
      </c>
      <c r="S21" s="166">
        <f t="shared" si="7"/>
        <v>2.67</v>
      </c>
      <c r="T21" s="167">
        <v>0</v>
      </c>
      <c r="U21" s="165">
        <v>0</v>
      </c>
      <c r="V21" s="166">
        <f t="shared" si="8"/>
        <v>0</v>
      </c>
      <c r="W21" s="167">
        <v>0</v>
      </c>
      <c r="X21" s="165">
        <f>'2018-2019 B STATEMENT '!B76</f>
        <v>200</v>
      </c>
      <c r="Y21" s="166">
        <f t="shared" si="9"/>
        <v>1.78</v>
      </c>
      <c r="Z21" s="167">
        <v>0</v>
      </c>
      <c r="AA21" s="165">
        <v>0</v>
      </c>
      <c r="AB21" s="166">
        <f t="shared" si="10"/>
        <v>0</v>
      </c>
      <c r="AC21" s="167">
        <v>0</v>
      </c>
      <c r="AD21" s="165">
        <v>0</v>
      </c>
      <c r="AE21" s="166">
        <f t="shared" si="11"/>
        <v>0</v>
      </c>
      <c r="AF21" s="167">
        <v>0</v>
      </c>
      <c r="AG21" s="165">
        <f>'2018-2019 B STATEMENT '!B176</f>
        <v>400</v>
      </c>
      <c r="AH21" s="166">
        <f t="shared" si="12"/>
        <v>3.56</v>
      </c>
      <c r="AI21" s="167">
        <v>0</v>
      </c>
      <c r="AJ21" s="165">
        <v>0</v>
      </c>
      <c r="AK21" s="166">
        <f t="shared" si="13"/>
        <v>0</v>
      </c>
      <c r="AL21" s="167">
        <v>0</v>
      </c>
      <c r="AM21" s="165">
        <v>0</v>
      </c>
      <c r="AN21" s="166">
        <f t="shared" si="14"/>
        <v>0</v>
      </c>
      <c r="AO21" s="167">
        <v>0</v>
      </c>
      <c r="AP21" s="165">
        <v>0</v>
      </c>
      <c r="AQ21" s="166">
        <f t="shared" si="15"/>
        <v>0</v>
      </c>
      <c r="AR21" s="167">
        <v>0</v>
      </c>
      <c r="AS21" s="165">
        <v>0</v>
      </c>
      <c r="AT21" s="166">
        <f t="shared" si="16"/>
        <v>0</v>
      </c>
      <c r="AU21" s="167">
        <v>0</v>
      </c>
      <c r="AV21" s="165">
        <v>0</v>
      </c>
      <c r="AW21" s="166">
        <f t="shared" si="17"/>
        <v>0</v>
      </c>
      <c r="AX21" s="167">
        <v>0</v>
      </c>
      <c r="AY21" s="87">
        <f t="shared" si="22"/>
        <v>900</v>
      </c>
    </row>
    <row r="22" spans="1:51">
      <c r="A22" s="46" t="s">
        <v>593</v>
      </c>
      <c r="B22" s="10" t="s">
        <v>118</v>
      </c>
      <c r="C22" s="156">
        <v>100</v>
      </c>
      <c r="D22" s="157">
        <f t="shared" si="4"/>
        <v>2400</v>
      </c>
      <c r="E22" s="157">
        <v>0</v>
      </c>
      <c r="F22" s="158">
        <f>'Catch up Fee'!D22</f>
        <v>200</v>
      </c>
      <c r="G22" s="157">
        <f t="shared" si="5"/>
        <v>2500</v>
      </c>
      <c r="H22" s="159">
        <f t="shared" si="18"/>
        <v>1300</v>
      </c>
      <c r="I22" s="157">
        <f>G22-H22</f>
        <v>1200</v>
      </c>
      <c r="J22" s="157">
        <f t="shared" si="19"/>
        <v>1200</v>
      </c>
      <c r="K22" s="157">
        <f t="shared" si="0"/>
        <v>11.969999999999999</v>
      </c>
      <c r="L22" s="157">
        <f t="shared" si="20"/>
        <v>65.341650000000001</v>
      </c>
      <c r="M22" s="157">
        <v>0</v>
      </c>
      <c r="N22" s="157">
        <f t="shared" si="21"/>
        <v>1353.37165</v>
      </c>
      <c r="O22" s="165">
        <v>0</v>
      </c>
      <c r="P22" s="166">
        <f t="shared" si="6"/>
        <v>0</v>
      </c>
      <c r="Q22" s="167">
        <v>0</v>
      </c>
      <c r="R22" s="165">
        <v>0</v>
      </c>
      <c r="S22" s="166">
        <f t="shared" si="7"/>
        <v>0</v>
      </c>
      <c r="T22" s="167">
        <v>0</v>
      </c>
      <c r="U22" s="165">
        <f>'2018-2019 B STATEMENT '!B71</f>
        <v>300</v>
      </c>
      <c r="V22" s="166">
        <f t="shared" si="8"/>
        <v>2.67</v>
      </c>
      <c r="W22" s="167">
        <v>0</v>
      </c>
      <c r="X22" s="165">
        <f>'2018-2019 B STATEMENT '!B87</f>
        <v>400</v>
      </c>
      <c r="Y22" s="166">
        <f t="shared" si="9"/>
        <v>3.56</v>
      </c>
      <c r="Z22" s="167">
        <v>0</v>
      </c>
      <c r="AA22" s="165">
        <f>'2018-2019 B STATEMENT '!B133</f>
        <v>200</v>
      </c>
      <c r="AB22" s="166">
        <f t="shared" si="10"/>
        <v>1.78</v>
      </c>
      <c r="AC22" s="167">
        <v>0</v>
      </c>
      <c r="AD22" s="165">
        <v>0</v>
      </c>
      <c r="AE22" s="166">
        <f t="shared" si="11"/>
        <v>0</v>
      </c>
      <c r="AF22" s="167">
        <v>0</v>
      </c>
      <c r="AG22" s="165">
        <v>0</v>
      </c>
      <c r="AH22" s="166">
        <f t="shared" si="12"/>
        <v>0</v>
      </c>
      <c r="AI22" s="167">
        <v>0</v>
      </c>
      <c r="AJ22" s="165">
        <v>0</v>
      </c>
      <c r="AK22" s="166">
        <f t="shared" si="13"/>
        <v>0</v>
      </c>
      <c r="AL22" s="167">
        <v>0</v>
      </c>
      <c r="AM22" s="165">
        <v>0</v>
      </c>
      <c r="AN22" s="166">
        <f t="shared" si="14"/>
        <v>0</v>
      </c>
      <c r="AO22" s="167">
        <v>0</v>
      </c>
      <c r="AP22" s="165">
        <f>'2018-2019 B STATEMENT '!B259+'2018-2019 B STATEMENT '!B268</f>
        <v>400</v>
      </c>
      <c r="AQ22" s="166">
        <f t="shared" si="15"/>
        <v>3.9599999999999995</v>
      </c>
      <c r="AR22" s="167">
        <v>0</v>
      </c>
      <c r="AS22" s="165">
        <v>0</v>
      </c>
      <c r="AT22" s="166">
        <f t="shared" si="16"/>
        <v>0</v>
      </c>
      <c r="AU22" s="167">
        <v>0</v>
      </c>
      <c r="AV22" s="165">
        <v>0</v>
      </c>
      <c r="AW22" s="166">
        <f t="shared" si="17"/>
        <v>0</v>
      </c>
      <c r="AX22" s="167">
        <v>0</v>
      </c>
      <c r="AY22" s="87">
        <f t="shared" si="22"/>
        <v>1300</v>
      </c>
    </row>
    <row r="23" spans="1:51">
      <c r="A23" s="10" t="s">
        <v>594</v>
      </c>
      <c r="B23" s="10" t="s">
        <v>119</v>
      </c>
      <c r="C23" s="156">
        <v>100</v>
      </c>
      <c r="D23" s="157">
        <f t="shared" si="4"/>
        <v>2400</v>
      </c>
      <c r="E23" s="157">
        <v>0</v>
      </c>
      <c r="F23" s="158">
        <f>'Catch up Fee'!D23</f>
        <v>200</v>
      </c>
      <c r="G23" s="157">
        <f t="shared" si="5"/>
        <v>2500</v>
      </c>
      <c r="H23" s="159">
        <f t="shared" si="18"/>
        <v>2800</v>
      </c>
      <c r="I23" s="157">
        <f>G23-H23</f>
        <v>-300</v>
      </c>
      <c r="J23" s="157">
        <f t="shared" si="19"/>
        <v>-300</v>
      </c>
      <c r="K23" s="157">
        <f t="shared" si="0"/>
        <v>26.12</v>
      </c>
      <c r="L23" s="157">
        <f t="shared" si="20"/>
        <v>147.0634</v>
      </c>
      <c r="M23" s="157">
        <v>0</v>
      </c>
      <c r="N23" s="157">
        <f t="shared" si="21"/>
        <v>2920.9434000000001</v>
      </c>
      <c r="O23" s="165">
        <v>0</v>
      </c>
      <c r="P23" s="166">
        <f t="shared" si="6"/>
        <v>0</v>
      </c>
      <c r="Q23" s="167">
        <v>0</v>
      </c>
      <c r="R23" s="165">
        <v>0</v>
      </c>
      <c r="S23" s="166">
        <f t="shared" si="7"/>
        <v>0</v>
      </c>
      <c r="T23" s="167">
        <v>0</v>
      </c>
      <c r="U23" s="165">
        <v>0</v>
      </c>
      <c r="V23" s="166">
        <f t="shared" si="8"/>
        <v>0</v>
      </c>
      <c r="W23" s="167">
        <v>0</v>
      </c>
      <c r="X23" s="165">
        <f>'2018-2019 B STATEMENT '!B85</f>
        <v>500</v>
      </c>
      <c r="Y23" s="166">
        <f t="shared" si="9"/>
        <v>4.45</v>
      </c>
      <c r="Z23" s="167">
        <v>0</v>
      </c>
      <c r="AA23" s="165">
        <f>'2018-2019 B STATEMENT '!B113+'2018-2019 B STATEMENT '!B128</f>
        <v>500</v>
      </c>
      <c r="AB23" s="166">
        <f t="shared" si="10"/>
        <v>4.45</v>
      </c>
      <c r="AC23" s="167">
        <v>0</v>
      </c>
      <c r="AD23" s="165">
        <v>0</v>
      </c>
      <c r="AE23" s="166">
        <f t="shared" si="11"/>
        <v>0</v>
      </c>
      <c r="AF23" s="167">
        <v>0</v>
      </c>
      <c r="AG23" s="165">
        <f>'2018-2019 B STATEMENT '!B177</f>
        <v>200</v>
      </c>
      <c r="AH23" s="166">
        <f t="shared" si="12"/>
        <v>1.78</v>
      </c>
      <c r="AI23" s="167">
        <v>0</v>
      </c>
      <c r="AJ23" s="165">
        <f>'2018-2019 B STATEMENT '!B205</f>
        <v>400</v>
      </c>
      <c r="AK23" s="166">
        <f t="shared" si="13"/>
        <v>3.56</v>
      </c>
      <c r="AL23" s="167">
        <v>0</v>
      </c>
      <c r="AM23" s="165">
        <v>0</v>
      </c>
      <c r="AN23" s="166">
        <f t="shared" si="14"/>
        <v>0</v>
      </c>
      <c r="AO23" s="167">
        <v>0</v>
      </c>
      <c r="AP23" s="165">
        <f>'2018-2019 B STATEMENT '!B262</f>
        <v>400</v>
      </c>
      <c r="AQ23" s="166">
        <f t="shared" si="15"/>
        <v>3.9599999999999995</v>
      </c>
      <c r="AR23" s="167">
        <v>0</v>
      </c>
      <c r="AS23" s="165">
        <f>'2018-2019 B STATEMENT '!B295</f>
        <v>400</v>
      </c>
      <c r="AT23" s="166">
        <f t="shared" si="16"/>
        <v>3.9599999999999995</v>
      </c>
      <c r="AU23" s="167">
        <v>0</v>
      </c>
      <c r="AV23" s="165">
        <f>'2018-2019 B STATEMENT '!B316</f>
        <v>400</v>
      </c>
      <c r="AW23" s="166">
        <f t="shared" si="17"/>
        <v>3.9599999999999995</v>
      </c>
      <c r="AX23" s="167">
        <v>0</v>
      </c>
      <c r="AY23" s="87">
        <f t="shared" si="22"/>
        <v>2800</v>
      </c>
    </row>
    <row r="24" spans="1:51">
      <c r="A24" s="46" t="s">
        <v>595</v>
      </c>
      <c r="B24" s="10" t="s">
        <v>116</v>
      </c>
      <c r="C24" s="156">
        <v>100</v>
      </c>
      <c r="D24" s="157">
        <f t="shared" si="4"/>
        <v>2400</v>
      </c>
      <c r="E24" s="157">
        <v>0</v>
      </c>
      <c r="F24" s="158">
        <f>'Catch up Fee'!D24</f>
        <v>0</v>
      </c>
      <c r="G24" s="157">
        <f t="shared" si="5"/>
        <v>2500</v>
      </c>
      <c r="H24" s="159">
        <f t="shared" si="18"/>
        <v>500</v>
      </c>
      <c r="I24" s="157">
        <f>G24-H24-C24</f>
        <v>1900</v>
      </c>
      <c r="J24" s="157">
        <f t="shared" si="19"/>
        <v>1900</v>
      </c>
      <c r="K24" s="157">
        <f t="shared" si="0"/>
        <v>4.45</v>
      </c>
      <c r="L24" s="157">
        <f t="shared" si="20"/>
        <v>21.75525</v>
      </c>
      <c r="M24" s="157">
        <v>0</v>
      </c>
      <c r="N24" s="157">
        <f t="shared" si="21"/>
        <v>517.30525</v>
      </c>
      <c r="O24" s="165">
        <v>0</v>
      </c>
      <c r="P24" s="166">
        <f t="shared" si="6"/>
        <v>0</v>
      </c>
      <c r="Q24" s="167">
        <v>0</v>
      </c>
      <c r="R24" s="165">
        <f>'2018-2019 B STATEMENT '!B23</f>
        <v>300</v>
      </c>
      <c r="S24" s="166">
        <f t="shared" si="7"/>
        <v>2.67</v>
      </c>
      <c r="T24" s="167">
        <v>0</v>
      </c>
      <c r="U24" s="165">
        <v>0</v>
      </c>
      <c r="V24" s="166">
        <f t="shared" si="8"/>
        <v>0</v>
      </c>
      <c r="W24" s="167">
        <v>0</v>
      </c>
      <c r="X24" s="165">
        <f>'2018-2019 B STATEMENT '!B77</f>
        <v>200</v>
      </c>
      <c r="Y24" s="166">
        <f t="shared" si="9"/>
        <v>1.78</v>
      </c>
      <c r="Z24" s="167">
        <v>0</v>
      </c>
      <c r="AA24" s="165">
        <v>0</v>
      </c>
      <c r="AB24" s="166">
        <f t="shared" si="10"/>
        <v>0</v>
      </c>
      <c r="AC24" s="167">
        <v>0</v>
      </c>
      <c r="AD24" s="165">
        <v>0</v>
      </c>
      <c r="AE24" s="166">
        <f t="shared" si="11"/>
        <v>0</v>
      </c>
      <c r="AF24" s="167">
        <v>0</v>
      </c>
      <c r="AG24" s="165">
        <v>0</v>
      </c>
      <c r="AH24" s="166">
        <f t="shared" si="12"/>
        <v>0</v>
      </c>
      <c r="AI24" s="167">
        <v>0</v>
      </c>
      <c r="AJ24" s="165">
        <v>0</v>
      </c>
      <c r="AK24" s="166">
        <f t="shared" si="13"/>
        <v>0</v>
      </c>
      <c r="AL24" s="167">
        <v>0</v>
      </c>
      <c r="AM24" s="165">
        <v>0</v>
      </c>
      <c r="AN24" s="166">
        <f t="shared" si="14"/>
        <v>0</v>
      </c>
      <c r="AO24" s="167">
        <v>0</v>
      </c>
      <c r="AP24" s="165">
        <v>0</v>
      </c>
      <c r="AQ24" s="166">
        <f t="shared" si="15"/>
        <v>0</v>
      </c>
      <c r="AR24" s="167">
        <v>0</v>
      </c>
      <c r="AS24" s="165">
        <v>0</v>
      </c>
      <c r="AT24" s="166">
        <f t="shared" si="16"/>
        <v>0</v>
      </c>
      <c r="AU24" s="167">
        <v>0</v>
      </c>
      <c r="AV24" s="165">
        <v>0</v>
      </c>
      <c r="AW24" s="166">
        <f t="shared" si="17"/>
        <v>0</v>
      </c>
      <c r="AX24" s="167">
        <v>0</v>
      </c>
      <c r="AY24" s="87">
        <f t="shared" si="22"/>
        <v>500</v>
      </c>
    </row>
    <row r="25" spans="1:51">
      <c r="A25" s="10" t="s">
        <v>596</v>
      </c>
      <c r="B25" s="10" t="s">
        <v>120</v>
      </c>
      <c r="C25" s="160">
        <v>100</v>
      </c>
      <c r="D25" s="157">
        <f t="shared" si="4"/>
        <v>2400</v>
      </c>
      <c r="E25" s="157">
        <v>0</v>
      </c>
      <c r="F25" s="158">
        <f>'Catch up Fee'!D25</f>
        <v>200</v>
      </c>
      <c r="G25" s="161">
        <f t="shared" si="5"/>
        <v>2500</v>
      </c>
      <c r="H25" s="159">
        <f>AY25</f>
        <v>0</v>
      </c>
      <c r="I25" s="157">
        <f>G25-H25</f>
        <v>2500</v>
      </c>
      <c r="J25" s="161">
        <f>I25+M25</f>
        <v>2500</v>
      </c>
      <c r="K25" s="157">
        <f t="shared" si="0"/>
        <v>0</v>
      </c>
      <c r="L25" s="161">
        <f>(H25-K25-C25)*5.5%</f>
        <v>-5.5</v>
      </c>
      <c r="M25" s="157">
        <v>0</v>
      </c>
      <c r="N25" s="157">
        <f t="shared" si="21"/>
        <v>-5.5</v>
      </c>
      <c r="O25" s="165">
        <v>0</v>
      </c>
      <c r="P25" s="166">
        <f t="shared" si="6"/>
        <v>0</v>
      </c>
      <c r="Q25" s="167">
        <v>0</v>
      </c>
      <c r="R25" s="165">
        <v>0</v>
      </c>
      <c r="S25" s="166">
        <f t="shared" si="7"/>
        <v>0</v>
      </c>
      <c r="T25" s="167">
        <v>0</v>
      </c>
      <c r="U25" s="165">
        <v>0</v>
      </c>
      <c r="V25" s="166">
        <f t="shared" si="8"/>
        <v>0</v>
      </c>
      <c r="W25" s="167">
        <v>0</v>
      </c>
      <c r="X25" s="165">
        <v>0</v>
      </c>
      <c r="Y25" s="166">
        <f t="shared" si="9"/>
        <v>0</v>
      </c>
      <c r="Z25" s="167">
        <v>0</v>
      </c>
      <c r="AA25" s="165">
        <v>0</v>
      </c>
      <c r="AB25" s="166">
        <f t="shared" si="10"/>
        <v>0</v>
      </c>
      <c r="AC25" s="167">
        <v>0</v>
      </c>
      <c r="AD25" s="165">
        <v>0</v>
      </c>
      <c r="AE25" s="166">
        <f t="shared" si="11"/>
        <v>0</v>
      </c>
      <c r="AF25" s="167">
        <v>0</v>
      </c>
      <c r="AG25" s="165">
        <v>0</v>
      </c>
      <c r="AH25" s="166">
        <f t="shared" si="12"/>
        <v>0</v>
      </c>
      <c r="AI25" s="167">
        <v>0</v>
      </c>
      <c r="AJ25" s="165">
        <v>0</v>
      </c>
      <c r="AK25" s="166">
        <f t="shared" si="13"/>
        <v>0</v>
      </c>
      <c r="AL25" s="167">
        <v>0</v>
      </c>
      <c r="AM25" s="165">
        <v>0</v>
      </c>
      <c r="AN25" s="166">
        <f t="shared" si="14"/>
        <v>0</v>
      </c>
      <c r="AO25" s="167">
        <v>0</v>
      </c>
      <c r="AP25" s="165">
        <v>0</v>
      </c>
      <c r="AQ25" s="166">
        <f t="shared" si="15"/>
        <v>0</v>
      </c>
      <c r="AR25" s="167">
        <v>0</v>
      </c>
      <c r="AS25" s="165">
        <v>0</v>
      </c>
      <c r="AT25" s="166">
        <f t="shared" si="16"/>
        <v>0</v>
      </c>
      <c r="AU25" s="167">
        <v>0</v>
      </c>
      <c r="AV25" s="165">
        <v>0</v>
      </c>
      <c r="AW25" s="166">
        <f t="shared" si="17"/>
        <v>0</v>
      </c>
      <c r="AX25" s="167">
        <v>0</v>
      </c>
      <c r="AY25" s="87">
        <f t="shared" si="22"/>
        <v>0</v>
      </c>
    </row>
    <row r="26" spans="1:51">
      <c r="A26" s="46" t="s">
        <v>597</v>
      </c>
      <c r="B26" s="10" t="s">
        <v>121</v>
      </c>
      <c r="C26" s="156">
        <v>100</v>
      </c>
      <c r="D26" s="157">
        <f t="shared" si="4"/>
        <v>2400</v>
      </c>
      <c r="E26" s="157">
        <v>0</v>
      </c>
      <c r="F26" s="158">
        <f>'Catch up Fee'!D26</f>
        <v>0</v>
      </c>
      <c r="G26" s="157">
        <f t="shared" si="5"/>
        <v>2500</v>
      </c>
      <c r="H26" s="159">
        <f t="shared" si="18"/>
        <v>1950</v>
      </c>
      <c r="I26" s="157">
        <f>G26-H26-C26</f>
        <v>450</v>
      </c>
      <c r="J26" s="157">
        <f t="shared" si="19"/>
        <v>450</v>
      </c>
      <c r="K26" s="157">
        <f t="shared" si="0"/>
        <v>17.754999999999999</v>
      </c>
      <c r="L26" s="157">
        <f t="shared" si="20"/>
        <v>100.77347499999999</v>
      </c>
      <c r="M26" s="157">
        <v>0</v>
      </c>
      <c r="N26" s="157">
        <f t="shared" si="21"/>
        <v>2033.0184749999999</v>
      </c>
      <c r="O26" s="165">
        <f>'2018-2019 B STATEMENT '!B2</f>
        <v>150</v>
      </c>
      <c r="P26" s="166">
        <f t="shared" si="6"/>
        <v>1.335</v>
      </c>
      <c r="Q26" s="167">
        <v>0</v>
      </c>
      <c r="R26" s="165">
        <f>'2018-2019 B STATEMENT '!B11</f>
        <v>200</v>
      </c>
      <c r="S26" s="166">
        <f t="shared" si="7"/>
        <v>1.78</v>
      </c>
      <c r="T26" s="167">
        <v>0</v>
      </c>
      <c r="U26" s="165"/>
      <c r="V26" s="166">
        <f t="shared" si="8"/>
        <v>0</v>
      </c>
      <c r="W26" s="167">
        <v>0</v>
      </c>
      <c r="X26" s="165">
        <f>'2018-2019 B STATEMENT '!B73+'2018-2019 B STATEMENT '!B78</f>
        <v>1200</v>
      </c>
      <c r="Y26" s="166">
        <f t="shared" si="9"/>
        <v>10.68</v>
      </c>
      <c r="Z26" s="167">
        <v>0</v>
      </c>
      <c r="AA26" s="165">
        <v>0</v>
      </c>
      <c r="AB26" s="166">
        <f t="shared" si="10"/>
        <v>0</v>
      </c>
      <c r="AC26" s="167">
        <v>0</v>
      </c>
      <c r="AD26" s="165">
        <v>0</v>
      </c>
      <c r="AE26" s="166">
        <f t="shared" si="11"/>
        <v>0</v>
      </c>
      <c r="AF26" s="167">
        <v>0</v>
      </c>
      <c r="AG26" s="165">
        <v>0</v>
      </c>
      <c r="AH26" s="166">
        <f t="shared" si="12"/>
        <v>0</v>
      </c>
      <c r="AI26" s="167">
        <v>0</v>
      </c>
      <c r="AJ26" s="165">
        <v>0</v>
      </c>
      <c r="AK26" s="166">
        <f t="shared" si="13"/>
        <v>0</v>
      </c>
      <c r="AL26" s="167">
        <v>0</v>
      </c>
      <c r="AM26" s="165">
        <v>0</v>
      </c>
      <c r="AN26" s="166">
        <f t="shared" si="14"/>
        <v>0</v>
      </c>
      <c r="AO26" s="167">
        <v>0</v>
      </c>
      <c r="AP26" s="165">
        <v>0</v>
      </c>
      <c r="AQ26" s="166">
        <f t="shared" si="15"/>
        <v>0</v>
      </c>
      <c r="AR26" s="167">
        <v>0</v>
      </c>
      <c r="AS26" s="165">
        <f>'2018-2019 B STATEMENT '!B290</f>
        <v>400</v>
      </c>
      <c r="AT26" s="166">
        <f t="shared" si="16"/>
        <v>3.9599999999999995</v>
      </c>
      <c r="AU26" s="167">
        <v>0</v>
      </c>
      <c r="AV26" s="165">
        <v>0</v>
      </c>
      <c r="AW26" s="166">
        <f t="shared" si="17"/>
        <v>0</v>
      </c>
      <c r="AX26" s="167">
        <v>0</v>
      </c>
      <c r="AY26" s="87">
        <f t="shared" si="22"/>
        <v>1950</v>
      </c>
    </row>
    <row r="27" spans="1:51">
      <c r="A27" s="10" t="s">
        <v>598</v>
      </c>
      <c r="B27" s="10" t="s">
        <v>110</v>
      </c>
      <c r="C27" s="156">
        <v>100</v>
      </c>
      <c r="D27" s="157">
        <f t="shared" si="4"/>
        <v>2400</v>
      </c>
      <c r="E27" s="157">
        <v>0</v>
      </c>
      <c r="F27" s="158">
        <f>'Catch up Fee'!D27</f>
        <v>0</v>
      </c>
      <c r="G27" s="157">
        <f t="shared" si="5"/>
        <v>2500</v>
      </c>
      <c r="H27" s="159">
        <f t="shared" si="18"/>
        <v>700</v>
      </c>
      <c r="I27" s="157">
        <f>G27-H27-C27</f>
        <v>1700</v>
      </c>
      <c r="J27" s="157">
        <f t="shared" si="19"/>
        <v>1700</v>
      </c>
      <c r="K27" s="157">
        <f t="shared" si="0"/>
        <v>6.23</v>
      </c>
      <c r="L27" s="157">
        <f t="shared" si="20"/>
        <v>32.657350000000001</v>
      </c>
      <c r="M27" s="157">
        <v>0</v>
      </c>
      <c r="N27" s="157">
        <f t="shared" si="21"/>
        <v>726.42734999999993</v>
      </c>
      <c r="O27" s="165">
        <v>0</v>
      </c>
      <c r="P27" s="166">
        <f t="shared" si="6"/>
        <v>0</v>
      </c>
      <c r="Q27" s="167">
        <v>0</v>
      </c>
      <c r="R27" s="165">
        <f>'2018-2019 B STATEMENT '!B5+'2018-2019 B STATEMENT '!B30</f>
        <v>500</v>
      </c>
      <c r="S27" s="166">
        <f t="shared" si="7"/>
        <v>4.45</v>
      </c>
      <c r="T27" s="167">
        <v>0</v>
      </c>
      <c r="U27" s="165">
        <v>0</v>
      </c>
      <c r="V27" s="166">
        <f t="shared" si="8"/>
        <v>0</v>
      </c>
      <c r="W27" s="167">
        <v>0</v>
      </c>
      <c r="X27" s="165">
        <v>0</v>
      </c>
      <c r="Y27" s="166">
        <f t="shared" si="9"/>
        <v>0</v>
      </c>
      <c r="Z27" s="167">
        <v>0</v>
      </c>
      <c r="AA27" s="165">
        <f>'2018-2019 B STATEMENT '!B134</f>
        <v>200</v>
      </c>
      <c r="AB27" s="166">
        <f t="shared" si="10"/>
        <v>1.78</v>
      </c>
      <c r="AC27" s="167">
        <v>0</v>
      </c>
      <c r="AD27" s="165">
        <v>0</v>
      </c>
      <c r="AE27" s="166">
        <f t="shared" si="11"/>
        <v>0</v>
      </c>
      <c r="AF27" s="167">
        <v>0</v>
      </c>
      <c r="AG27" s="165">
        <v>0</v>
      </c>
      <c r="AH27" s="166">
        <f t="shared" si="12"/>
        <v>0</v>
      </c>
      <c r="AI27" s="167">
        <v>0</v>
      </c>
      <c r="AJ27" s="165">
        <v>0</v>
      </c>
      <c r="AK27" s="166">
        <f t="shared" si="13"/>
        <v>0</v>
      </c>
      <c r="AL27" s="167">
        <v>0</v>
      </c>
      <c r="AM27" s="165">
        <v>0</v>
      </c>
      <c r="AN27" s="166">
        <f t="shared" si="14"/>
        <v>0</v>
      </c>
      <c r="AO27" s="167">
        <v>0</v>
      </c>
      <c r="AP27" s="165">
        <v>0</v>
      </c>
      <c r="AQ27" s="166">
        <f t="shared" si="15"/>
        <v>0</v>
      </c>
      <c r="AR27" s="167">
        <v>0</v>
      </c>
      <c r="AS27" s="165">
        <v>0</v>
      </c>
      <c r="AT27" s="166">
        <f t="shared" si="16"/>
        <v>0</v>
      </c>
      <c r="AU27" s="167">
        <v>0</v>
      </c>
      <c r="AV27" s="165">
        <v>0</v>
      </c>
      <c r="AW27" s="166">
        <f t="shared" si="17"/>
        <v>0</v>
      </c>
      <c r="AX27" s="167">
        <v>0</v>
      </c>
      <c r="AY27" s="87">
        <f t="shared" si="22"/>
        <v>700</v>
      </c>
    </row>
    <row r="28" spans="1:51">
      <c r="A28" s="46" t="s">
        <v>599</v>
      </c>
      <c r="B28" s="10" t="s">
        <v>116</v>
      </c>
      <c r="C28" s="156">
        <v>100</v>
      </c>
      <c r="D28" s="157">
        <f t="shared" si="4"/>
        <v>2400</v>
      </c>
      <c r="E28" s="157">
        <v>0</v>
      </c>
      <c r="F28" s="158">
        <f>'Catch up Fee'!D28</f>
        <v>0</v>
      </c>
      <c r="G28" s="157">
        <f t="shared" si="5"/>
        <v>2500</v>
      </c>
      <c r="H28" s="159">
        <f t="shared" si="18"/>
        <v>0</v>
      </c>
      <c r="I28" s="157">
        <f>G28-H28-C28</f>
        <v>2400</v>
      </c>
      <c r="J28" s="157">
        <f t="shared" si="19"/>
        <v>2400</v>
      </c>
      <c r="K28" s="157">
        <f t="shared" si="0"/>
        <v>0</v>
      </c>
      <c r="L28" s="157">
        <f t="shared" si="20"/>
        <v>-5.5</v>
      </c>
      <c r="M28" s="157">
        <v>0</v>
      </c>
      <c r="N28" s="157">
        <f t="shared" si="21"/>
        <v>-5.5</v>
      </c>
      <c r="O28" s="165">
        <v>0</v>
      </c>
      <c r="P28" s="166">
        <f t="shared" si="6"/>
        <v>0</v>
      </c>
      <c r="Q28" s="167">
        <v>0</v>
      </c>
      <c r="R28" s="165">
        <v>0</v>
      </c>
      <c r="S28" s="166">
        <f t="shared" si="7"/>
        <v>0</v>
      </c>
      <c r="T28" s="167">
        <v>0</v>
      </c>
      <c r="U28" s="165">
        <v>0</v>
      </c>
      <c r="V28" s="166">
        <f t="shared" si="8"/>
        <v>0</v>
      </c>
      <c r="W28" s="167">
        <v>0</v>
      </c>
      <c r="X28" s="165">
        <v>0</v>
      </c>
      <c r="Y28" s="166">
        <f t="shared" si="9"/>
        <v>0</v>
      </c>
      <c r="Z28" s="167">
        <v>0</v>
      </c>
      <c r="AA28" s="165">
        <v>0</v>
      </c>
      <c r="AB28" s="166">
        <f t="shared" si="10"/>
        <v>0</v>
      </c>
      <c r="AC28" s="167">
        <v>0</v>
      </c>
      <c r="AD28" s="165">
        <v>0</v>
      </c>
      <c r="AE28" s="166">
        <f t="shared" si="11"/>
        <v>0</v>
      </c>
      <c r="AF28" s="167">
        <v>0</v>
      </c>
      <c r="AG28" s="165">
        <v>0</v>
      </c>
      <c r="AH28" s="166">
        <f t="shared" si="12"/>
        <v>0</v>
      </c>
      <c r="AI28" s="167">
        <v>0</v>
      </c>
      <c r="AJ28" s="165">
        <v>0</v>
      </c>
      <c r="AK28" s="166">
        <f t="shared" si="13"/>
        <v>0</v>
      </c>
      <c r="AL28" s="167">
        <v>0</v>
      </c>
      <c r="AM28" s="165">
        <v>0</v>
      </c>
      <c r="AN28" s="166">
        <f t="shared" si="14"/>
        <v>0</v>
      </c>
      <c r="AO28" s="167">
        <v>0</v>
      </c>
      <c r="AP28" s="165">
        <v>0</v>
      </c>
      <c r="AQ28" s="166">
        <f t="shared" si="15"/>
        <v>0</v>
      </c>
      <c r="AR28" s="167">
        <v>0</v>
      </c>
      <c r="AS28" s="165">
        <v>0</v>
      </c>
      <c r="AT28" s="166">
        <f t="shared" si="16"/>
        <v>0</v>
      </c>
      <c r="AU28" s="167">
        <v>0</v>
      </c>
      <c r="AV28" s="165">
        <v>0</v>
      </c>
      <c r="AW28" s="166">
        <f t="shared" si="17"/>
        <v>0</v>
      </c>
      <c r="AX28" s="167">
        <v>0</v>
      </c>
      <c r="AY28" s="87">
        <f t="shared" si="22"/>
        <v>0</v>
      </c>
    </row>
    <row r="29" spans="1:51">
      <c r="A29" s="10" t="s">
        <v>600</v>
      </c>
      <c r="B29" s="10" t="s">
        <v>141</v>
      </c>
      <c r="C29" s="228">
        <v>0</v>
      </c>
      <c r="D29" s="157">
        <f t="shared" si="4"/>
        <v>2400</v>
      </c>
      <c r="E29" s="157">
        <v>0</v>
      </c>
      <c r="F29" s="158">
        <f>'Catch up Fee'!D29</f>
        <v>3000</v>
      </c>
      <c r="G29" s="157">
        <f t="shared" si="5"/>
        <v>2400</v>
      </c>
      <c r="H29" s="159">
        <f t="shared" si="18"/>
        <v>500</v>
      </c>
      <c r="I29" s="157">
        <f>G29-H29</f>
        <v>1900</v>
      </c>
      <c r="J29" s="157">
        <f t="shared" si="19"/>
        <v>1900</v>
      </c>
      <c r="K29" s="157">
        <f t="shared" si="0"/>
        <v>4.45</v>
      </c>
      <c r="L29" s="157">
        <f t="shared" si="20"/>
        <v>27.25525</v>
      </c>
      <c r="M29" s="157">
        <v>0</v>
      </c>
      <c r="N29" s="157">
        <f t="shared" si="21"/>
        <v>522.80525</v>
      </c>
      <c r="O29" s="165">
        <v>0</v>
      </c>
      <c r="P29" s="166">
        <f t="shared" si="6"/>
        <v>0</v>
      </c>
      <c r="Q29" s="167">
        <v>0</v>
      </c>
      <c r="R29" s="165">
        <v>0</v>
      </c>
      <c r="S29" s="166">
        <f t="shared" si="7"/>
        <v>0</v>
      </c>
      <c r="T29" s="167">
        <v>0</v>
      </c>
      <c r="U29" s="165">
        <v>0</v>
      </c>
      <c r="V29" s="166">
        <f t="shared" si="8"/>
        <v>0</v>
      </c>
      <c r="W29" s="167">
        <v>0</v>
      </c>
      <c r="X29" s="165">
        <v>0</v>
      </c>
      <c r="Y29" s="166">
        <f t="shared" si="9"/>
        <v>0</v>
      </c>
      <c r="Z29" s="167">
        <v>0</v>
      </c>
      <c r="AA29" s="165">
        <v>0</v>
      </c>
      <c r="AB29" s="166">
        <f t="shared" si="10"/>
        <v>0</v>
      </c>
      <c r="AC29" s="167">
        <v>0</v>
      </c>
      <c r="AD29" s="165">
        <v>500</v>
      </c>
      <c r="AE29" s="166">
        <f t="shared" si="11"/>
        <v>4.45</v>
      </c>
      <c r="AF29" s="167">
        <v>0</v>
      </c>
      <c r="AG29" s="165">
        <v>0</v>
      </c>
      <c r="AH29" s="166">
        <f t="shared" si="12"/>
        <v>0</v>
      </c>
      <c r="AI29" s="167">
        <v>0</v>
      </c>
      <c r="AJ29" s="165">
        <v>0</v>
      </c>
      <c r="AK29" s="166">
        <f t="shared" si="13"/>
        <v>0</v>
      </c>
      <c r="AL29" s="167">
        <v>0</v>
      </c>
      <c r="AM29" s="165">
        <v>0</v>
      </c>
      <c r="AN29" s="166">
        <f t="shared" si="14"/>
        <v>0</v>
      </c>
      <c r="AO29" s="167">
        <v>0</v>
      </c>
      <c r="AP29" s="165">
        <v>0</v>
      </c>
      <c r="AQ29" s="166">
        <f t="shared" si="15"/>
        <v>0</v>
      </c>
      <c r="AR29" s="167">
        <v>0</v>
      </c>
      <c r="AS29" s="165">
        <v>0</v>
      </c>
      <c r="AT29" s="166">
        <f t="shared" si="16"/>
        <v>0</v>
      </c>
      <c r="AU29" s="167">
        <v>0</v>
      </c>
      <c r="AV29" s="165">
        <v>0</v>
      </c>
      <c r="AW29" s="166">
        <f t="shared" si="17"/>
        <v>0</v>
      </c>
      <c r="AX29" s="167">
        <v>0</v>
      </c>
      <c r="AY29" s="87">
        <f t="shared" si="22"/>
        <v>500</v>
      </c>
    </row>
    <row r="30" spans="1:51">
      <c r="A30" s="46" t="s">
        <v>601</v>
      </c>
      <c r="B30" s="10" t="s">
        <v>122</v>
      </c>
      <c r="C30" s="156">
        <v>100</v>
      </c>
      <c r="D30" s="157">
        <f t="shared" si="4"/>
        <v>2400</v>
      </c>
      <c r="E30" s="157">
        <v>0</v>
      </c>
      <c r="F30" s="158">
        <f>'Catch up Fee'!D30</f>
        <v>200</v>
      </c>
      <c r="G30" s="157">
        <f t="shared" si="5"/>
        <v>2500</v>
      </c>
      <c r="H30" s="159">
        <f t="shared" si="18"/>
        <v>2100</v>
      </c>
      <c r="I30" s="157">
        <f>G30-H30</f>
        <v>400</v>
      </c>
      <c r="J30" s="157">
        <f t="shared" si="19"/>
        <v>400</v>
      </c>
      <c r="K30" s="157">
        <f t="shared" si="0"/>
        <v>20.189999999999998</v>
      </c>
      <c r="L30" s="157">
        <f t="shared" si="20"/>
        <v>108.88955</v>
      </c>
      <c r="M30" s="157">
        <v>0</v>
      </c>
      <c r="N30" s="157">
        <f t="shared" si="21"/>
        <v>2188.6995499999998</v>
      </c>
      <c r="O30" s="165">
        <v>0</v>
      </c>
      <c r="P30" s="166">
        <f t="shared" si="6"/>
        <v>0</v>
      </c>
      <c r="Q30" s="167">
        <v>0</v>
      </c>
      <c r="R30" s="165">
        <v>0</v>
      </c>
      <c r="S30" s="166">
        <f t="shared" si="7"/>
        <v>0</v>
      </c>
      <c r="T30" s="167">
        <v>0</v>
      </c>
      <c r="U30" s="165">
        <v>0</v>
      </c>
      <c r="V30" s="166">
        <f t="shared" si="8"/>
        <v>0</v>
      </c>
      <c r="W30" s="167">
        <v>0</v>
      </c>
      <c r="X30" s="165">
        <v>0</v>
      </c>
      <c r="Y30" s="166">
        <f t="shared" si="9"/>
        <v>0</v>
      </c>
      <c r="Z30" s="167">
        <v>0</v>
      </c>
      <c r="AA30" s="165">
        <f>'2018-2019 B STATEMENT '!B108+'2018-2019 B STATEMENT '!B109+'2018-2019 B STATEMENT '!B110</f>
        <v>600</v>
      </c>
      <c r="AB30" s="166">
        <f t="shared" si="10"/>
        <v>5.34</v>
      </c>
      <c r="AC30" s="167">
        <v>0</v>
      </c>
      <c r="AD30" s="165">
        <v>0</v>
      </c>
      <c r="AE30" s="166">
        <f t="shared" si="11"/>
        <v>0</v>
      </c>
      <c r="AF30" s="167">
        <v>0</v>
      </c>
      <c r="AG30" s="165">
        <v>0</v>
      </c>
      <c r="AH30" s="166">
        <f t="shared" si="12"/>
        <v>0</v>
      </c>
      <c r="AI30" s="167">
        <v>0</v>
      </c>
      <c r="AJ30" s="165">
        <v>0</v>
      </c>
      <c r="AK30" s="166">
        <f t="shared" si="13"/>
        <v>0</v>
      </c>
      <c r="AL30" s="167">
        <v>0</v>
      </c>
      <c r="AM30" s="165">
        <v>0</v>
      </c>
      <c r="AN30" s="166">
        <f t="shared" si="14"/>
        <v>0</v>
      </c>
      <c r="AO30" s="167">
        <v>0</v>
      </c>
      <c r="AP30" s="165">
        <v>0</v>
      </c>
      <c r="AQ30" s="166">
        <f t="shared" si="15"/>
        <v>0</v>
      </c>
      <c r="AR30" s="167">
        <v>0</v>
      </c>
      <c r="AS30" s="165">
        <f>'2018-2019 B STATEMENT '!B269+'2018-2019 B STATEMENT '!B270</f>
        <v>1500</v>
      </c>
      <c r="AT30" s="166">
        <f t="shared" si="16"/>
        <v>14.849999999999998</v>
      </c>
      <c r="AU30" s="167">
        <v>0</v>
      </c>
      <c r="AV30" s="165">
        <v>0</v>
      </c>
      <c r="AW30" s="166">
        <f t="shared" si="17"/>
        <v>0</v>
      </c>
      <c r="AX30" s="167">
        <v>0</v>
      </c>
      <c r="AY30" s="87">
        <f t="shared" si="22"/>
        <v>2100</v>
      </c>
    </row>
    <row r="31" spans="1:51">
      <c r="A31" s="10" t="s">
        <v>602</v>
      </c>
      <c r="B31" s="10" t="s">
        <v>116</v>
      </c>
      <c r="C31" s="156">
        <v>100</v>
      </c>
      <c r="D31" s="157">
        <f t="shared" si="4"/>
        <v>2400</v>
      </c>
      <c r="E31" s="157">
        <v>0</v>
      </c>
      <c r="F31" s="158">
        <f>'Catch up Fee'!D31</f>
        <v>0</v>
      </c>
      <c r="G31" s="157">
        <f t="shared" si="5"/>
        <v>2500</v>
      </c>
      <c r="H31" s="159">
        <f t="shared" si="18"/>
        <v>1700</v>
      </c>
      <c r="I31" s="157">
        <f>G31-H31-C31</f>
        <v>700</v>
      </c>
      <c r="J31" s="157">
        <f t="shared" si="19"/>
        <v>700</v>
      </c>
      <c r="K31" s="157">
        <f t="shared" si="0"/>
        <v>15.929999999999998</v>
      </c>
      <c r="L31" s="157">
        <f t="shared" si="20"/>
        <v>87.12384999999999</v>
      </c>
      <c r="M31" s="157">
        <v>0</v>
      </c>
      <c r="N31" s="157">
        <f t="shared" si="21"/>
        <v>1771.1938499999999</v>
      </c>
      <c r="O31" s="165">
        <v>0</v>
      </c>
      <c r="P31" s="166">
        <f t="shared" si="6"/>
        <v>0</v>
      </c>
      <c r="Q31" s="167">
        <v>0</v>
      </c>
      <c r="R31" s="165">
        <f>'2018-2019 B STATEMENT '!B8</f>
        <v>300</v>
      </c>
      <c r="S31" s="166">
        <f t="shared" si="7"/>
        <v>2.67</v>
      </c>
      <c r="T31" s="167">
        <v>0</v>
      </c>
      <c r="U31" s="165">
        <v>0</v>
      </c>
      <c r="V31" s="166">
        <f t="shared" si="8"/>
        <v>0</v>
      </c>
      <c r="W31" s="167">
        <v>0</v>
      </c>
      <c r="X31" s="165">
        <f>'2018-2019 B STATEMENT '!B83</f>
        <v>400</v>
      </c>
      <c r="Y31" s="166">
        <f t="shared" si="9"/>
        <v>3.56</v>
      </c>
      <c r="Z31" s="167">
        <v>0</v>
      </c>
      <c r="AA31" s="165">
        <v>0</v>
      </c>
      <c r="AB31" s="166">
        <f t="shared" si="10"/>
        <v>0</v>
      </c>
      <c r="AC31" s="167">
        <v>0</v>
      </c>
      <c r="AD31" s="165">
        <v>0</v>
      </c>
      <c r="AE31" s="166">
        <f t="shared" si="11"/>
        <v>0</v>
      </c>
      <c r="AF31" s="167">
        <v>0</v>
      </c>
      <c r="AG31" s="165">
        <f>'2018-2019 B STATEMENT '!B178</f>
        <v>200</v>
      </c>
      <c r="AH31" s="166">
        <f t="shared" si="12"/>
        <v>1.78</v>
      </c>
      <c r="AI31" s="167">
        <v>0</v>
      </c>
      <c r="AJ31" s="165">
        <v>0</v>
      </c>
      <c r="AK31" s="166">
        <f t="shared" si="13"/>
        <v>0</v>
      </c>
      <c r="AL31" s="167">
        <v>0</v>
      </c>
      <c r="AM31" s="165">
        <f>'2018-2019 B STATEMENT '!B218</f>
        <v>400</v>
      </c>
      <c r="AN31" s="166">
        <f t="shared" si="14"/>
        <v>3.9599999999999995</v>
      </c>
      <c r="AO31" s="167">
        <v>0</v>
      </c>
      <c r="AP31" s="165">
        <v>0</v>
      </c>
      <c r="AQ31" s="166">
        <f t="shared" si="15"/>
        <v>0</v>
      </c>
      <c r="AR31" s="167">
        <v>0</v>
      </c>
      <c r="AS31" s="165">
        <v>0</v>
      </c>
      <c r="AT31" s="166">
        <f t="shared" si="16"/>
        <v>0</v>
      </c>
      <c r="AU31" s="167">
        <v>0</v>
      </c>
      <c r="AV31" s="165">
        <f>'2018-2019 B STATEMENT '!B312</f>
        <v>400</v>
      </c>
      <c r="AW31" s="166">
        <f t="shared" si="17"/>
        <v>3.9599999999999995</v>
      </c>
      <c r="AX31" s="167">
        <v>0</v>
      </c>
      <c r="AY31" s="87">
        <f t="shared" si="22"/>
        <v>1700</v>
      </c>
    </row>
    <row r="32" spans="1:51">
      <c r="A32" s="46" t="s">
        <v>603</v>
      </c>
      <c r="B32" s="10" t="s">
        <v>115</v>
      </c>
      <c r="C32" s="156">
        <v>100</v>
      </c>
      <c r="D32" s="157">
        <f t="shared" si="4"/>
        <v>2400</v>
      </c>
      <c r="E32" s="157">
        <v>0</v>
      </c>
      <c r="F32" s="158">
        <f>'Catch up Fee'!D32</f>
        <v>0</v>
      </c>
      <c r="G32" s="157">
        <f t="shared" si="5"/>
        <v>2500</v>
      </c>
      <c r="H32" s="159">
        <f t="shared" si="18"/>
        <v>500</v>
      </c>
      <c r="I32" s="157">
        <f>G32-H32-C32</f>
        <v>1900</v>
      </c>
      <c r="J32" s="157">
        <f t="shared" si="19"/>
        <v>1900</v>
      </c>
      <c r="K32" s="157">
        <f t="shared" si="0"/>
        <v>4.45</v>
      </c>
      <c r="L32" s="157">
        <f t="shared" si="20"/>
        <v>21.75525</v>
      </c>
      <c r="M32" s="157">
        <v>0</v>
      </c>
      <c r="N32" s="157">
        <f t="shared" si="21"/>
        <v>517.30525</v>
      </c>
      <c r="O32" s="165">
        <v>0</v>
      </c>
      <c r="P32" s="166">
        <f t="shared" si="6"/>
        <v>0</v>
      </c>
      <c r="Q32" s="167">
        <v>0</v>
      </c>
      <c r="R32" s="165">
        <f>'2018-2019 B STATEMENT '!B24</f>
        <v>300</v>
      </c>
      <c r="S32" s="166">
        <f t="shared" si="7"/>
        <v>2.67</v>
      </c>
      <c r="T32" s="167">
        <v>0</v>
      </c>
      <c r="U32" s="165">
        <f>'2018-2019 B STATEMENT '!B37</f>
        <v>200</v>
      </c>
      <c r="V32" s="166">
        <f t="shared" si="8"/>
        <v>1.78</v>
      </c>
      <c r="W32" s="167">
        <v>0</v>
      </c>
      <c r="X32" s="165">
        <v>0</v>
      </c>
      <c r="Y32" s="166">
        <f t="shared" si="9"/>
        <v>0</v>
      </c>
      <c r="Z32" s="167">
        <v>0</v>
      </c>
      <c r="AA32" s="165">
        <v>0</v>
      </c>
      <c r="AB32" s="166">
        <f t="shared" si="10"/>
        <v>0</v>
      </c>
      <c r="AC32" s="167">
        <v>0</v>
      </c>
      <c r="AD32" s="165">
        <v>0</v>
      </c>
      <c r="AE32" s="166">
        <f t="shared" si="11"/>
        <v>0</v>
      </c>
      <c r="AF32" s="167">
        <v>0</v>
      </c>
      <c r="AG32" s="165">
        <v>0</v>
      </c>
      <c r="AH32" s="166">
        <f t="shared" si="12"/>
        <v>0</v>
      </c>
      <c r="AI32" s="167">
        <v>0</v>
      </c>
      <c r="AJ32" s="165">
        <v>0</v>
      </c>
      <c r="AK32" s="166">
        <f t="shared" si="13"/>
        <v>0</v>
      </c>
      <c r="AL32" s="167">
        <v>0</v>
      </c>
      <c r="AM32" s="165">
        <v>0</v>
      </c>
      <c r="AN32" s="166">
        <f t="shared" si="14"/>
        <v>0</v>
      </c>
      <c r="AO32" s="167">
        <v>0</v>
      </c>
      <c r="AP32" s="165">
        <v>0</v>
      </c>
      <c r="AQ32" s="166">
        <f t="shared" si="15"/>
        <v>0</v>
      </c>
      <c r="AR32" s="167">
        <v>0</v>
      </c>
      <c r="AS32" s="165">
        <v>0</v>
      </c>
      <c r="AT32" s="166">
        <f t="shared" si="16"/>
        <v>0</v>
      </c>
      <c r="AU32" s="167">
        <v>0</v>
      </c>
      <c r="AV32" s="165">
        <v>0</v>
      </c>
      <c r="AW32" s="166">
        <f t="shared" si="17"/>
        <v>0</v>
      </c>
      <c r="AX32" s="167">
        <v>0</v>
      </c>
      <c r="AY32" s="87">
        <f t="shared" si="22"/>
        <v>500</v>
      </c>
    </row>
    <row r="33" spans="1:51">
      <c r="A33" s="10" t="s">
        <v>604</v>
      </c>
      <c r="B33" s="10" t="s">
        <v>123</v>
      </c>
      <c r="C33" s="156">
        <v>100</v>
      </c>
      <c r="D33" s="157">
        <f t="shared" si="4"/>
        <v>2400</v>
      </c>
      <c r="E33" s="157">
        <v>0</v>
      </c>
      <c r="F33" s="158">
        <f>'Catch up Fee'!D33</f>
        <v>200</v>
      </c>
      <c r="G33" s="157">
        <f t="shared" si="5"/>
        <v>2500</v>
      </c>
      <c r="H33" s="159">
        <f t="shared" si="18"/>
        <v>1300</v>
      </c>
      <c r="I33" s="157">
        <f>G33-H33</f>
        <v>1200</v>
      </c>
      <c r="J33" s="157">
        <f t="shared" si="19"/>
        <v>1200</v>
      </c>
      <c r="K33" s="157">
        <f t="shared" si="0"/>
        <v>11.57</v>
      </c>
      <c r="L33" s="157">
        <f t="shared" si="20"/>
        <v>65.363650000000007</v>
      </c>
      <c r="M33" s="157">
        <v>0</v>
      </c>
      <c r="N33" s="157">
        <f t="shared" si="21"/>
        <v>1353.7936500000001</v>
      </c>
      <c r="O33" s="165">
        <v>0</v>
      </c>
      <c r="P33" s="166">
        <f t="shared" si="6"/>
        <v>0</v>
      </c>
      <c r="Q33" s="167">
        <v>0</v>
      </c>
      <c r="R33" s="165">
        <v>0</v>
      </c>
      <c r="S33" s="166">
        <f t="shared" si="7"/>
        <v>0</v>
      </c>
      <c r="T33" s="167">
        <v>0</v>
      </c>
      <c r="U33" s="165">
        <f>'2018-2019 B STATEMENT '!B70</f>
        <v>500</v>
      </c>
      <c r="V33" s="166">
        <f t="shared" si="8"/>
        <v>4.45</v>
      </c>
      <c r="W33" s="167">
        <v>0</v>
      </c>
      <c r="X33" s="165">
        <f>'2018-2019 B STATEMENT '!B104</f>
        <v>200</v>
      </c>
      <c r="Y33" s="166">
        <f t="shared" si="9"/>
        <v>1.78</v>
      </c>
      <c r="Z33" s="167">
        <v>0</v>
      </c>
      <c r="AA33" s="165">
        <f>'2018-2019 B STATEMENT '!B136</f>
        <v>200</v>
      </c>
      <c r="AB33" s="166">
        <f t="shared" si="10"/>
        <v>1.78</v>
      </c>
      <c r="AC33" s="167">
        <v>0</v>
      </c>
      <c r="AD33" s="165">
        <f>'2018-2019 B STATEMENT '!B159</f>
        <v>400</v>
      </c>
      <c r="AE33" s="166">
        <f t="shared" si="11"/>
        <v>3.56</v>
      </c>
      <c r="AF33" s="167">
        <v>0</v>
      </c>
      <c r="AG33" s="165">
        <v>0</v>
      </c>
      <c r="AH33" s="166">
        <f t="shared" si="12"/>
        <v>0</v>
      </c>
      <c r="AI33" s="167">
        <v>0</v>
      </c>
      <c r="AJ33" s="165">
        <v>0</v>
      </c>
      <c r="AK33" s="166">
        <f t="shared" si="13"/>
        <v>0</v>
      </c>
      <c r="AL33" s="167">
        <v>0</v>
      </c>
      <c r="AM33" s="165">
        <v>0</v>
      </c>
      <c r="AN33" s="166">
        <f t="shared" si="14"/>
        <v>0</v>
      </c>
      <c r="AO33" s="167">
        <v>0</v>
      </c>
      <c r="AP33" s="165">
        <v>0</v>
      </c>
      <c r="AQ33" s="166">
        <f t="shared" si="15"/>
        <v>0</v>
      </c>
      <c r="AR33" s="167">
        <v>0</v>
      </c>
      <c r="AS33" s="165">
        <v>0</v>
      </c>
      <c r="AT33" s="166">
        <f t="shared" si="16"/>
        <v>0</v>
      </c>
      <c r="AU33" s="167">
        <v>0</v>
      </c>
      <c r="AV33" s="165">
        <v>0</v>
      </c>
      <c r="AW33" s="166">
        <f t="shared" si="17"/>
        <v>0</v>
      </c>
      <c r="AX33" s="167">
        <v>0</v>
      </c>
      <c r="AY33" s="87">
        <f t="shared" si="22"/>
        <v>1300</v>
      </c>
    </row>
    <row r="34" spans="1:51">
      <c r="A34" s="46" t="s">
        <v>605</v>
      </c>
      <c r="B34" s="10"/>
      <c r="C34" s="156">
        <v>100</v>
      </c>
      <c r="D34" s="157">
        <f t="shared" si="4"/>
        <v>2400</v>
      </c>
      <c r="E34" s="157">
        <v>0</v>
      </c>
      <c r="F34" s="158">
        <f>'Catch up Fee'!D34</f>
        <v>0</v>
      </c>
      <c r="G34" s="157">
        <f t="shared" ref="G34:G66" si="23">C34+D34</f>
        <v>2500</v>
      </c>
      <c r="H34" s="159">
        <f t="shared" si="18"/>
        <v>0</v>
      </c>
      <c r="I34" s="157">
        <f>G34-H34-C34</f>
        <v>2400</v>
      </c>
      <c r="J34" s="157">
        <f t="shared" si="19"/>
        <v>2400</v>
      </c>
      <c r="K34" s="157">
        <f t="shared" si="0"/>
        <v>0</v>
      </c>
      <c r="L34" s="157">
        <f t="shared" si="20"/>
        <v>-5.5</v>
      </c>
      <c r="M34" s="157">
        <v>0</v>
      </c>
      <c r="N34" s="157">
        <f t="shared" si="21"/>
        <v>-5.5</v>
      </c>
      <c r="O34" s="165">
        <v>0</v>
      </c>
      <c r="P34" s="166">
        <f t="shared" si="6"/>
        <v>0</v>
      </c>
      <c r="Q34" s="167">
        <v>0</v>
      </c>
      <c r="R34" s="165">
        <v>0</v>
      </c>
      <c r="S34" s="166">
        <f t="shared" si="7"/>
        <v>0</v>
      </c>
      <c r="T34" s="167">
        <v>0</v>
      </c>
      <c r="U34" s="165">
        <v>0</v>
      </c>
      <c r="V34" s="166">
        <f t="shared" si="8"/>
        <v>0</v>
      </c>
      <c r="W34" s="167">
        <v>0</v>
      </c>
      <c r="X34" s="165">
        <v>0</v>
      </c>
      <c r="Y34" s="166">
        <f t="shared" si="9"/>
        <v>0</v>
      </c>
      <c r="Z34" s="167">
        <v>0</v>
      </c>
      <c r="AA34" s="165">
        <v>0</v>
      </c>
      <c r="AB34" s="166">
        <f t="shared" si="10"/>
        <v>0</v>
      </c>
      <c r="AC34" s="167">
        <v>0</v>
      </c>
      <c r="AD34" s="165">
        <v>0</v>
      </c>
      <c r="AE34" s="166">
        <f t="shared" si="11"/>
        <v>0</v>
      </c>
      <c r="AF34" s="167">
        <v>0</v>
      </c>
      <c r="AG34" s="165">
        <v>0</v>
      </c>
      <c r="AH34" s="166">
        <f t="shared" si="12"/>
        <v>0</v>
      </c>
      <c r="AI34" s="167">
        <v>0</v>
      </c>
      <c r="AJ34" s="165">
        <v>0</v>
      </c>
      <c r="AK34" s="166">
        <f t="shared" si="13"/>
        <v>0</v>
      </c>
      <c r="AL34" s="167">
        <v>0</v>
      </c>
      <c r="AM34" s="165">
        <v>0</v>
      </c>
      <c r="AN34" s="166">
        <f t="shared" si="14"/>
        <v>0</v>
      </c>
      <c r="AO34" s="167">
        <v>0</v>
      </c>
      <c r="AP34" s="165">
        <v>0</v>
      </c>
      <c r="AQ34" s="166">
        <f t="shared" si="15"/>
        <v>0</v>
      </c>
      <c r="AR34" s="167">
        <v>0</v>
      </c>
      <c r="AS34" s="165">
        <v>0</v>
      </c>
      <c r="AT34" s="166">
        <f t="shared" si="16"/>
        <v>0</v>
      </c>
      <c r="AU34" s="167">
        <v>0</v>
      </c>
      <c r="AV34" s="165">
        <v>0</v>
      </c>
      <c r="AW34" s="166">
        <f t="shared" si="17"/>
        <v>0</v>
      </c>
      <c r="AX34" s="167">
        <v>0</v>
      </c>
      <c r="AY34" s="87">
        <f t="shared" si="22"/>
        <v>0</v>
      </c>
    </row>
    <row r="35" spans="1:51">
      <c r="A35" s="10" t="s">
        <v>606</v>
      </c>
      <c r="B35" s="10" t="s">
        <v>113</v>
      </c>
      <c r="C35" s="156">
        <v>100</v>
      </c>
      <c r="D35" s="157">
        <f t="shared" si="4"/>
        <v>2400</v>
      </c>
      <c r="E35" s="157">
        <v>0</v>
      </c>
      <c r="F35" s="158">
        <f>'Catch up Fee'!D35</f>
        <v>200</v>
      </c>
      <c r="G35" s="157">
        <f t="shared" si="23"/>
        <v>2500</v>
      </c>
      <c r="H35" s="159">
        <f t="shared" si="18"/>
        <v>500</v>
      </c>
      <c r="I35" s="157">
        <f>G35-H35</f>
        <v>2000</v>
      </c>
      <c r="J35" s="157">
        <f t="shared" si="19"/>
        <v>2000</v>
      </c>
      <c r="K35" s="157">
        <f t="shared" si="0"/>
        <v>4.45</v>
      </c>
      <c r="L35" s="157">
        <f t="shared" si="20"/>
        <v>21.75525</v>
      </c>
      <c r="M35" s="157">
        <v>0</v>
      </c>
      <c r="N35" s="157">
        <f t="shared" si="21"/>
        <v>517.30525</v>
      </c>
      <c r="O35" s="165">
        <v>0</v>
      </c>
      <c r="P35" s="166">
        <f t="shared" si="6"/>
        <v>0</v>
      </c>
      <c r="Q35" s="167">
        <v>0</v>
      </c>
      <c r="R35" s="165">
        <v>0</v>
      </c>
      <c r="S35" s="166">
        <f t="shared" si="7"/>
        <v>0</v>
      </c>
      <c r="T35" s="167">
        <v>0</v>
      </c>
      <c r="U35" s="165">
        <f>'2018-2019 B STATEMENT '!B56</f>
        <v>300</v>
      </c>
      <c r="V35" s="166">
        <f t="shared" si="8"/>
        <v>2.67</v>
      </c>
      <c r="W35" s="167">
        <v>0</v>
      </c>
      <c r="X35" s="165">
        <v>0</v>
      </c>
      <c r="Y35" s="166">
        <f t="shared" si="9"/>
        <v>0</v>
      </c>
      <c r="Z35" s="167">
        <v>0</v>
      </c>
      <c r="AA35" s="165">
        <f>'2018-2019 B STATEMENT '!B129</f>
        <v>200</v>
      </c>
      <c r="AB35" s="166">
        <f t="shared" si="10"/>
        <v>1.78</v>
      </c>
      <c r="AC35" s="167">
        <v>0</v>
      </c>
      <c r="AD35" s="165">
        <v>0</v>
      </c>
      <c r="AE35" s="166">
        <f t="shared" si="11"/>
        <v>0</v>
      </c>
      <c r="AF35" s="167">
        <v>0</v>
      </c>
      <c r="AG35" s="165">
        <v>0</v>
      </c>
      <c r="AH35" s="166">
        <f t="shared" si="12"/>
        <v>0</v>
      </c>
      <c r="AI35" s="167">
        <v>0</v>
      </c>
      <c r="AJ35" s="165">
        <v>0</v>
      </c>
      <c r="AK35" s="166">
        <f t="shared" si="13"/>
        <v>0</v>
      </c>
      <c r="AL35" s="167">
        <v>0</v>
      </c>
      <c r="AM35" s="165">
        <v>0</v>
      </c>
      <c r="AN35" s="166">
        <f t="shared" si="14"/>
        <v>0</v>
      </c>
      <c r="AO35" s="167">
        <v>0</v>
      </c>
      <c r="AP35" s="165">
        <v>0</v>
      </c>
      <c r="AQ35" s="166">
        <f t="shared" si="15"/>
        <v>0</v>
      </c>
      <c r="AR35" s="167">
        <v>0</v>
      </c>
      <c r="AS35" s="165">
        <v>0</v>
      </c>
      <c r="AT35" s="166">
        <f t="shared" si="16"/>
        <v>0</v>
      </c>
      <c r="AU35" s="167">
        <v>0</v>
      </c>
      <c r="AV35" s="165">
        <v>0</v>
      </c>
      <c r="AW35" s="166">
        <f t="shared" si="17"/>
        <v>0</v>
      </c>
      <c r="AX35" s="167">
        <v>0</v>
      </c>
      <c r="AY35" s="87">
        <f t="shared" si="22"/>
        <v>500</v>
      </c>
    </row>
    <row r="36" spans="1:51">
      <c r="A36" s="46" t="s">
        <v>607</v>
      </c>
      <c r="B36" s="10"/>
      <c r="C36" s="156">
        <v>100</v>
      </c>
      <c r="D36" s="157">
        <f t="shared" si="4"/>
        <v>2400</v>
      </c>
      <c r="E36" s="157">
        <v>0</v>
      </c>
      <c r="F36" s="158">
        <f>'Catch up Fee'!D36</f>
        <v>0</v>
      </c>
      <c r="G36" s="157">
        <f t="shared" si="23"/>
        <v>2500</v>
      </c>
      <c r="H36" s="159">
        <f t="shared" si="18"/>
        <v>0</v>
      </c>
      <c r="I36" s="157">
        <f>G36-H36-C36</f>
        <v>2400</v>
      </c>
      <c r="J36" s="157">
        <f t="shared" si="19"/>
        <v>2400</v>
      </c>
      <c r="K36" s="157">
        <f t="shared" si="0"/>
        <v>0</v>
      </c>
      <c r="L36" s="157">
        <f t="shared" si="20"/>
        <v>-5.5</v>
      </c>
      <c r="M36" s="157">
        <v>0</v>
      </c>
      <c r="N36" s="157">
        <f t="shared" si="21"/>
        <v>-5.5</v>
      </c>
      <c r="O36" s="165">
        <v>0</v>
      </c>
      <c r="P36" s="166">
        <f t="shared" si="6"/>
        <v>0</v>
      </c>
      <c r="Q36" s="167">
        <v>0</v>
      </c>
      <c r="R36" s="165">
        <v>0</v>
      </c>
      <c r="S36" s="166">
        <f t="shared" si="7"/>
        <v>0</v>
      </c>
      <c r="T36" s="167">
        <v>0</v>
      </c>
      <c r="U36" s="165">
        <v>0</v>
      </c>
      <c r="V36" s="166">
        <f t="shared" si="8"/>
        <v>0</v>
      </c>
      <c r="W36" s="167">
        <v>0</v>
      </c>
      <c r="X36" s="165">
        <v>0</v>
      </c>
      <c r="Y36" s="166">
        <f t="shared" si="9"/>
        <v>0</v>
      </c>
      <c r="Z36" s="167">
        <v>0</v>
      </c>
      <c r="AA36" s="165">
        <v>0</v>
      </c>
      <c r="AB36" s="166">
        <f t="shared" si="10"/>
        <v>0</v>
      </c>
      <c r="AC36" s="167">
        <v>0</v>
      </c>
      <c r="AD36" s="165">
        <v>0</v>
      </c>
      <c r="AE36" s="166">
        <f t="shared" si="11"/>
        <v>0</v>
      </c>
      <c r="AF36" s="167">
        <v>0</v>
      </c>
      <c r="AG36" s="165">
        <v>0</v>
      </c>
      <c r="AH36" s="166">
        <f t="shared" si="12"/>
        <v>0</v>
      </c>
      <c r="AI36" s="167">
        <v>0</v>
      </c>
      <c r="AJ36" s="165">
        <v>0</v>
      </c>
      <c r="AK36" s="166">
        <f t="shared" si="13"/>
        <v>0</v>
      </c>
      <c r="AL36" s="167">
        <v>0</v>
      </c>
      <c r="AM36" s="165">
        <v>0</v>
      </c>
      <c r="AN36" s="166">
        <f t="shared" si="14"/>
        <v>0</v>
      </c>
      <c r="AO36" s="167">
        <v>0</v>
      </c>
      <c r="AP36" s="165">
        <v>0</v>
      </c>
      <c r="AQ36" s="166">
        <f t="shared" si="15"/>
        <v>0</v>
      </c>
      <c r="AR36" s="167">
        <v>0</v>
      </c>
      <c r="AS36" s="165">
        <v>0</v>
      </c>
      <c r="AT36" s="166">
        <f t="shared" si="16"/>
        <v>0</v>
      </c>
      <c r="AU36" s="167">
        <v>0</v>
      </c>
      <c r="AV36" s="165">
        <v>0</v>
      </c>
      <c r="AW36" s="166">
        <f t="shared" si="17"/>
        <v>0</v>
      </c>
      <c r="AX36" s="167">
        <v>0</v>
      </c>
      <c r="AY36" s="87">
        <f t="shared" si="22"/>
        <v>0</v>
      </c>
    </row>
    <row r="37" spans="1:51">
      <c r="A37" s="10" t="s">
        <v>608</v>
      </c>
      <c r="B37" s="10" t="s">
        <v>142</v>
      </c>
      <c r="C37" s="228">
        <v>0</v>
      </c>
      <c r="D37" s="157">
        <f t="shared" si="4"/>
        <v>2400</v>
      </c>
      <c r="E37" s="157">
        <v>0</v>
      </c>
      <c r="F37" s="158">
        <f>'Catch up Fee'!D37</f>
        <v>2600</v>
      </c>
      <c r="G37" s="157">
        <f t="shared" si="23"/>
        <v>2400</v>
      </c>
      <c r="H37" s="159">
        <f t="shared" si="18"/>
        <v>0</v>
      </c>
      <c r="I37" s="157">
        <f>G37-H37</f>
        <v>2400</v>
      </c>
      <c r="J37" s="157">
        <f t="shared" si="19"/>
        <v>2400</v>
      </c>
      <c r="K37" s="157">
        <f t="shared" si="0"/>
        <v>0</v>
      </c>
      <c r="L37" s="157">
        <f t="shared" si="20"/>
        <v>0</v>
      </c>
      <c r="M37" s="157">
        <v>0</v>
      </c>
      <c r="N37" s="157">
        <f t="shared" si="21"/>
        <v>0</v>
      </c>
      <c r="O37" s="165">
        <v>0</v>
      </c>
      <c r="P37" s="166">
        <f t="shared" si="6"/>
        <v>0</v>
      </c>
      <c r="Q37" s="167">
        <v>0</v>
      </c>
      <c r="R37" s="165">
        <v>0</v>
      </c>
      <c r="S37" s="166">
        <f t="shared" si="7"/>
        <v>0</v>
      </c>
      <c r="T37" s="167">
        <v>0</v>
      </c>
      <c r="U37" s="165">
        <v>0</v>
      </c>
      <c r="V37" s="166">
        <f t="shared" si="8"/>
        <v>0</v>
      </c>
      <c r="W37" s="167">
        <v>0</v>
      </c>
      <c r="X37" s="165">
        <v>0</v>
      </c>
      <c r="Y37" s="166">
        <f t="shared" si="9"/>
        <v>0</v>
      </c>
      <c r="Z37" s="167">
        <v>0</v>
      </c>
      <c r="AA37" s="165">
        <v>0</v>
      </c>
      <c r="AB37" s="166">
        <f t="shared" si="10"/>
        <v>0</v>
      </c>
      <c r="AC37" s="167">
        <v>0</v>
      </c>
      <c r="AD37" s="165">
        <v>0</v>
      </c>
      <c r="AE37" s="166">
        <f t="shared" si="11"/>
        <v>0</v>
      </c>
      <c r="AF37" s="167">
        <v>0</v>
      </c>
      <c r="AG37" s="165">
        <v>0</v>
      </c>
      <c r="AH37" s="166">
        <f t="shared" si="12"/>
        <v>0</v>
      </c>
      <c r="AI37" s="167">
        <v>0</v>
      </c>
      <c r="AJ37" s="165">
        <v>0</v>
      </c>
      <c r="AK37" s="166">
        <f t="shared" si="13"/>
        <v>0</v>
      </c>
      <c r="AL37" s="167">
        <v>0</v>
      </c>
      <c r="AM37" s="165">
        <v>0</v>
      </c>
      <c r="AN37" s="166">
        <f t="shared" si="14"/>
        <v>0</v>
      </c>
      <c r="AO37" s="167">
        <v>0</v>
      </c>
      <c r="AP37" s="165">
        <v>0</v>
      </c>
      <c r="AQ37" s="166">
        <f t="shared" si="15"/>
        <v>0</v>
      </c>
      <c r="AR37" s="167">
        <v>0</v>
      </c>
      <c r="AS37" s="165">
        <v>0</v>
      </c>
      <c r="AT37" s="166">
        <f t="shared" si="16"/>
        <v>0</v>
      </c>
      <c r="AU37" s="167">
        <v>0</v>
      </c>
      <c r="AV37" s="165">
        <v>0</v>
      </c>
      <c r="AW37" s="166">
        <f t="shared" si="17"/>
        <v>0</v>
      </c>
      <c r="AX37" s="167">
        <v>0</v>
      </c>
      <c r="AY37" s="87">
        <f t="shared" si="22"/>
        <v>0</v>
      </c>
    </row>
    <row r="38" spans="1:51">
      <c r="A38" s="46" t="s">
        <v>609</v>
      </c>
      <c r="B38" s="10" t="s">
        <v>124</v>
      </c>
      <c r="C38" s="156">
        <v>100</v>
      </c>
      <c r="D38" s="157">
        <f t="shared" si="4"/>
        <v>2400</v>
      </c>
      <c r="E38" s="157">
        <v>0</v>
      </c>
      <c r="F38" s="158">
        <f>'Catch up Fee'!D38</f>
        <v>0</v>
      </c>
      <c r="G38" s="157">
        <f t="shared" si="23"/>
        <v>2500</v>
      </c>
      <c r="H38" s="159">
        <f t="shared" si="18"/>
        <v>2300</v>
      </c>
      <c r="I38" s="157">
        <f>G38-H38-C38</f>
        <v>100</v>
      </c>
      <c r="J38" s="157">
        <f t="shared" si="19"/>
        <v>100</v>
      </c>
      <c r="K38" s="157">
        <f t="shared" si="0"/>
        <v>21.27</v>
      </c>
      <c r="L38" s="157">
        <f t="shared" si="20"/>
        <v>119.83015</v>
      </c>
      <c r="M38" s="157">
        <v>0</v>
      </c>
      <c r="N38" s="157">
        <f t="shared" si="21"/>
        <v>2398.5601500000002</v>
      </c>
      <c r="O38" s="165">
        <v>0</v>
      </c>
      <c r="P38" s="166">
        <f t="shared" si="6"/>
        <v>0</v>
      </c>
      <c r="Q38" s="167">
        <v>0</v>
      </c>
      <c r="R38" s="165">
        <f>'2018-2019 B STATEMENT '!B12</f>
        <v>300</v>
      </c>
      <c r="S38" s="166">
        <f t="shared" si="7"/>
        <v>2.67</v>
      </c>
      <c r="T38" s="167">
        <v>0</v>
      </c>
      <c r="U38" s="165">
        <f>'2018-2019 B STATEMENT '!B47</f>
        <v>200</v>
      </c>
      <c r="V38" s="166">
        <f t="shared" si="8"/>
        <v>1.78</v>
      </c>
      <c r="W38" s="167">
        <v>0</v>
      </c>
      <c r="X38" s="165">
        <f>'2018-2019 B STATEMENT '!B89</f>
        <v>200</v>
      </c>
      <c r="Y38" s="166">
        <f t="shared" si="9"/>
        <v>1.78</v>
      </c>
      <c r="Z38" s="167">
        <v>0</v>
      </c>
      <c r="AA38" s="165">
        <f>'2018-2019 B STATEMENT '!B118</f>
        <v>200</v>
      </c>
      <c r="AB38" s="166">
        <f t="shared" si="10"/>
        <v>1.78</v>
      </c>
      <c r="AC38" s="167">
        <v>0</v>
      </c>
      <c r="AD38" s="165">
        <f>'2018-2019 B STATEMENT '!B148</f>
        <v>400</v>
      </c>
      <c r="AE38" s="166">
        <f t="shared" si="11"/>
        <v>3.56</v>
      </c>
      <c r="AF38" s="167">
        <v>0</v>
      </c>
      <c r="AG38" s="165">
        <v>0</v>
      </c>
      <c r="AH38" s="166">
        <f t="shared" si="12"/>
        <v>0</v>
      </c>
      <c r="AI38" s="167">
        <v>0</v>
      </c>
      <c r="AJ38" s="165">
        <f>'2018-2019 B STATEMENT '!B193</f>
        <v>200</v>
      </c>
      <c r="AK38" s="166">
        <f t="shared" si="13"/>
        <v>1.78</v>
      </c>
      <c r="AL38" s="167">
        <v>0</v>
      </c>
      <c r="AM38" s="165">
        <f>'2018-2019 B STATEMENT '!B214</f>
        <v>200</v>
      </c>
      <c r="AN38" s="166">
        <f t="shared" si="14"/>
        <v>1.9799999999999998</v>
      </c>
      <c r="AO38" s="167">
        <v>0</v>
      </c>
      <c r="AP38" s="165">
        <f>'2018-2019 B STATEMENT '!B263</f>
        <v>400</v>
      </c>
      <c r="AQ38" s="166">
        <f t="shared" si="15"/>
        <v>3.9599999999999995</v>
      </c>
      <c r="AR38" s="167">
        <v>0</v>
      </c>
      <c r="AS38" s="165">
        <v>0</v>
      </c>
      <c r="AT38" s="166">
        <f t="shared" si="16"/>
        <v>0</v>
      </c>
      <c r="AU38" s="167">
        <v>0</v>
      </c>
      <c r="AV38" s="165">
        <f>'2018-2019 B STATEMENT '!B313</f>
        <v>200</v>
      </c>
      <c r="AW38" s="166">
        <f t="shared" si="17"/>
        <v>1.9799999999999998</v>
      </c>
      <c r="AX38" s="167">
        <v>0</v>
      </c>
      <c r="AY38" s="87">
        <f t="shared" si="22"/>
        <v>2300</v>
      </c>
    </row>
    <row r="39" spans="1:51">
      <c r="A39" s="10" t="s">
        <v>610</v>
      </c>
      <c r="B39" s="10" t="s">
        <v>140</v>
      </c>
      <c r="C39" s="228">
        <v>0</v>
      </c>
      <c r="D39" s="157">
        <f t="shared" si="4"/>
        <v>2400</v>
      </c>
      <c r="E39" s="157">
        <v>0</v>
      </c>
      <c r="F39" s="158">
        <f>'Catch up Fee'!D39</f>
        <v>2400</v>
      </c>
      <c r="G39" s="157">
        <f t="shared" si="23"/>
        <v>2400</v>
      </c>
      <c r="H39" s="159">
        <f t="shared" si="18"/>
        <v>0</v>
      </c>
      <c r="I39" s="157">
        <f t="shared" ref="I39:I46" si="24">G39-H39</f>
        <v>2400</v>
      </c>
      <c r="J39" s="157">
        <f t="shared" si="19"/>
        <v>2400</v>
      </c>
      <c r="K39" s="157">
        <f t="shared" si="0"/>
        <v>0</v>
      </c>
      <c r="L39" s="157">
        <f t="shared" si="20"/>
        <v>0</v>
      </c>
      <c r="M39" s="157">
        <v>0</v>
      </c>
      <c r="N39" s="157">
        <f t="shared" si="21"/>
        <v>0</v>
      </c>
      <c r="O39" s="165">
        <v>0</v>
      </c>
      <c r="P39" s="166">
        <f t="shared" si="6"/>
        <v>0</v>
      </c>
      <c r="Q39" s="167">
        <v>0</v>
      </c>
      <c r="R39" s="165">
        <v>0</v>
      </c>
      <c r="S39" s="166">
        <f t="shared" si="7"/>
        <v>0</v>
      </c>
      <c r="T39" s="167">
        <v>0</v>
      </c>
      <c r="U39" s="165">
        <v>0</v>
      </c>
      <c r="V39" s="166">
        <f t="shared" si="8"/>
        <v>0</v>
      </c>
      <c r="W39" s="167">
        <v>0</v>
      </c>
      <c r="X39" s="165">
        <v>0</v>
      </c>
      <c r="Y39" s="166">
        <f t="shared" si="9"/>
        <v>0</v>
      </c>
      <c r="Z39" s="167">
        <v>0</v>
      </c>
      <c r="AA39" s="165">
        <v>0</v>
      </c>
      <c r="AB39" s="166">
        <f t="shared" si="10"/>
        <v>0</v>
      </c>
      <c r="AC39" s="167">
        <v>0</v>
      </c>
      <c r="AD39" s="165">
        <v>0</v>
      </c>
      <c r="AE39" s="166">
        <f t="shared" si="11"/>
        <v>0</v>
      </c>
      <c r="AF39" s="167">
        <v>0</v>
      </c>
      <c r="AG39" s="165">
        <v>0</v>
      </c>
      <c r="AH39" s="166">
        <f t="shared" si="12"/>
        <v>0</v>
      </c>
      <c r="AI39" s="167">
        <v>0</v>
      </c>
      <c r="AJ39" s="165">
        <v>0</v>
      </c>
      <c r="AK39" s="166">
        <f t="shared" si="13"/>
        <v>0</v>
      </c>
      <c r="AL39" s="167">
        <v>0</v>
      </c>
      <c r="AM39" s="165">
        <v>0</v>
      </c>
      <c r="AN39" s="166">
        <f t="shared" si="14"/>
        <v>0</v>
      </c>
      <c r="AO39" s="167">
        <v>0</v>
      </c>
      <c r="AP39" s="165">
        <v>0</v>
      </c>
      <c r="AQ39" s="166">
        <f t="shared" si="15"/>
        <v>0</v>
      </c>
      <c r="AR39" s="167">
        <v>0</v>
      </c>
      <c r="AS39" s="165">
        <v>0</v>
      </c>
      <c r="AT39" s="166">
        <f t="shared" si="16"/>
        <v>0</v>
      </c>
      <c r="AU39" s="167">
        <v>0</v>
      </c>
      <c r="AV39" s="165">
        <v>0</v>
      </c>
      <c r="AW39" s="166">
        <f t="shared" si="17"/>
        <v>0</v>
      </c>
      <c r="AX39" s="167">
        <v>0</v>
      </c>
      <c r="AY39" s="87">
        <f t="shared" si="22"/>
        <v>0</v>
      </c>
    </row>
    <row r="40" spans="1:51">
      <c r="A40" s="46" t="s">
        <v>611</v>
      </c>
      <c r="B40" s="10" t="s">
        <v>125</v>
      </c>
      <c r="C40" s="156">
        <v>100</v>
      </c>
      <c r="D40" s="157">
        <f t="shared" si="4"/>
        <v>2400</v>
      </c>
      <c r="E40" s="157">
        <v>0</v>
      </c>
      <c r="F40" s="158">
        <f>'Catch up Fee'!D40</f>
        <v>200</v>
      </c>
      <c r="G40" s="157">
        <f t="shared" si="23"/>
        <v>2500</v>
      </c>
      <c r="H40" s="159">
        <f t="shared" si="18"/>
        <v>2310</v>
      </c>
      <c r="I40" s="157">
        <f t="shared" si="24"/>
        <v>190</v>
      </c>
      <c r="J40" s="157">
        <f t="shared" si="19"/>
        <v>190</v>
      </c>
      <c r="K40" s="157">
        <f t="shared" si="0"/>
        <v>20.559000000000001</v>
      </c>
      <c r="L40" s="157">
        <f t="shared" si="20"/>
        <v>120.41925499999999</v>
      </c>
      <c r="M40" s="157">
        <v>0</v>
      </c>
      <c r="N40" s="157">
        <f t="shared" si="21"/>
        <v>2409.8602549999996</v>
      </c>
      <c r="O40" s="165">
        <v>0</v>
      </c>
      <c r="P40" s="166">
        <f t="shared" si="6"/>
        <v>0</v>
      </c>
      <c r="Q40" s="167">
        <v>0</v>
      </c>
      <c r="R40" s="165">
        <f>'2018-2019 B STATEMENT '!B18</f>
        <v>310</v>
      </c>
      <c r="S40" s="166">
        <f t="shared" si="7"/>
        <v>2.7589999999999999</v>
      </c>
      <c r="T40" s="167">
        <v>0</v>
      </c>
      <c r="U40" s="165">
        <f>'2018-2019 B STATEMENT '!B48</f>
        <v>1000</v>
      </c>
      <c r="V40" s="166">
        <f t="shared" si="8"/>
        <v>8.9</v>
      </c>
      <c r="W40" s="167">
        <v>0</v>
      </c>
      <c r="X40" s="165">
        <v>0</v>
      </c>
      <c r="Y40" s="166">
        <f t="shared" si="9"/>
        <v>0</v>
      </c>
      <c r="Z40" s="167">
        <v>0</v>
      </c>
      <c r="AA40" s="165">
        <v>0</v>
      </c>
      <c r="AB40" s="166">
        <f t="shared" si="10"/>
        <v>0</v>
      </c>
      <c r="AC40" s="167">
        <v>0</v>
      </c>
      <c r="AD40" s="165">
        <f>'2018-2019 B STATEMENT '!B155</f>
        <v>1000</v>
      </c>
      <c r="AE40" s="166">
        <f t="shared" si="11"/>
        <v>8.9</v>
      </c>
      <c r="AF40" s="167">
        <v>0</v>
      </c>
      <c r="AG40" s="165">
        <v>0</v>
      </c>
      <c r="AH40" s="166">
        <f t="shared" si="12"/>
        <v>0</v>
      </c>
      <c r="AI40" s="167">
        <v>0</v>
      </c>
      <c r="AJ40" s="165">
        <v>0</v>
      </c>
      <c r="AK40" s="166">
        <f t="shared" si="13"/>
        <v>0</v>
      </c>
      <c r="AL40" s="167">
        <v>0</v>
      </c>
      <c r="AM40" s="165">
        <v>0</v>
      </c>
      <c r="AN40" s="166">
        <f t="shared" si="14"/>
        <v>0</v>
      </c>
      <c r="AO40" s="167">
        <v>0</v>
      </c>
      <c r="AP40" s="165">
        <v>0</v>
      </c>
      <c r="AQ40" s="166">
        <f t="shared" si="15"/>
        <v>0</v>
      </c>
      <c r="AR40" s="167">
        <v>0</v>
      </c>
      <c r="AS40" s="165">
        <v>0</v>
      </c>
      <c r="AT40" s="166">
        <f t="shared" si="16"/>
        <v>0</v>
      </c>
      <c r="AU40" s="167">
        <v>0</v>
      </c>
      <c r="AV40" s="165">
        <v>0</v>
      </c>
      <c r="AW40" s="166">
        <f t="shared" si="17"/>
        <v>0</v>
      </c>
      <c r="AX40" s="167">
        <v>0</v>
      </c>
      <c r="AY40" s="87">
        <f t="shared" si="22"/>
        <v>2310</v>
      </c>
    </row>
    <row r="41" spans="1:51">
      <c r="A41" s="10" t="s">
        <v>612</v>
      </c>
      <c r="B41" s="10" t="s">
        <v>144</v>
      </c>
      <c r="C41" s="156">
        <v>100</v>
      </c>
      <c r="D41" s="157">
        <f t="shared" si="4"/>
        <v>2400</v>
      </c>
      <c r="E41" s="157">
        <v>0</v>
      </c>
      <c r="F41" s="158">
        <f>'Catch up Fee'!D41</f>
        <v>1000</v>
      </c>
      <c r="G41" s="157">
        <f t="shared" si="23"/>
        <v>2500</v>
      </c>
      <c r="H41" s="159">
        <f t="shared" si="18"/>
        <v>500</v>
      </c>
      <c r="I41" s="157">
        <f t="shared" si="24"/>
        <v>2000</v>
      </c>
      <c r="J41" s="157">
        <f t="shared" si="19"/>
        <v>2000</v>
      </c>
      <c r="K41" s="157">
        <f t="shared" si="0"/>
        <v>4.45</v>
      </c>
      <c r="L41" s="157">
        <f t="shared" si="20"/>
        <v>21.75525</v>
      </c>
      <c r="M41" s="157">
        <v>0</v>
      </c>
      <c r="N41" s="157">
        <f t="shared" si="21"/>
        <v>517.30525</v>
      </c>
      <c r="O41" s="165">
        <v>0</v>
      </c>
      <c r="P41" s="166">
        <f t="shared" si="6"/>
        <v>0</v>
      </c>
      <c r="Q41" s="167">
        <v>0</v>
      </c>
      <c r="R41" s="165">
        <v>0</v>
      </c>
      <c r="S41" s="166">
        <f t="shared" si="7"/>
        <v>0</v>
      </c>
      <c r="T41" s="167">
        <v>0</v>
      </c>
      <c r="U41" s="165">
        <f>'2018-2019 B STATEMENT '!B40</f>
        <v>500</v>
      </c>
      <c r="V41" s="166">
        <f t="shared" si="8"/>
        <v>4.45</v>
      </c>
      <c r="W41" s="167">
        <v>0</v>
      </c>
      <c r="X41" s="165">
        <v>0</v>
      </c>
      <c r="Y41" s="166">
        <f t="shared" si="9"/>
        <v>0</v>
      </c>
      <c r="Z41" s="167">
        <v>0</v>
      </c>
      <c r="AA41" s="165">
        <v>0</v>
      </c>
      <c r="AB41" s="166">
        <f t="shared" si="10"/>
        <v>0</v>
      </c>
      <c r="AC41" s="167">
        <v>0</v>
      </c>
      <c r="AD41" s="165">
        <v>0</v>
      </c>
      <c r="AE41" s="166">
        <f t="shared" si="11"/>
        <v>0</v>
      </c>
      <c r="AF41" s="167">
        <v>0</v>
      </c>
      <c r="AG41" s="165">
        <v>0</v>
      </c>
      <c r="AH41" s="166">
        <f t="shared" si="12"/>
        <v>0</v>
      </c>
      <c r="AI41" s="167">
        <v>0</v>
      </c>
      <c r="AJ41" s="165">
        <v>0</v>
      </c>
      <c r="AK41" s="166">
        <f t="shared" si="13"/>
        <v>0</v>
      </c>
      <c r="AL41" s="167">
        <v>0</v>
      </c>
      <c r="AM41" s="165">
        <v>0</v>
      </c>
      <c r="AN41" s="166">
        <f t="shared" si="14"/>
        <v>0</v>
      </c>
      <c r="AO41" s="167">
        <v>0</v>
      </c>
      <c r="AP41" s="165">
        <v>0</v>
      </c>
      <c r="AQ41" s="166">
        <f t="shared" si="15"/>
        <v>0</v>
      </c>
      <c r="AR41" s="167">
        <v>0</v>
      </c>
      <c r="AS41" s="165">
        <v>0</v>
      </c>
      <c r="AT41" s="166">
        <f t="shared" si="16"/>
        <v>0</v>
      </c>
      <c r="AU41" s="167">
        <v>0</v>
      </c>
      <c r="AV41" s="165">
        <v>0</v>
      </c>
      <c r="AW41" s="166">
        <f t="shared" si="17"/>
        <v>0</v>
      </c>
      <c r="AX41" s="167">
        <v>0</v>
      </c>
      <c r="AY41" s="87">
        <f t="shared" si="22"/>
        <v>500</v>
      </c>
    </row>
    <row r="42" spans="1:51">
      <c r="A42" s="46" t="s">
        <v>613</v>
      </c>
      <c r="B42" s="10" t="s">
        <v>143</v>
      </c>
      <c r="C42" s="228">
        <v>0</v>
      </c>
      <c r="D42" s="157">
        <f t="shared" si="4"/>
        <v>2400</v>
      </c>
      <c r="E42" s="157">
        <v>0</v>
      </c>
      <c r="F42" s="158">
        <f>'Catch up Fee'!D42</f>
        <v>2400</v>
      </c>
      <c r="G42" s="157">
        <f t="shared" si="23"/>
        <v>2400</v>
      </c>
      <c r="H42" s="159">
        <f t="shared" si="18"/>
        <v>0</v>
      </c>
      <c r="I42" s="157">
        <f t="shared" si="24"/>
        <v>2400</v>
      </c>
      <c r="J42" s="157">
        <f t="shared" si="19"/>
        <v>2400</v>
      </c>
      <c r="K42" s="157">
        <f t="shared" si="0"/>
        <v>0</v>
      </c>
      <c r="L42" s="157">
        <f t="shared" si="20"/>
        <v>0</v>
      </c>
      <c r="M42" s="157">
        <v>0</v>
      </c>
      <c r="N42" s="157">
        <f t="shared" si="21"/>
        <v>0</v>
      </c>
      <c r="O42" s="165">
        <v>0</v>
      </c>
      <c r="P42" s="166">
        <f t="shared" si="6"/>
        <v>0</v>
      </c>
      <c r="Q42" s="167">
        <v>0</v>
      </c>
      <c r="R42" s="165">
        <v>0</v>
      </c>
      <c r="S42" s="166">
        <f t="shared" si="7"/>
        <v>0</v>
      </c>
      <c r="T42" s="167">
        <v>0</v>
      </c>
      <c r="U42" s="165">
        <v>0</v>
      </c>
      <c r="V42" s="166">
        <f t="shared" si="8"/>
        <v>0</v>
      </c>
      <c r="W42" s="167">
        <v>0</v>
      </c>
      <c r="X42" s="165">
        <v>0</v>
      </c>
      <c r="Y42" s="166">
        <f t="shared" si="9"/>
        <v>0</v>
      </c>
      <c r="Z42" s="167">
        <v>0</v>
      </c>
      <c r="AA42" s="165">
        <v>0</v>
      </c>
      <c r="AB42" s="166">
        <f t="shared" si="10"/>
        <v>0</v>
      </c>
      <c r="AC42" s="167">
        <v>0</v>
      </c>
      <c r="AD42" s="165">
        <v>0</v>
      </c>
      <c r="AE42" s="166">
        <f t="shared" si="11"/>
        <v>0</v>
      </c>
      <c r="AF42" s="167">
        <v>0</v>
      </c>
      <c r="AG42" s="165">
        <v>0</v>
      </c>
      <c r="AH42" s="166">
        <f t="shared" si="12"/>
        <v>0</v>
      </c>
      <c r="AI42" s="167">
        <v>0</v>
      </c>
      <c r="AJ42" s="165">
        <v>0</v>
      </c>
      <c r="AK42" s="166">
        <f t="shared" si="13"/>
        <v>0</v>
      </c>
      <c r="AL42" s="167">
        <v>0</v>
      </c>
      <c r="AM42" s="165">
        <v>0</v>
      </c>
      <c r="AN42" s="166">
        <f t="shared" si="14"/>
        <v>0</v>
      </c>
      <c r="AO42" s="167">
        <v>0</v>
      </c>
      <c r="AP42" s="165">
        <v>0</v>
      </c>
      <c r="AQ42" s="166">
        <f t="shared" si="15"/>
        <v>0</v>
      </c>
      <c r="AR42" s="167">
        <v>0</v>
      </c>
      <c r="AS42" s="165">
        <v>0</v>
      </c>
      <c r="AT42" s="166">
        <f t="shared" si="16"/>
        <v>0</v>
      </c>
      <c r="AU42" s="167">
        <v>0</v>
      </c>
      <c r="AV42" s="165">
        <v>0</v>
      </c>
      <c r="AW42" s="166">
        <f t="shared" si="17"/>
        <v>0</v>
      </c>
      <c r="AX42" s="167">
        <v>0</v>
      </c>
      <c r="AY42" s="87">
        <f t="shared" si="22"/>
        <v>0</v>
      </c>
    </row>
    <row r="43" spans="1:51">
      <c r="A43" s="10" t="s">
        <v>614</v>
      </c>
      <c r="B43" s="10" t="s">
        <v>150</v>
      </c>
      <c r="C43" s="156">
        <v>100</v>
      </c>
      <c r="D43" s="157">
        <f t="shared" si="4"/>
        <v>2400</v>
      </c>
      <c r="E43" s="157">
        <v>0</v>
      </c>
      <c r="F43" s="158">
        <f>'Catch up Fee'!D43</f>
        <v>400</v>
      </c>
      <c r="G43" s="157">
        <f t="shared" si="23"/>
        <v>2500</v>
      </c>
      <c r="H43" s="159">
        <f t="shared" si="18"/>
        <v>900</v>
      </c>
      <c r="I43" s="157">
        <f t="shared" si="24"/>
        <v>1600</v>
      </c>
      <c r="J43" s="157">
        <f t="shared" si="19"/>
        <v>1600</v>
      </c>
      <c r="K43" s="157">
        <f t="shared" si="0"/>
        <v>8.51</v>
      </c>
      <c r="L43" s="157">
        <f t="shared" si="20"/>
        <v>43.531950000000002</v>
      </c>
      <c r="M43" s="157">
        <v>0</v>
      </c>
      <c r="N43" s="157">
        <f t="shared" si="21"/>
        <v>935.02195000000006</v>
      </c>
      <c r="O43" s="165">
        <v>0</v>
      </c>
      <c r="P43" s="166">
        <f t="shared" si="6"/>
        <v>0</v>
      </c>
      <c r="Q43" s="167">
        <v>0</v>
      </c>
      <c r="R43" s="165">
        <v>0</v>
      </c>
      <c r="S43" s="166">
        <f t="shared" si="7"/>
        <v>0</v>
      </c>
      <c r="T43" s="167">
        <v>0</v>
      </c>
      <c r="U43" s="165">
        <v>0</v>
      </c>
      <c r="V43" s="166">
        <f t="shared" si="8"/>
        <v>0</v>
      </c>
      <c r="W43" s="167">
        <v>0</v>
      </c>
      <c r="X43" s="165">
        <f>'2018-2019 B STATEMENT '!B90</f>
        <v>100</v>
      </c>
      <c r="Y43" s="166">
        <f t="shared" si="9"/>
        <v>0.89</v>
      </c>
      <c r="Z43" s="167">
        <v>0</v>
      </c>
      <c r="AA43" s="165">
        <v>0</v>
      </c>
      <c r="AB43" s="166">
        <f t="shared" si="10"/>
        <v>0</v>
      </c>
      <c r="AC43" s="167">
        <v>0</v>
      </c>
      <c r="AD43" s="165">
        <f>'2018-2019 B STATEMENT '!B144</f>
        <v>100</v>
      </c>
      <c r="AE43" s="166">
        <f t="shared" si="11"/>
        <v>0.89</v>
      </c>
      <c r="AF43" s="167">
        <v>0</v>
      </c>
      <c r="AG43" s="165">
        <v>0</v>
      </c>
      <c r="AH43" s="166">
        <f t="shared" si="12"/>
        <v>0</v>
      </c>
      <c r="AI43" s="167">
        <v>0</v>
      </c>
      <c r="AJ43" s="165">
        <f>'2018-2019 B STATEMENT '!B200</f>
        <v>200</v>
      </c>
      <c r="AK43" s="166">
        <f t="shared" si="13"/>
        <v>1.78</v>
      </c>
      <c r="AL43" s="167">
        <v>0</v>
      </c>
      <c r="AM43" s="165">
        <v>0</v>
      </c>
      <c r="AN43" s="166">
        <f t="shared" si="14"/>
        <v>0</v>
      </c>
      <c r="AO43" s="167">
        <v>0</v>
      </c>
      <c r="AP43" s="165">
        <f>'2018-2019 B STATEMENT '!B248</f>
        <v>300</v>
      </c>
      <c r="AQ43" s="166">
        <f t="shared" si="15"/>
        <v>2.9699999999999998</v>
      </c>
      <c r="AR43" s="167">
        <v>0</v>
      </c>
      <c r="AS43" s="165">
        <f>'2018-2019 B STATEMENT '!B292</f>
        <v>200</v>
      </c>
      <c r="AT43" s="166">
        <f t="shared" si="16"/>
        <v>1.9799999999999998</v>
      </c>
      <c r="AU43" s="167">
        <v>0</v>
      </c>
      <c r="AV43" s="165">
        <v>0</v>
      </c>
      <c r="AW43" s="166">
        <f t="shared" si="17"/>
        <v>0</v>
      </c>
      <c r="AX43" s="167">
        <v>0</v>
      </c>
      <c r="AY43" s="87">
        <f t="shared" si="22"/>
        <v>900</v>
      </c>
    </row>
    <row r="44" spans="1:51">
      <c r="A44" s="46" t="s">
        <v>615</v>
      </c>
      <c r="B44" s="10" t="s">
        <v>159</v>
      </c>
      <c r="C44" s="156">
        <v>100</v>
      </c>
      <c r="D44" s="157">
        <f t="shared" si="4"/>
        <v>2400</v>
      </c>
      <c r="E44" s="157">
        <v>0</v>
      </c>
      <c r="F44" s="158">
        <f>'Catch up Fee'!D44</f>
        <v>400</v>
      </c>
      <c r="G44" s="157">
        <f t="shared" si="23"/>
        <v>2500</v>
      </c>
      <c r="H44" s="159">
        <f t="shared" si="18"/>
        <v>2630</v>
      </c>
      <c r="I44" s="157">
        <f t="shared" si="24"/>
        <v>-130</v>
      </c>
      <c r="J44" s="157">
        <f t="shared" si="19"/>
        <v>-130</v>
      </c>
      <c r="K44" s="157">
        <f t="shared" si="0"/>
        <v>24.906999999999996</v>
      </c>
      <c r="L44" s="157">
        <f t="shared" si="20"/>
        <v>137.780115</v>
      </c>
      <c r="M44" s="157">
        <v>0</v>
      </c>
      <c r="N44" s="157">
        <f t="shared" si="21"/>
        <v>2742.8731149999999</v>
      </c>
      <c r="O44" s="165">
        <v>0</v>
      </c>
      <c r="P44" s="166">
        <f t="shared" si="6"/>
        <v>0</v>
      </c>
      <c r="Q44" s="167">
        <v>0</v>
      </c>
      <c r="R44" s="165">
        <v>0</v>
      </c>
      <c r="S44" s="166">
        <f t="shared" si="7"/>
        <v>0</v>
      </c>
      <c r="T44" s="167">
        <v>0</v>
      </c>
      <c r="U44" s="165">
        <v>0</v>
      </c>
      <c r="V44" s="166">
        <f t="shared" si="8"/>
        <v>0</v>
      </c>
      <c r="W44" s="167">
        <v>0</v>
      </c>
      <c r="X44" s="165">
        <f>'2018-2019 B STATEMENT '!B103</f>
        <v>250</v>
      </c>
      <c r="Y44" s="166">
        <f t="shared" si="9"/>
        <v>2.2250000000000001</v>
      </c>
      <c r="Z44" s="167">
        <v>0</v>
      </c>
      <c r="AA44" s="165">
        <f>'2018-2019 B STATEMENT '!B119</f>
        <v>250</v>
      </c>
      <c r="AB44" s="166">
        <f t="shared" si="10"/>
        <v>2.2250000000000001</v>
      </c>
      <c r="AC44" s="167">
        <v>0</v>
      </c>
      <c r="AD44" s="165">
        <f>'2018-2019 B STATEMENT '!B151</f>
        <v>210</v>
      </c>
      <c r="AE44" s="166">
        <f t="shared" si="11"/>
        <v>1.869</v>
      </c>
      <c r="AF44" s="167">
        <v>0</v>
      </c>
      <c r="AG44" s="165">
        <f>'2018-2019 B STATEMENT '!B163</f>
        <v>210</v>
      </c>
      <c r="AH44" s="166">
        <f t="shared" si="12"/>
        <v>1.869</v>
      </c>
      <c r="AI44" s="167">
        <v>0</v>
      </c>
      <c r="AJ44" s="165">
        <f>'2018-2019 B STATEMENT '!B183</f>
        <v>210</v>
      </c>
      <c r="AK44" s="166">
        <f t="shared" si="13"/>
        <v>1.869</v>
      </c>
      <c r="AL44" s="167">
        <v>0</v>
      </c>
      <c r="AM44" s="165">
        <f>'2018-2019 B STATEMENT '!B208+'2018-2019 B STATEMENT '!B239</f>
        <v>600</v>
      </c>
      <c r="AN44" s="166">
        <f t="shared" si="14"/>
        <v>5.9399999999999995</v>
      </c>
      <c r="AO44" s="167">
        <v>0</v>
      </c>
      <c r="AP44" s="165">
        <f>'2018-2019 B STATEMENT '!B249</f>
        <v>300</v>
      </c>
      <c r="AQ44" s="166">
        <f t="shared" si="15"/>
        <v>2.9699999999999998</v>
      </c>
      <c r="AR44" s="167">
        <v>0</v>
      </c>
      <c r="AS44" s="165">
        <f>'2018-2019 B STATEMENT '!B281</f>
        <v>300</v>
      </c>
      <c r="AT44" s="166">
        <f t="shared" si="16"/>
        <v>2.9699999999999998</v>
      </c>
      <c r="AU44" s="167">
        <v>0</v>
      </c>
      <c r="AV44" s="165">
        <f>'2018-2019 B STATEMENT '!B302</f>
        <v>300</v>
      </c>
      <c r="AW44" s="166">
        <f t="shared" si="17"/>
        <v>2.9699999999999998</v>
      </c>
      <c r="AX44" s="167">
        <v>0</v>
      </c>
      <c r="AY44" s="87">
        <f t="shared" si="22"/>
        <v>2630</v>
      </c>
    </row>
    <row r="45" spans="1:51">
      <c r="A45" s="10" t="s">
        <v>616</v>
      </c>
      <c r="B45" s="10" t="s">
        <v>126</v>
      </c>
      <c r="C45" s="156">
        <v>100</v>
      </c>
      <c r="D45" s="157">
        <f t="shared" si="4"/>
        <v>2400</v>
      </c>
      <c r="E45" s="157">
        <v>0</v>
      </c>
      <c r="F45" s="158">
        <f>'Catch up Fee'!D45</f>
        <v>200</v>
      </c>
      <c r="G45" s="157">
        <f t="shared" si="23"/>
        <v>2500</v>
      </c>
      <c r="H45" s="159">
        <f t="shared" si="18"/>
        <v>300</v>
      </c>
      <c r="I45" s="157">
        <f t="shared" si="24"/>
        <v>2200</v>
      </c>
      <c r="J45" s="157">
        <f t="shared" si="19"/>
        <v>2200</v>
      </c>
      <c r="K45" s="157">
        <f t="shared" si="0"/>
        <v>2.67</v>
      </c>
      <c r="L45" s="157">
        <f t="shared" si="20"/>
        <v>10.853149999999999</v>
      </c>
      <c r="M45" s="157">
        <v>0</v>
      </c>
      <c r="N45" s="157">
        <f t="shared" si="21"/>
        <v>308.18314999999996</v>
      </c>
      <c r="O45" s="165">
        <v>0</v>
      </c>
      <c r="P45" s="166">
        <f t="shared" si="6"/>
        <v>0</v>
      </c>
      <c r="Q45" s="167">
        <v>0</v>
      </c>
      <c r="R45" s="165">
        <v>0</v>
      </c>
      <c r="S45" s="166">
        <f t="shared" si="7"/>
        <v>0</v>
      </c>
      <c r="T45" s="167">
        <v>0</v>
      </c>
      <c r="U45" s="165">
        <f>'2018-2019 B STATEMENT '!B41</f>
        <v>300</v>
      </c>
      <c r="V45" s="166">
        <f t="shared" si="8"/>
        <v>2.67</v>
      </c>
      <c r="W45" s="167">
        <v>0</v>
      </c>
      <c r="X45" s="165">
        <v>0</v>
      </c>
      <c r="Y45" s="166">
        <f t="shared" si="9"/>
        <v>0</v>
      </c>
      <c r="Z45" s="167">
        <v>0</v>
      </c>
      <c r="AA45" s="165">
        <v>0</v>
      </c>
      <c r="AB45" s="166">
        <f t="shared" si="10"/>
        <v>0</v>
      </c>
      <c r="AC45" s="167">
        <v>0</v>
      </c>
      <c r="AD45" s="165">
        <v>0</v>
      </c>
      <c r="AE45" s="166">
        <f t="shared" si="11"/>
        <v>0</v>
      </c>
      <c r="AF45" s="167">
        <v>0</v>
      </c>
      <c r="AG45" s="165">
        <v>0</v>
      </c>
      <c r="AH45" s="166">
        <f t="shared" si="12"/>
        <v>0</v>
      </c>
      <c r="AI45" s="167">
        <v>0</v>
      </c>
      <c r="AJ45" s="165">
        <v>0</v>
      </c>
      <c r="AK45" s="166">
        <f t="shared" si="13"/>
        <v>0</v>
      </c>
      <c r="AL45" s="167">
        <v>0</v>
      </c>
      <c r="AM45" s="165">
        <v>0</v>
      </c>
      <c r="AN45" s="166">
        <f t="shared" si="14"/>
        <v>0</v>
      </c>
      <c r="AO45" s="167">
        <v>0</v>
      </c>
      <c r="AP45" s="165">
        <v>0</v>
      </c>
      <c r="AQ45" s="166">
        <f t="shared" si="15"/>
        <v>0</v>
      </c>
      <c r="AR45" s="167">
        <v>0</v>
      </c>
      <c r="AS45" s="165">
        <v>0</v>
      </c>
      <c r="AT45" s="166">
        <f t="shared" si="16"/>
        <v>0</v>
      </c>
      <c r="AU45" s="167">
        <v>0</v>
      </c>
      <c r="AV45" s="165">
        <v>0</v>
      </c>
      <c r="AW45" s="166">
        <f t="shared" si="17"/>
        <v>0</v>
      </c>
      <c r="AX45" s="167">
        <v>0</v>
      </c>
      <c r="AY45" s="87">
        <f t="shared" si="22"/>
        <v>300</v>
      </c>
    </row>
    <row r="46" spans="1:51">
      <c r="A46" s="46" t="s">
        <v>617</v>
      </c>
      <c r="B46" s="10" t="s">
        <v>151</v>
      </c>
      <c r="C46" s="156">
        <v>100</v>
      </c>
      <c r="D46" s="157">
        <f t="shared" si="4"/>
        <v>2400</v>
      </c>
      <c r="E46" s="157">
        <v>0</v>
      </c>
      <c r="F46" s="158">
        <f>'Catch up Fee'!D46</f>
        <v>1600</v>
      </c>
      <c r="G46" s="157">
        <f t="shared" si="23"/>
        <v>2500</v>
      </c>
      <c r="H46" s="159">
        <f t="shared" si="18"/>
        <v>1000</v>
      </c>
      <c r="I46" s="157">
        <f t="shared" si="24"/>
        <v>1500</v>
      </c>
      <c r="J46" s="157">
        <f t="shared" si="19"/>
        <v>1500</v>
      </c>
      <c r="K46" s="157">
        <f t="shared" si="0"/>
        <v>9.8999999999999986</v>
      </c>
      <c r="L46" s="157">
        <f t="shared" si="20"/>
        <v>48.955500000000001</v>
      </c>
      <c r="M46" s="157">
        <v>0</v>
      </c>
      <c r="N46" s="157">
        <f t="shared" si="21"/>
        <v>1039.0554999999999</v>
      </c>
      <c r="O46" s="165">
        <v>0</v>
      </c>
      <c r="P46" s="166">
        <f t="shared" si="6"/>
        <v>0</v>
      </c>
      <c r="Q46" s="167">
        <v>0</v>
      </c>
      <c r="R46" s="165">
        <v>0</v>
      </c>
      <c r="S46" s="166">
        <f t="shared" si="7"/>
        <v>0</v>
      </c>
      <c r="T46" s="167">
        <v>0</v>
      </c>
      <c r="U46" s="165">
        <v>0</v>
      </c>
      <c r="V46" s="166">
        <f t="shared" si="8"/>
        <v>0</v>
      </c>
      <c r="W46" s="167">
        <v>0</v>
      </c>
      <c r="X46" s="165">
        <v>0</v>
      </c>
      <c r="Y46" s="166">
        <f t="shared" si="9"/>
        <v>0</v>
      </c>
      <c r="Z46" s="167">
        <v>0</v>
      </c>
      <c r="AA46" s="165">
        <v>0</v>
      </c>
      <c r="AB46" s="166">
        <f t="shared" si="10"/>
        <v>0</v>
      </c>
      <c r="AC46" s="167">
        <v>0</v>
      </c>
      <c r="AD46" s="165">
        <v>0</v>
      </c>
      <c r="AE46" s="166">
        <f t="shared" si="11"/>
        <v>0</v>
      </c>
      <c r="AF46" s="167">
        <v>0</v>
      </c>
      <c r="AG46" s="165">
        <v>0</v>
      </c>
      <c r="AH46" s="166">
        <f t="shared" si="12"/>
        <v>0</v>
      </c>
      <c r="AI46" s="167">
        <v>0</v>
      </c>
      <c r="AJ46" s="165">
        <v>0</v>
      </c>
      <c r="AK46" s="166">
        <f t="shared" si="13"/>
        <v>0</v>
      </c>
      <c r="AL46" s="167">
        <v>0</v>
      </c>
      <c r="AM46" s="165">
        <v>0</v>
      </c>
      <c r="AN46" s="166">
        <f t="shared" si="14"/>
        <v>0</v>
      </c>
      <c r="AO46" s="167">
        <v>0</v>
      </c>
      <c r="AP46" s="165">
        <f>'2018-2019 B STATEMENT '!B244</f>
        <v>1000</v>
      </c>
      <c r="AQ46" s="166">
        <f t="shared" si="15"/>
        <v>9.8999999999999986</v>
      </c>
      <c r="AR46" s="167">
        <v>0</v>
      </c>
      <c r="AS46" s="165">
        <v>0</v>
      </c>
      <c r="AT46" s="166">
        <f t="shared" si="16"/>
        <v>0</v>
      </c>
      <c r="AU46" s="167">
        <v>0</v>
      </c>
      <c r="AV46" s="165">
        <v>0</v>
      </c>
      <c r="AW46" s="166">
        <f t="shared" si="17"/>
        <v>0</v>
      </c>
      <c r="AX46" s="167">
        <v>0</v>
      </c>
      <c r="AY46" s="87">
        <f t="shared" si="22"/>
        <v>1000</v>
      </c>
    </row>
    <row r="47" spans="1:51">
      <c r="A47" s="10" t="s">
        <v>618</v>
      </c>
      <c r="B47" s="10" t="s">
        <v>116</v>
      </c>
      <c r="C47" s="156">
        <v>100</v>
      </c>
      <c r="D47" s="157">
        <f t="shared" si="4"/>
        <v>2400</v>
      </c>
      <c r="E47" s="157">
        <v>0</v>
      </c>
      <c r="F47" s="158">
        <f>'Catch up Fee'!D47</f>
        <v>0</v>
      </c>
      <c r="G47" s="157">
        <f t="shared" si="23"/>
        <v>2500</v>
      </c>
      <c r="H47" s="159">
        <f t="shared" si="18"/>
        <v>2500</v>
      </c>
      <c r="I47" s="157">
        <f>G47-H47-C47</f>
        <v>-100</v>
      </c>
      <c r="J47" s="157">
        <f t="shared" si="19"/>
        <v>-100</v>
      </c>
      <c r="K47" s="157">
        <f t="shared" si="0"/>
        <v>24.049999999999997</v>
      </c>
      <c r="L47" s="157">
        <f t="shared" si="20"/>
        <v>130.67724999999999</v>
      </c>
      <c r="M47" s="157">
        <v>0</v>
      </c>
      <c r="N47" s="157">
        <f t="shared" si="21"/>
        <v>2606.62725</v>
      </c>
      <c r="O47" s="165">
        <v>0</v>
      </c>
      <c r="P47" s="166">
        <f t="shared" si="6"/>
        <v>0</v>
      </c>
      <c r="Q47" s="167">
        <v>0</v>
      </c>
      <c r="R47" s="165">
        <f>'2018-2019 B STATEMENT '!B4+'2018-2019 B STATEMENT '!B19</f>
        <v>300</v>
      </c>
      <c r="S47" s="166">
        <f t="shared" si="7"/>
        <v>2.67</v>
      </c>
      <c r="T47" s="167">
        <v>0</v>
      </c>
      <c r="U47" s="165">
        <f>'2018-2019 B STATEMENT '!B57</f>
        <v>400</v>
      </c>
      <c r="V47" s="166">
        <f t="shared" si="8"/>
        <v>3.56</v>
      </c>
      <c r="W47" s="167">
        <v>0</v>
      </c>
      <c r="X47" s="165">
        <v>0</v>
      </c>
      <c r="Y47" s="166">
        <f t="shared" si="9"/>
        <v>0</v>
      </c>
      <c r="Z47" s="167">
        <v>0</v>
      </c>
      <c r="AA47" s="165">
        <v>0</v>
      </c>
      <c r="AB47" s="166">
        <f t="shared" si="10"/>
        <v>0</v>
      </c>
      <c r="AC47" s="167">
        <v>0</v>
      </c>
      <c r="AD47" s="165">
        <v>0</v>
      </c>
      <c r="AE47" s="166">
        <f t="shared" si="11"/>
        <v>0</v>
      </c>
      <c r="AF47" s="167">
        <v>0</v>
      </c>
      <c r="AG47" s="165">
        <v>0</v>
      </c>
      <c r="AH47" s="166">
        <f t="shared" si="12"/>
        <v>0</v>
      </c>
      <c r="AI47" s="167">
        <v>0</v>
      </c>
      <c r="AJ47" s="165">
        <v>0</v>
      </c>
      <c r="AK47" s="166">
        <f t="shared" si="13"/>
        <v>0</v>
      </c>
      <c r="AL47" s="167">
        <v>0</v>
      </c>
      <c r="AM47" s="165">
        <v>0</v>
      </c>
      <c r="AN47" s="166">
        <f t="shared" si="14"/>
        <v>0</v>
      </c>
      <c r="AO47" s="167">
        <v>0</v>
      </c>
      <c r="AP47" s="165">
        <f>'2018-2019 B STATEMENT '!B264</f>
        <v>1800</v>
      </c>
      <c r="AQ47" s="166">
        <f t="shared" si="15"/>
        <v>17.819999999999997</v>
      </c>
      <c r="AR47" s="167">
        <v>0</v>
      </c>
      <c r="AS47" s="165">
        <v>0</v>
      </c>
      <c r="AT47" s="166">
        <f t="shared" si="16"/>
        <v>0</v>
      </c>
      <c r="AU47" s="167">
        <v>0</v>
      </c>
      <c r="AV47" s="165">
        <v>0</v>
      </c>
      <c r="AW47" s="166">
        <f t="shared" si="17"/>
        <v>0</v>
      </c>
      <c r="AX47" s="167">
        <v>0</v>
      </c>
      <c r="AY47" s="87">
        <f t="shared" si="22"/>
        <v>2500</v>
      </c>
    </row>
    <row r="48" spans="1:51">
      <c r="A48" s="46" t="s">
        <v>619</v>
      </c>
      <c r="B48" s="10" t="s">
        <v>135</v>
      </c>
      <c r="C48" s="156">
        <v>100</v>
      </c>
      <c r="D48" s="157">
        <f t="shared" si="4"/>
        <v>2400</v>
      </c>
      <c r="E48" s="157">
        <v>0</v>
      </c>
      <c r="F48" s="158">
        <f>'Catch up Fee'!D48</f>
        <v>400</v>
      </c>
      <c r="G48" s="157">
        <f t="shared" si="23"/>
        <v>2500</v>
      </c>
      <c r="H48" s="159">
        <f t="shared" si="18"/>
        <v>2510</v>
      </c>
      <c r="I48" s="157">
        <f>G48-H48</f>
        <v>-10</v>
      </c>
      <c r="J48" s="157">
        <f t="shared" si="19"/>
        <v>-10</v>
      </c>
      <c r="K48" s="157">
        <f t="shared" si="0"/>
        <v>23.538999999999998</v>
      </c>
      <c r="L48" s="157">
        <f t="shared" si="20"/>
        <v>131.25535499999998</v>
      </c>
      <c r="M48" s="157">
        <v>0</v>
      </c>
      <c r="N48" s="157">
        <f t="shared" si="21"/>
        <v>2617.7163549999996</v>
      </c>
      <c r="O48" s="165">
        <v>0</v>
      </c>
      <c r="P48" s="166">
        <f t="shared" si="6"/>
        <v>0</v>
      </c>
      <c r="Q48" s="167">
        <v>0</v>
      </c>
      <c r="R48" s="165">
        <v>0</v>
      </c>
      <c r="S48" s="166">
        <f t="shared" si="7"/>
        <v>0</v>
      </c>
      <c r="T48" s="167">
        <v>0</v>
      </c>
      <c r="U48" s="165">
        <v>0</v>
      </c>
      <c r="V48" s="166">
        <f t="shared" si="8"/>
        <v>0</v>
      </c>
      <c r="W48" s="167">
        <v>0</v>
      </c>
      <c r="X48" s="165">
        <f>'2018-2019 B STATEMENT '!B97</f>
        <v>310</v>
      </c>
      <c r="Y48" s="166">
        <f t="shared" si="9"/>
        <v>2.7589999999999999</v>
      </c>
      <c r="Z48" s="167">
        <v>0</v>
      </c>
      <c r="AA48" s="165">
        <f>'2018-2019 B STATEMENT '!B117</f>
        <v>600</v>
      </c>
      <c r="AB48" s="166">
        <f t="shared" si="10"/>
        <v>5.34</v>
      </c>
      <c r="AC48" s="167">
        <v>0</v>
      </c>
      <c r="AD48" s="165">
        <f>'2018-2019 B STATEMENT '!B149</f>
        <v>200</v>
      </c>
      <c r="AE48" s="166">
        <f t="shared" si="11"/>
        <v>1.78</v>
      </c>
      <c r="AF48" s="167">
        <v>0</v>
      </c>
      <c r="AG48" s="165">
        <f>'2018-2019 B STATEMENT '!B172</f>
        <v>200</v>
      </c>
      <c r="AH48" s="166">
        <f t="shared" si="12"/>
        <v>1.78</v>
      </c>
      <c r="AI48" s="167">
        <v>0</v>
      </c>
      <c r="AJ48" s="165">
        <v>0</v>
      </c>
      <c r="AK48" s="166">
        <f t="shared" si="13"/>
        <v>0</v>
      </c>
      <c r="AL48" s="167">
        <v>0</v>
      </c>
      <c r="AM48" s="165">
        <f>'2018-2019 B STATEMENT '!B215</f>
        <v>400</v>
      </c>
      <c r="AN48" s="166">
        <f t="shared" si="14"/>
        <v>3.9599999999999995</v>
      </c>
      <c r="AO48" s="167">
        <v>0</v>
      </c>
      <c r="AP48" s="165">
        <f>'2018-2019 B STATEMENT '!B250</f>
        <v>200</v>
      </c>
      <c r="AQ48" s="166">
        <f t="shared" si="15"/>
        <v>1.9799999999999998</v>
      </c>
      <c r="AR48" s="167">
        <v>0</v>
      </c>
      <c r="AS48" s="165">
        <f>'2018-2019 B STATEMENT '!B276</f>
        <v>200</v>
      </c>
      <c r="AT48" s="166">
        <f t="shared" si="16"/>
        <v>1.9799999999999998</v>
      </c>
      <c r="AU48" s="167">
        <v>0</v>
      </c>
      <c r="AV48" s="165">
        <f>'2018-2019 B STATEMENT '!B298</f>
        <v>400</v>
      </c>
      <c r="AW48" s="166">
        <f t="shared" si="17"/>
        <v>3.9599999999999995</v>
      </c>
      <c r="AX48" s="167">
        <v>0</v>
      </c>
      <c r="AY48" s="87">
        <f t="shared" si="22"/>
        <v>2510</v>
      </c>
    </row>
    <row r="49" spans="1:51">
      <c r="A49" s="10" t="s">
        <v>620</v>
      </c>
      <c r="B49" s="10" t="s">
        <v>115</v>
      </c>
      <c r="C49" s="156">
        <v>100</v>
      </c>
      <c r="D49" s="157">
        <f t="shared" si="4"/>
        <v>2400</v>
      </c>
      <c r="E49" s="157">
        <v>0</v>
      </c>
      <c r="F49" s="158">
        <f>'Catch up Fee'!D49</f>
        <v>0</v>
      </c>
      <c r="G49" s="157">
        <f t="shared" si="23"/>
        <v>2500</v>
      </c>
      <c r="H49" s="159">
        <f t="shared" si="18"/>
        <v>2750</v>
      </c>
      <c r="I49" s="157">
        <f>G49-H49-C49</f>
        <v>-350</v>
      </c>
      <c r="J49" s="157">
        <f t="shared" si="19"/>
        <v>-350</v>
      </c>
      <c r="K49" s="157">
        <f t="shared" si="0"/>
        <v>25.895</v>
      </c>
      <c r="L49" s="157">
        <f t="shared" si="20"/>
        <v>144.32577499999999</v>
      </c>
      <c r="M49" s="157">
        <v>0</v>
      </c>
      <c r="N49" s="157">
        <f t="shared" si="21"/>
        <v>2868.4307749999998</v>
      </c>
      <c r="O49" s="165">
        <v>0</v>
      </c>
      <c r="P49" s="166">
        <f t="shared" si="6"/>
        <v>0</v>
      </c>
      <c r="Q49" s="167">
        <v>0</v>
      </c>
      <c r="R49" s="165">
        <f>'2018-2019 B STATEMENT '!B16</f>
        <v>300</v>
      </c>
      <c r="S49" s="166">
        <f t="shared" si="7"/>
        <v>2.67</v>
      </c>
      <c r="T49" s="167">
        <v>0</v>
      </c>
      <c r="U49" s="165">
        <f>'2018-2019 B STATEMENT '!B59</f>
        <v>210</v>
      </c>
      <c r="V49" s="166">
        <f t="shared" si="8"/>
        <v>1.869</v>
      </c>
      <c r="W49" s="167">
        <v>0</v>
      </c>
      <c r="X49" s="165">
        <f>'2018-2019 B STATEMENT '!B101</f>
        <v>210</v>
      </c>
      <c r="Y49" s="166">
        <f t="shared" si="9"/>
        <v>1.869</v>
      </c>
      <c r="Z49" s="167">
        <v>0</v>
      </c>
      <c r="AA49" s="165">
        <f>'2018-2019 B STATEMENT '!B120</f>
        <v>200</v>
      </c>
      <c r="AB49" s="166">
        <f t="shared" si="10"/>
        <v>1.78</v>
      </c>
      <c r="AC49" s="167">
        <v>0</v>
      </c>
      <c r="AD49" s="165">
        <f>'2018-2019 B STATEMENT '!B146</f>
        <v>210</v>
      </c>
      <c r="AE49" s="166">
        <f t="shared" si="11"/>
        <v>1.869</v>
      </c>
      <c r="AF49" s="167">
        <v>0</v>
      </c>
      <c r="AG49" s="165">
        <v>0</v>
      </c>
      <c r="AH49" s="166">
        <f t="shared" si="12"/>
        <v>0</v>
      </c>
      <c r="AI49" s="167">
        <v>0</v>
      </c>
      <c r="AJ49" s="165">
        <f>'2018-2019 B STATEMENT '!B204</f>
        <v>200</v>
      </c>
      <c r="AK49" s="166">
        <f t="shared" si="13"/>
        <v>1.78</v>
      </c>
      <c r="AL49" s="167">
        <v>0</v>
      </c>
      <c r="AM49" s="165">
        <f>'2018-2019 B STATEMENT '!B227</f>
        <v>600</v>
      </c>
      <c r="AN49" s="166">
        <f t="shared" si="14"/>
        <v>5.9399999999999995</v>
      </c>
      <c r="AO49" s="167">
        <v>0</v>
      </c>
      <c r="AP49" s="165">
        <f>'2018-2019 B STATEMENT '!B246</f>
        <v>400</v>
      </c>
      <c r="AQ49" s="166">
        <f t="shared" si="15"/>
        <v>3.9599999999999995</v>
      </c>
      <c r="AR49" s="167">
        <v>0</v>
      </c>
      <c r="AS49" s="165">
        <f>'2018-2019 B STATEMENT '!B284</f>
        <v>210</v>
      </c>
      <c r="AT49" s="166">
        <f t="shared" si="16"/>
        <v>2.0789999999999997</v>
      </c>
      <c r="AU49" s="167">
        <v>0</v>
      </c>
      <c r="AV49" s="165">
        <f>'2018-2019 B STATEMENT '!B310</f>
        <v>210</v>
      </c>
      <c r="AW49" s="166">
        <f t="shared" si="17"/>
        <v>2.0789999999999997</v>
      </c>
      <c r="AX49" s="167">
        <v>0</v>
      </c>
      <c r="AY49" s="87">
        <f t="shared" si="22"/>
        <v>2750</v>
      </c>
    </row>
    <row r="50" spans="1:51">
      <c r="A50" s="46" t="s">
        <v>621</v>
      </c>
      <c r="B50" s="10" t="s">
        <v>126</v>
      </c>
      <c r="C50" s="156">
        <v>100</v>
      </c>
      <c r="D50" s="157">
        <f t="shared" si="4"/>
        <v>2400</v>
      </c>
      <c r="E50" s="157">
        <v>0</v>
      </c>
      <c r="F50" s="158">
        <f>'Catch up Fee'!D50</f>
        <v>200</v>
      </c>
      <c r="G50" s="157">
        <f t="shared" si="23"/>
        <v>2500</v>
      </c>
      <c r="H50" s="159">
        <f t="shared" si="18"/>
        <v>500</v>
      </c>
      <c r="I50" s="157">
        <f>G50-H50</f>
        <v>2000</v>
      </c>
      <c r="J50" s="157">
        <f t="shared" si="19"/>
        <v>2000</v>
      </c>
      <c r="K50" s="157">
        <f t="shared" si="0"/>
        <v>4.45</v>
      </c>
      <c r="L50" s="157">
        <f t="shared" si="20"/>
        <v>21.75525</v>
      </c>
      <c r="M50" s="157">
        <v>0</v>
      </c>
      <c r="N50" s="157">
        <f t="shared" si="21"/>
        <v>517.30525</v>
      </c>
      <c r="O50" s="165">
        <v>0</v>
      </c>
      <c r="P50" s="166">
        <f t="shared" si="6"/>
        <v>0</v>
      </c>
      <c r="Q50" s="167">
        <v>0</v>
      </c>
      <c r="R50" s="165">
        <v>0</v>
      </c>
      <c r="S50" s="166">
        <f t="shared" si="7"/>
        <v>0</v>
      </c>
      <c r="T50" s="167">
        <v>0</v>
      </c>
      <c r="U50" s="165">
        <f>'2018-2019 B STATEMENT '!B42+'2018-2019 B STATEMENT '!B66</f>
        <v>500</v>
      </c>
      <c r="V50" s="166">
        <f t="shared" si="8"/>
        <v>4.45</v>
      </c>
      <c r="W50" s="167">
        <v>0</v>
      </c>
      <c r="X50" s="165">
        <v>0</v>
      </c>
      <c r="Y50" s="166">
        <f t="shared" si="9"/>
        <v>0</v>
      </c>
      <c r="Z50" s="167">
        <v>0</v>
      </c>
      <c r="AA50" s="165">
        <v>0</v>
      </c>
      <c r="AB50" s="166">
        <f t="shared" si="10"/>
        <v>0</v>
      </c>
      <c r="AC50" s="167">
        <v>0</v>
      </c>
      <c r="AD50" s="165">
        <v>0</v>
      </c>
      <c r="AE50" s="166">
        <f t="shared" si="11"/>
        <v>0</v>
      </c>
      <c r="AF50" s="167">
        <v>0</v>
      </c>
      <c r="AG50" s="165">
        <v>0</v>
      </c>
      <c r="AH50" s="166">
        <f t="shared" si="12"/>
        <v>0</v>
      </c>
      <c r="AI50" s="167">
        <v>0</v>
      </c>
      <c r="AJ50" s="165">
        <v>0</v>
      </c>
      <c r="AK50" s="166">
        <f t="shared" si="13"/>
        <v>0</v>
      </c>
      <c r="AL50" s="167">
        <v>0</v>
      </c>
      <c r="AM50" s="165">
        <v>0</v>
      </c>
      <c r="AN50" s="166">
        <f t="shared" si="14"/>
        <v>0</v>
      </c>
      <c r="AO50" s="167">
        <v>0</v>
      </c>
      <c r="AP50" s="165">
        <v>0</v>
      </c>
      <c r="AQ50" s="166">
        <f t="shared" si="15"/>
        <v>0</v>
      </c>
      <c r="AR50" s="167">
        <v>0</v>
      </c>
      <c r="AS50" s="165">
        <v>0</v>
      </c>
      <c r="AT50" s="166">
        <f t="shared" si="16"/>
        <v>0</v>
      </c>
      <c r="AU50" s="167">
        <v>0</v>
      </c>
      <c r="AV50" s="165">
        <v>0</v>
      </c>
      <c r="AW50" s="166">
        <f t="shared" si="17"/>
        <v>0</v>
      </c>
      <c r="AX50" s="167">
        <v>0</v>
      </c>
      <c r="AY50" s="87">
        <f t="shared" si="22"/>
        <v>500</v>
      </c>
    </row>
    <row r="51" spans="1:51">
      <c r="A51" s="10" t="s">
        <v>622</v>
      </c>
      <c r="B51" s="10" t="s">
        <v>117</v>
      </c>
      <c r="C51" s="156">
        <v>100</v>
      </c>
      <c r="D51" s="157">
        <f t="shared" si="4"/>
        <v>2400</v>
      </c>
      <c r="E51" s="157">
        <v>0</v>
      </c>
      <c r="F51" s="158">
        <f>'Catch up Fee'!D51</f>
        <v>0</v>
      </c>
      <c r="G51" s="157">
        <f t="shared" si="23"/>
        <v>2500</v>
      </c>
      <c r="H51" s="159">
        <f t="shared" si="18"/>
        <v>900</v>
      </c>
      <c r="I51" s="157">
        <f t="shared" ref="I51:I56" si="25">G51-H51-C51</f>
        <v>1500</v>
      </c>
      <c r="J51" s="157">
        <f t="shared" si="19"/>
        <v>1500</v>
      </c>
      <c r="K51" s="157">
        <f t="shared" si="0"/>
        <v>8.01</v>
      </c>
      <c r="L51" s="157">
        <f t="shared" si="20"/>
        <v>43.559449999999998</v>
      </c>
      <c r="M51" s="157">
        <v>0</v>
      </c>
      <c r="N51" s="157">
        <f t="shared" si="21"/>
        <v>935.54944999999998</v>
      </c>
      <c r="O51" s="165">
        <v>0</v>
      </c>
      <c r="P51" s="166">
        <f t="shared" si="6"/>
        <v>0</v>
      </c>
      <c r="Q51" s="167">
        <v>0</v>
      </c>
      <c r="R51" s="165">
        <v>0</v>
      </c>
      <c r="S51" s="166">
        <f t="shared" si="7"/>
        <v>0</v>
      </c>
      <c r="T51" s="167">
        <v>0</v>
      </c>
      <c r="U51" s="165">
        <f>'2018-2019 B STATEMENT '!B43+'2018-2019 B STATEMENT '!B58</f>
        <v>500</v>
      </c>
      <c r="V51" s="166">
        <f t="shared" si="8"/>
        <v>4.45</v>
      </c>
      <c r="W51" s="167">
        <v>0</v>
      </c>
      <c r="X51" s="165">
        <v>0</v>
      </c>
      <c r="Y51" s="166">
        <f t="shared" si="9"/>
        <v>0</v>
      </c>
      <c r="Z51" s="167">
        <v>0</v>
      </c>
      <c r="AA51" s="165">
        <f>'2018-2019 B STATEMENT '!B137</f>
        <v>400</v>
      </c>
      <c r="AB51" s="166">
        <f t="shared" si="10"/>
        <v>3.56</v>
      </c>
      <c r="AC51" s="167">
        <v>0</v>
      </c>
      <c r="AD51" s="165">
        <v>0</v>
      </c>
      <c r="AE51" s="166">
        <f t="shared" si="11"/>
        <v>0</v>
      </c>
      <c r="AF51" s="167">
        <v>0</v>
      </c>
      <c r="AG51" s="165">
        <v>0</v>
      </c>
      <c r="AH51" s="166">
        <f t="shared" si="12"/>
        <v>0</v>
      </c>
      <c r="AI51" s="167">
        <v>0</v>
      </c>
      <c r="AJ51" s="165">
        <v>0</v>
      </c>
      <c r="AK51" s="166">
        <f t="shared" si="13"/>
        <v>0</v>
      </c>
      <c r="AL51" s="167">
        <v>0</v>
      </c>
      <c r="AM51" s="165">
        <v>0</v>
      </c>
      <c r="AN51" s="166">
        <f t="shared" si="14"/>
        <v>0</v>
      </c>
      <c r="AO51" s="167">
        <v>0</v>
      </c>
      <c r="AP51" s="165">
        <v>0</v>
      </c>
      <c r="AQ51" s="166">
        <f t="shared" si="15"/>
        <v>0</v>
      </c>
      <c r="AR51" s="167">
        <v>0</v>
      </c>
      <c r="AS51" s="165">
        <v>0</v>
      </c>
      <c r="AT51" s="166">
        <f t="shared" si="16"/>
        <v>0</v>
      </c>
      <c r="AU51" s="167">
        <v>0</v>
      </c>
      <c r="AV51" s="165">
        <v>0</v>
      </c>
      <c r="AW51" s="166">
        <f t="shared" si="17"/>
        <v>0</v>
      </c>
      <c r="AX51" s="167">
        <v>0</v>
      </c>
      <c r="AY51" s="87">
        <f t="shared" si="22"/>
        <v>900</v>
      </c>
    </row>
    <row r="52" spans="1:51">
      <c r="A52" s="46" t="s">
        <v>623</v>
      </c>
      <c r="B52" s="10" t="s">
        <v>112</v>
      </c>
      <c r="C52" s="156">
        <v>100</v>
      </c>
      <c r="D52" s="157">
        <f t="shared" si="4"/>
        <v>2400</v>
      </c>
      <c r="E52" s="157">
        <v>0</v>
      </c>
      <c r="F52" s="158">
        <f>'Catch up Fee'!D52</f>
        <v>0</v>
      </c>
      <c r="G52" s="157">
        <f t="shared" si="23"/>
        <v>2500</v>
      </c>
      <c r="H52" s="159">
        <f t="shared" si="18"/>
        <v>50</v>
      </c>
      <c r="I52" s="157">
        <f t="shared" si="25"/>
        <v>2350</v>
      </c>
      <c r="J52" s="157">
        <f t="shared" si="19"/>
        <v>2350</v>
      </c>
      <c r="K52" s="157">
        <f t="shared" si="0"/>
        <v>0.49499999999999994</v>
      </c>
      <c r="L52" s="157">
        <f t="shared" si="20"/>
        <v>-2.7772250000000001</v>
      </c>
      <c r="M52" s="157">
        <v>0</v>
      </c>
      <c r="N52" s="157">
        <f t="shared" si="21"/>
        <v>46.727775000000001</v>
      </c>
      <c r="O52" s="165">
        <v>0</v>
      </c>
      <c r="P52" s="166">
        <f t="shared" si="6"/>
        <v>0</v>
      </c>
      <c r="Q52" s="167">
        <v>0</v>
      </c>
      <c r="R52" s="165">
        <v>0</v>
      </c>
      <c r="S52" s="166">
        <f t="shared" si="7"/>
        <v>0</v>
      </c>
      <c r="T52" s="167">
        <v>0</v>
      </c>
      <c r="U52" s="165">
        <v>0</v>
      </c>
      <c r="V52" s="166">
        <f t="shared" si="8"/>
        <v>0</v>
      </c>
      <c r="W52" s="167">
        <v>0</v>
      </c>
      <c r="X52" s="165">
        <v>0</v>
      </c>
      <c r="Y52" s="166">
        <f t="shared" si="9"/>
        <v>0</v>
      </c>
      <c r="Z52" s="167">
        <v>0</v>
      </c>
      <c r="AA52" s="165">
        <v>0</v>
      </c>
      <c r="AB52" s="166">
        <f t="shared" si="10"/>
        <v>0</v>
      </c>
      <c r="AC52" s="167">
        <v>0</v>
      </c>
      <c r="AD52" s="165">
        <v>0</v>
      </c>
      <c r="AE52" s="166">
        <f t="shared" si="11"/>
        <v>0</v>
      </c>
      <c r="AF52" s="167">
        <v>0</v>
      </c>
      <c r="AG52" s="165">
        <v>0</v>
      </c>
      <c r="AH52" s="166">
        <f t="shared" si="12"/>
        <v>0</v>
      </c>
      <c r="AI52" s="167">
        <v>0</v>
      </c>
      <c r="AJ52" s="165">
        <v>0</v>
      </c>
      <c r="AK52" s="166">
        <f t="shared" si="13"/>
        <v>0</v>
      </c>
      <c r="AL52" s="167">
        <v>0</v>
      </c>
      <c r="AM52" s="165">
        <v>0</v>
      </c>
      <c r="AN52" s="166">
        <f t="shared" si="14"/>
        <v>0</v>
      </c>
      <c r="AO52" s="167">
        <v>0</v>
      </c>
      <c r="AP52" s="165">
        <v>0</v>
      </c>
      <c r="AQ52" s="166">
        <f t="shared" si="15"/>
        <v>0</v>
      </c>
      <c r="AR52" s="167">
        <v>0</v>
      </c>
      <c r="AS52" s="165">
        <v>0</v>
      </c>
      <c r="AT52" s="166">
        <f t="shared" si="16"/>
        <v>0</v>
      </c>
      <c r="AU52" s="167">
        <v>0</v>
      </c>
      <c r="AV52" s="165">
        <f>'2018-2019 B STATEMENT '!B299</f>
        <v>50</v>
      </c>
      <c r="AW52" s="166">
        <f t="shared" si="17"/>
        <v>0.49499999999999994</v>
      </c>
      <c r="AX52" s="167">
        <v>0</v>
      </c>
      <c r="AY52" s="87">
        <f t="shared" si="22"/>
        <v>50</v>
      </c>
    </row>
    <row r="53" spans="1:51">
      <c r="A53" s="10" t="s">
        <v>624</v>
      </c>
      <c r="B53" s="10" t="s">
        <v>117</v>
      </c>
      <c r="C53" s="156">
        <v>100</v>
      </c>
      <c r="D53" s="157">
        <f t="shared" si="4"/>
        <v>2400</v>
      </c>
      <c r="E53" s="157">
        <v>0</v>
      </c>
      <c r="F53" s="158">
        <f>'Catch up Fee'!D53</f>
        <v>0</v>
      </c>
      <c r="G53" s="157">
        <f t="shared" si="23"/>
        <v>2500</v>
      </c>
      <c r="H53" s="159">
        <f t="shared" si="18"/>
        <v>0</v>
      </c>
      <c r="I53" s="157">
        <f t="shared" si="25"/>
        <v>2400</v>
      </c>
      <c r="J53" s="157">
        <f t="shared" si="19"/>
        <v>2400</v>
      </c>
      <c r="K53" s="157">
        <f t="shared" si="0"/>
        <v>0</v>
      </c>
      <c r="L53" s="157">
        <f t="shared" si="20"/>
        <v>-5.5</v>
      </c>
      <c r="M53" s="157">
        <v>0</v>
      </c>
      <c r="N53" s="157">
        <f t="shared" si="21"/>
        <v>-5.5</v>
      </c>
      <c r="O53" s="165">
        <v>0</v>
      </c>
      <c r="P53" s="166">
        <f t="shared" si="6"/>
        <v>0</v>
      </c>
      <c r="Q53" s="167">
        <v>0</v>
      </c>
      <c r="R53" s="165">
        <v>0</v>
      </c>
      <c r="S53" s="166">
        <f t="shared" si="7"/>
        <v>0</v>
      </c>
      <c r="T53" s="167">
        <v>0</v>
      </c>
      <c r="U53" s="165">
        <v>0</v>
      </c>
      <c r="V53" s="166">
        <f t="shared" si="8"/>
        <v>0</v>
      </c>
      <c r="W53" s="167">
        <v>0</v>
      </c>
      <c r="X53" s="165">
        <v>0</v>
      </c>
      <c r="Y53" s="166">
        <f t="shared" si="9"/>
        <v>0</v>
      </c>
      <c r="Z53" s="167">
        <v>0</v>
      </c>
      <c r="AA53" s="165">
        <v>0</v>
      </c>
      <c r="AB53" s="166">
        <f t="shared" si="10"/>
        <v>0</v>
      </c>
      <c r="AC53" s="167">
        <v>0</v>
      </c>
      <c r="AD53" s="165">
        <v>0</v>
      </c>
      <c r="AE53" s="166">
        <f t="shared" si="11"/>
        <v>0</v>
      </c>
      <c r="AF53" s="167">
        <v>0</v>
      </c>
      <c r="AG53" s="165">
        <v>0</v>
      </c>
      <c r="AH53" s="166">
        <f t="shared" si="12"/>
        <v>0</v>
      </c>
      <c r="AI53" s="167">
        <v>0</v>
      </c>
      <c r="AJ53" s="165">
        <v>0</v>
      </c>
      <c r="AK53" s="166">
        <f t="shared" si="13"/>
        <v>0</v>
      </c>
      <c r="AL53" s="167">
        <v>0</v>
      </c>
      <c r="AM53" s="165">
        <v>0</v>
      </c>
      <c r="AN53" s="166">
        <f t="shared" si="14"/>
        <v>0</v>
      </c>
      <c r="AO53" s="167">
        <v>0</v>
      </c>
      <c r="AP53" s="165">
        <v>0</v>
      </c>
      <c r="AQ53" s="166">
        <f t="shared" si="15"/>
        <v>0</v>
      </c>
      <c r="AR53" s="167">
        <v>0</v>
      </c>
      <c r="AS53" s="165">
        <v>0</v>
      </c>
      <c r="AT53" s="166">
        <f t="shared" si="16"/>
        <v>0</v>
      </c>
      <c r="AU53" s="167">
        <v>0</v>
      </c>
      <c r="AV53" s="165">
        <v>0</v>
      </c>
      <c r="AW53" s="166">
        <f t="shared" si="17"/>
        <v>0</v>
      </c>
      <c r="AX53" s="167">
        <v>0</v>
      </c>
      <c r="AY53" s="87">
        <f t="shared" si="22"/>
        <v>0</v>
      </c>
    </row>
    <row r="54" spans="1:51">
      <c r="A54" s="46" t="s">
        <v>625</v>
      </c>
      <c r="B54" s="10" t="s">
        <v>116</v>
      </c>
      <c r="C54" s="156">
        <v>100</v>
      </c>
      <c r="D54" s="157">
        <f t="shared" si="4"/>
        <v>2400</v>
      </c>
      <c r="E54" s="157">
        <v>0</v>
      </c>
      <c r="F54" s="158">
        <f>'Catch up Fee'!D54</f>
        <v>0</v>
      </c>
      <c r="G54" s="157">
        <f t="shared" si="23"/>
        <v>2500</v>
      </c>
      <c r="H54" s="159">
        <f t="shared" si="18"/>
        <v>1800</v>
      </c>
      <c r="I54" s="157">
        <f t="shared" si="25"/>
        <v>600</v>
      </c>
      <c r="J54" s="157">
        <f t="shared" si="19"/>
        <v>600</v>
      </c>
      <c r="K54" s="157">
        <f t="shared" si="0"/>
        <v>17.819999999999997</v>
      </c>
      <c r="L54" s="157">
        <f t="shared" si="20"/>
        <v>92.519900000000007</v>
      </c>
      <c r="M54" s="157">
        <v>0</v>
      </c>
      <c r="N54" s="157">
        <f t="shared" si="21"/>
        <v>1874.6999000000001</v>
      </c>
      <c r="O54" s="165">
        <v>0</v>
      </c>
      <c r="P54" s="166">
        <f t="shared" si="6"/>
        <v>0</v>
      </c>
      <c r="Q54" s="167">
        <v>0</v>
      </c>
      <c r="R54" s="165">
        <v>0</v>
      </c>
      <c r="S54" s="166">
        <f t="shared" si="7"/>
        <v>0</v>
      </c>
      <c r="T54" s="167">
        <v>0</v>
      </c>
      <c r="U54" s="165">
        <v>0</v>
      </c>
      <c r="V54" s="166">
        <f t="shared" si="8"/>
        <v>0</v>
      </c>
      <c r="W54" s="167">
        <v>0</v>
      </c>
      <c r="X54" s="165">
        <v>0</v>
      </c>
      <c r="Y54" s="166">
        <f t="shared" si="9"/>
        <v>0</v>
      </c>
      <c r="Z54" s="167">
        <v>0</v>
      </c>
      <c r="AA54" s="165">
        <v>0</v>
      </c>
      <c r="AB54" s="166">
        <f t="shared" si="10"/>
        <v>0</v>
      </c>
      <c r="AC54" s="167">
        <v>0</v>
      </c>
      <c r="AD54" s="165">
        <v>0</v>
      </c>
      <c r="AE54" s="166">
        <f t="shared" si="11"/>
        <v>0</v>
      </c>
      <c r="AF54" s="167">
        <v>0</v>
      </c>
      <c r="AG54" s="165">
        <v>0</v>
      </c>
      <c r="AH54" s="166">
        <f t="shared" si="12"/>
        <v>0</v>
      </c>
      <c r="AI54" s="167">
        <v>0</v>
      </c>
      <c r="AJ54" s="165">
        <v>0</v>
      </c>
      <c r="AK54" s="166">
        <f t="shared" si="13"/>
        <v>0</v>
      </c>
      <c r="AL54" s="167">
        <v>0</v>
      </c>
      <c r="AM54" s="165">
        <v>0</v>
      </c>
      <c r="AN54" s="166">
        <f t="shared" si="14"/>
        <v>0</v>
      </c>
      <c r="AO54" s="167">
        <v>0</v>
      </c>
      <c r="AP54" s="165">
        <v>0</v>
      </c>
      <c r="AQ54" s="166">
        <f t="shared" si="15"/>
        <v>0</v>
      </c>
      <c r="AR54" s="167">
        <v>0</v>
      </c>
      <c r="AS54" s="165">
        <f>'2018-2019 B STATEMENT '!B285+'2018-2019 B STATEMENT '!B293</f>
        <v>1800</v>
      </c>
      <c r="AT54" s="166">
        <f t="shared" si="16"/>
        <v>17.819999999999997</v>
      </c>
      <c r="AU54" s="167">
        <v>0</v>
      </c>
      <c r="AV54" s="165">
        <v>0</v>
      </c>
      <c r="AW54" s="166">
        <f t="shared" si="17"/>
        <v>0</v>
      </c>
      <c r="AX54" s="167">
        <v>0</v>
      </c>
      <c r="AY54" s="87">
        <f t="shared" si="22"/>
        <v>1800</v>
      </c>
    </row>
    <row r="55" spans="1:51" s="134" customFormat="1">
      <c r="A55" s="10" t="s">
        <v>626</v>
      </c>
      <c r="B55" s="129" t="s">
        <v>124</v>
      </c>
      <c r="C55" s="162">
        <v>100</v>
      </c>
      <c r="D55" s="161">
        <f t="shared" si="4"/>
        <v>2400</v>
      </c>
      <c r="E55" s="157">
        <v>0</v>
      </c>
      <c r="F55" s="158">
        <f>'Catch up Fee'!D55</f>
        <v>0</v>
      </c>
      <c r="G55" s="161">
        <f t="shared" si="23"/>
        <v>2500</v>
      </c>
      <c r="H55" s="159">
        <f t="shared" si="18"/>
        <v>700</v>
      </c>
      <c r="I55" s="161">
        <f t="shared" si="25"/>
        <v>1700</v>
      </c>
      <c r="J55" s="161">
        <f>I55+M55</f>
        <v>1700</v>
      </c>
      <c r="K55" s="157">
        <f t="shared" si="0"/>
        <v>6.2299999999999995</v>
      </c>
      <c r="L55" s="161">
        <f>(H55-K55-C55)*5.5%</f>
        <v>32.657350000000001</v>
      </c>
      <c r="M55" s="161">
        <v>0</v>
      </c>
      <c r="N55" s="161">
        <f t="shared" si="21"/>
        <v>726.42734999999993</v>
      </c>
      <c r="O55" s="165">
        <v>0</v>
      </c>
      <c r="P55" s="166">
        <f>O55*0.89%</f>
        <v>0</v>
      </c>
      <c r="Q55" s="167">
        <v>0</v>
      </c>
      <c r="R55" s="165">
        <v>0</v>
      </c>
      <c r="S55" s="166">
        <f t="shared" si="7"/>
        <v>0</v>
      </c>
      <c r="T55" s="167">
        <v>0</v>
      </c>
      <c r="U55" s="165">
        <v>0</v>
      </c>
      <c r="V55" s="166">
        <f t="shared" si="8"/>
        <v>0</v>
      </c>
      <c r="W55" s="167">
        <v>0</v>
      </c>
      <c r="X55" s="165">
        <f>'2018-2019 B STATEMENT '!B701</f>
        <v>700</v>
      </c>
      <c r="Y55" s="166">
        <f t="shared" si="9"/>
        <v>6.2299999999999995</v>
      </c>
      <c r="Z55" s="167">
        <v>0</v>
      </c>
      <c r="AA55" s="165">
        <v>0</v>
      </c>
      <c r="AB55" s="166">
        <f t="shared" si="10"/>
        <v>0</v>
      </c>
      <c r="AC55" s="167">
        <v>0</v>
      </c>
      <c r="AD55" s="165">
        <v>0</v>
      </c>
      <c r="AE55" s="166">
        <f t="shared" si="11"/>
        <v>0</v>
      </c>
      <c r="AF55" s="167">
        <v>0</v>
      </c>
      <c r="AG55" s="165">
        <v>0</v>
      </c>
      <c r="AH55" s="166">
        <f t="shared" si="12"/>
        <v>0</v>
      </c>
      <c r="AI55" s="167">
        <v>0</v>
      </c>
      <c r="AJ55" s="165">
        <v>0</v>
      </c>
      <c r="AK55" s="166">
        <f t="shared" si="13"/>
        <v>0</v>
      </c>
      <c r="AL55" s="167">
        <v>0</v>
      </c>
      <c r="AM55" s="165">
        <v>0</v>
      </c>
      <c r="AN55" s="166">
        <f t="shared" si="14"/>
        <v>0</v>
      </c>
      <c r="AO55" s="167">
        <v>0</v>
      </c>
      <c r="AP55" s="165">
        <v>0</v>
      </c>
      <c r="AQ55" s="166">
        <f t="shared" si="15"/>
        <v>0</v>
      </c>
      <c r="AR55" s="167">
        <v>0</v>
      </c>
      <c r="AS55" s="165">
        <v>0</v>
      </c>
      <c r="AT55" s="166">
        <f t="shared" si="16"/>
        <v>0</v>
      </c>
      <c r="AU55" s="167">
        <v>0</v>
      </c>
      <c r="AV55" s="165">
        <v>0</v>
      </c>
      <c r="AW55" s="166">
        <f t="shared" si="17"/>
        <v>0</v>
      </c>
      <c r="AX55" s="167">
        <v>0</v>
      </c>
      <c r="AY55" s="133">
        <f t="shared" si="22"/>
        <v>700</v>
      </c>
    </row>
    <row r="56" spans="1:51">
      <c r="A56" s="46" t="s">
        <v>627</v>
      </c>
      <c r="B56" s="10" t="s">
        <v>124</v>
      </c>
      <c r="C56" s="156">
        <v>100</v>
      </c>
      <c r="D56" s="157">
        <f t="shared" si="4"/>
        <v>2400</v>
      </c>
      <c r="E56" s="157">
        <v>0</v>
      </c>
      <c r="F56" s="158">
        <f>'Catch up Fee'!D56</f>
        <v>0</v>
      </c>
      <c r="G56" s="157">
        <f t="shared" si="23"/>
        <v>2500</v>
      </c>
      <c r="H56" s="159">
        <f t="shared" si="18"/>
        <v>2450</v>
      </c>
      <c r="I56" s="157">
        <f t="shared" si="25"/>
        <v>-50</v>
      </c>
      <c r="J56" s="157">
        <f t="shared" si="19"/>
        <v>-50</v>
      </c>
      <c r="K56" s="157">
        <f t="shared" si="0"/>
        <v>22.154999999999998</v>
      </c>
      <c r="L56" s="157">
        <f t="shared" si="20"/>
        <v>128.031475</v>
      </c>
      <c r="M56" s="157">
        <v>0</v>
      </c>
      <c r="N56" s="157">
        <f t="shared" si="21"/>
        <v>2555.876475</v>
      </c>
      <c r="O56" s="165">
        <v>0</v>
      </c>
      <c r="P56" s="166">
        <f>O56*0.89%</f>
        <v>0</v>
      </c>
      <c r="Q56" s="167">
        <v>0</v>
      </c>
      <c r="R56" s="165">
        <f>'2018-2019 B STATEMENT '!B25</f>
        <v>300</v>
      </c>
      <c r="S56" s="166">
        <f t="shared" si="7"/>
        <v>2.67</v>
      </c>
      <c r="T56" s="167">
        <v>0</v>
      </c>
      <c r="U56" s="165">
        <v>0</v>
      </c>
      <c r="V56" s="166">
        <f t="shared" si="8"/>
        <v>0</v>
      </c>
      <c r="W56" s="167">
        <v>0</v>
      </c>
      <c r="X56" s="165">
        <f>'2018-2019 B STATEMENT '!B79</f>
        <v>500</v>
      </c>
      <c r="Y56" s="166">
        <f t="shared" si="9"/>
        <v>4.45</v>
      </c>
      <c r="Z56" s="167">
        <v>0</v>
      </c>
      <c r="AA56" s="165">
        <f>'2018-2019 B STATEMENT '!B106</f>
        <v>1000</v>
      </c>
      <c r="AB56" s="166">
        <f t="shared" si="10"/>
        <v>8.9</v>
      </c>
      <c r="AC56" s="167">
        <v>0</v>
      </c>
      <c r="AD56" s="165">
        <f>'2018-2019 B STATEMENT '!B156</f>
        <v>300</v>
      </c>
      <c r="AE56" s="166">
        <f t="shared" si="11"/>
        <v>2.67</v>
      </c>
      <c r="AF56" s="167">
        <v>0</v>
      </c>
      <c r="AG56" s="165">
        <v>0</v>
      </c>
      <c r="AH56" s="166">
        <f t="shared" si="12"/>
        <v>0</v>
      </c>
      <c r="AI56" s="167">
        <v>0</v>
      </c>
      <c r="AJ56" s="165">
        <v>0</v>
      </c>
      <c r="AK56" s="166">
        <f t="shared" si="13"/>
        <v>0</v>
      </c>
      <c r="AL56" s="167">
        <v>0</v>
      </c>
      <c r="AM56" s="165">
        <f>'2018-2019 B STATEMENT '!B229</f>
        <v>350</v>
      </c>
      <c r="AN56" s="166">
        <f t="shared" si="14"/>
        <v>3.4649999999999999</v>
      </c>
      <c r="AO56" s="167">
        <v>0</v>
      </c>
      <c r="AP56" s="165">
        <v>0</v>
      </c>
      <c r="AQ56" s="166">
        <f t="shared" si="15"/>
        <v>0</v>
      </c>
      <c r="AR56" s="167">
        <v>0</v>
      </c>
      <c r="AS56" s="165">
        <v>0</v>
      </c>
      <c r="AT56" s="166">
        <f t="shared" si="16"/>
        <v>0</v>
      </c>
      <c r="AU56" s="167">
        <v>0</v>
      </c>
      <c r="AV56" s="165">
        <v>0</v>
      </c>
      <c r="AW56" s="166">
        <f t="shared" si="17"/>
        <v>0</v>
      </c>
      <c r="AX56" s="167">
        <v>0</v>
      </c>
      <c r="AY56" s="87">
        <f t="shared" si="22"/>
        <v>2450</v>
      </c>
    </row>
    <row r="57" spans="1:51">
      <c r="A57" s="10" t="s">
        <v>628</v>
      </c>
      <c r="B57" s="10" t="s">
        <v>152</v>
      </c>
      <c r="C57" s="228">
        <v>0</v>
      </c>
      <c r="D57" s="157">
        <f t="shared" si="4"/>
        <v>2400</v>
      </c>
      <c r="E57" s="157">
        <v>0</v>
      </c>
      <c r="F57" s="158">
        <f>'Catch up Fee'!D57</f>
        <v>3200</v>
      </c>
      <c r="G57" s="157">
        <f t="shared" si="23"/>
        <v>2400</v>
      </c>
      <c r="H57" s="159">
        <f t="shared" si="18"/>
        <v>0</v>
      </c>
      <c r="I57" s="157">
        <f t="shared" ref="I57:I63" si="26">G57-H57</f>
        <v>2400</v>
      </c>
      <c r="J57" s="157">
        <f t="shared" si="19"/>
        <v>2400</v>
      </c>
      <c r="K57" s="157">
        <f t="shared" si="0"/>
        <v>0</v>
      </c>
      <c r="L57" s="157">
        <f t="shared" si="20"/>
        <v>0</v>
      </c>
      <c r="M57" s="157">
        <v>0</v>
      </c>
      <c r="N57" s="157">
        <f t="shared" si="21"/>
        <v>0</v>
      </c>
      <c r="O57" s="165">
        <v>0</v>
      </c>
      <c r="P57" s="166">
        <f t="shared" si="6"/>
        <v>0</v>
      </c>
      <c r="Q57" s="167">
        <v>0</v>
      </c>
      <c r="R57" s="165">
        <v>0</v>
      </c>
      <c r="S57" s="166">
        <f t="shared" si="7"/>
        <v>0</v>
      </c>
      <c r="T57" s="167">
        <v>0</v>
      </c>
      <c r="U57" s="165">
        <v>0</v>
      </c>
      <c r="V57" s="166">
        <f t="shared" si="8"/>
        <v>0</v>
      </c>
      <c r="W57" s="167">
        <v>0</v>
      </c>
      <c r="X57" s="165">
        <v>0</v>
      </c>
      <c r="Y57" s="166">
        <f t="shared" si="9"/>
        <v>0</v>
      </c>
      <c r="Z57" s="167">
        <v>0</v>
      </c>
      <c r="AA57" s="165">
        <v>0</v>
      </c>
      <c r="AB57" s="166">
        <f t="shared" si="10"/>
        <v>0</v>
      </c>
      <c r="AC57" s="167">
        <v>0</v>
      </c>
      <c r="AD57" s="165">
        <v>0</v>
      </c>
      <c r="AE57" s="166">
        <f t="shared" si="11"/>
        <v>0</v>
      </c>
      <c r="AF57" s="167">
        <v>0</v>
      </c>
      <c r="AG57" s="165">
        <v>0</v>
      </c>
      <c r="AH57" s="166">
        <f t="shared" si="12"/>
        <v>0</v>
      </c>
      <c r="AI57" s="167">
        <v>0</v>
      </c>
      <c r="AJ57" s="165">
        <v>0</v>
      </c>
      <c r="AK57" s="166">
        <f t="shared" si="13"/>
        <v>0</v>
      </c>
      <c r="AL57" s="167">
        <v>0</v>
      </c>
      <c r="AM57" s="165">
        <v>0</v>
      </c>
      <c r="AN57" s="166">
        <f t="shared" si="14"/>
        <v>0</v>
      </c>
      <c r="AO57" s="167">
        <v>0</v>
      </c>
      <c r="AP57" s="165">
        <v>0</v>
      </c>
      <c r="AQ57" s="166">
        <f t="shared" si="15"/>
        <v>0</v>
      </c>
      <c r="AR57" s="167">
        <v>0</v>
      </c>
      <c r="AS57" s="165">
        <v>0</v>
      </c>
      <c r="AT57" s="166">
        <f t="shared" si="16"/>
        <v>0</v>
      </c>
      <c r="AU57" s="167">
        <v>0</v>
      </c>
      <c r="AV57" s="165">
        <v>0</v>
      </c>
      <c r="AW57" s="166">
        <f t="shared" si="17"/>
        <v>0</v>
      </c>
      <c r="AX57" s="167">
        <v>0</v>
      </c>
      <c r="AY57" s="87">
        <f t="shared" si="22"/>
        <v>0</v>
      </c>
    </row>
    <row r="58" spans="1:51">
      <c r="A58" s="46" t="s">
        <v>629</v>
      </c>
      <c r="B58" s="10" t="s">
        <v>156</v>
      </c>
      <c r="C58" s="228">
        <v>0</v>
      </c>
      <c r="D58" s="157">
        <f t="shared" si="4"/>
        <v>2400</v>
      </c>
      <c r="E58" s="157">
        <v>0</v>
      </c>
      <c r="F58" s="158">
        <f>'Catch up Fee'!D58</f>
        <v>2600</v>
      </c>
      <c r="G58" s="157">
        <f t="shared" si="23"/>
        <v>2400</v>
      </c>
      <c r="H58" s="159">
        <f t="shared" si="18"/>
        <v>0</v>
      </c>
      <c r="I58" s="157">
        <f t="shared" si="26"/>
        <v>2400</v>
      </c>
      <c r="J58" s="157">
        <f t="shared" si="19"/>
        <v>2400</v>
      </c>
      <c r="K58" s="157">
        <f t="shared" si="0"/>
        <v>0</v>
      </c>
      <c r="L58" s="157">
        <f t="shared" si="20"/>
        <v>0</v>
      </c>
      <c r="M58" s="157">
        <v>0</v>
      </c>
      <c r="N58" s="157">
        <f t="shared" si="21"/>
        <v>0</v>
      </c>
      <c r="O58" s="165">
        <v>0</v>
      </c>
      <c r="P58" s="166">
        <f t="shared" si="6"/>
        <v>0</v>
      </c>
      <c r="Q58" s="167">
        <v>0</v>
      </c>
      <c r="R58" s="165">
        <v>0</v>
      </c>
      <c r="S58" s="166">
        <f t="shared" si="7"/>
        <v>0</v>
      </c>
      <c r="T58" s="167">
        <v>0</v>
      </c>
      <c r="U58" s="165">
        <v>0</v>
      </c>
      <c r="V58" s="166">
        <f t="shared" si="8"/>
        <v>0</v>
      </c>
      <c r="W58" s="167">
        <v>0</v>
      </c>
      <c r="X58" s="165">
        <v>0</v>
      </c>
      <c r="Y58" s="166">
        <f t="shared" si="9"/>
        <v>0</v>
      </c>
      <c r="Z58" s="167">
        <v>0</v>
      </c>
      <c r="AA58" s="165">
        <v>0</v>
      </c>
      <c r="AB58" s="166">
        <f t="shared" si="10"/>
        <v>0</v>
      </c>
      <c r="AC58" s="167">
        <v>0</v>
      </c>
      <c r="AD58" s="165">
        <v>0</v>
      </c>
      <c r="AE58" s="166">
        <f t="shared" si="11"/>
        <v>0</v>
      </c>
      <c r="AF58" s="167">
        <v>0</v>
      </c>
      <c r="AG58" s="165">
        <v>0</v>
      </c>
      <c r="AH58" s="166">
        <f t="shared" si="12"/>
        <v>0</v>
      </c>
      <c r="AI58" s="167">
        <v>0</v>
      </c>
      <c r="AJ58" s="165">
        <v>0</v>
      </c>
      <c r="AK58" s="166">
        <f t="shared" si="13"/>
        <v>0</v>
      </c>
      <c r="AL58" s="167">
        <v>0</v>
      </c>
      <c r="AM58" s="165">
        <v>0</v>
      </c>
      <c r="AN58" s="166">
        <f t="shared" si="14"/>
        <v>0</v>
      </c>
      <c r="AO58" s="167">
        <v>0</v>
      </c>
      <c r="AP58" s="165">
        <v>0</v>
      </c>
      <c r="AQ58" s="166">
        <f t="shared" si="15"/>
        <v>0</v>
      </c>
      <c r="AR58" s="167">
        <v>0</v>
      </c>
      <c r="AS58" s="165">
        <v>0</v>
      </c>
      <c r="AT58" s="166">
        <f t="shared" si="16"/>
        <v>0</v>
      </c>
      <c r="AU58" s="167">
        <v>0</v>
      </c>
      <c r="AV58" s="165">
        <v>0</v>
      </c>
      <c r="AW58" s="166">
        <f t="shared" si="17"/>
        <v>0</v>
      </c>
      <c r="AX58" s="167">
        <v>0</v>
      </c>
      <c r="AY58" s="87">
        <f t="shared" si="22"/>
        <v>0</v>
      </c>
    </row>
    <row r="59" spans="1:51">
      <c r="A59" s="10" t="s">
        <v>630</v>
      </c>
      <c r="B59" s="10" t="s">
        <v>158</v>
      </c>
      <c r="C59" s="228">
        <v>0</v>
      </c>
      <c r="D59" s="157">
        <f t="shared" si="4"/>
        <v>2400</v>
      </c>
      <c r="E59" s="157">
        <v>0</v>
      </c>
      <c r="F59" s="158">
        <f>'Catch up Fee'!D59</f>
        <v>3800</v>
      </c>
      <c r="G59" s="157">
        <f t="shared" si="23"/>
        <v>2400</v>
      </c>
      <c r="H59" s="159">
        <f t="shared" si="18"/>
        <v>0</v>
      </c>
      <c r="I59" s="157">
        <f t="shared" si="26"/>
        <v>2400</v>
      </c>
      <c r="J59" s="157">
        <f t="shared" si="19"/>
        <v>2400</v>
      </c>
      <c r="K59" s="157">
        <f t="shared" si="0"/>
        <v>0</v>
      </c>
      <c r="L59" s="157">
        <f t="shared" si="20"/>
        <v>0</v>
      </c>
      <c r="M59" s="157">
        <v>0</v>
      </c>
      <c r="N59" s="157">
        <f t="shared" si="21"/>
        <v>0</v>
      </c>
      <c r="O59" s="165">
        <v>0</v>
      </c>
      <c r="P59" s="166">
        <f t="shared" si="6"/>
        <v>0</v>
      </c>
      <c r="Q59" s="167">
        <v>0</v>
      </c>
      <c r="R59" s="165">
        <v>0</v>
      </c>
      <c r="S59" s="166">
        <f t="shared" si="7"/>
        <v>0</v>
      </c>
      <c r="T59" s="167">
        <v>0</v>
      </c>
      <c r="U59" s="165">
        <v>0</v>
      </c>
      <c r="V59" s="166">
        <f t="shared" si="8"/>
        <v>0</v>
      </c>
      <c r="W59" s="167">
        <v>0</v>
      </c>
      <c r="X59" s="165">
        <v>0</v>
      </c>
      <c r="Y59" s="166">
        <f t="shared" si="9"/>
        <v>0</v>
      </c>
      <c r="Z59" s="167">
        <v>0</v>
      </c>
      <c r="AA59" s="165">
        <v>0</v>
      </c>
      <c r="AB59" s="166">
        <f t="shared" si="10"/>
        <v>0</v>
      </c>
      <c r="AC59" s="167">
        <v>0</v>
      </c>
      <c r="AD59" s="165">
        <v>0</v>
      </c>
      <c r="AE59" s="166">
        <f t="shared" si="11"/>
        <v>0</v>
      </c>
      <c r="AF59" s="167">
        <v>0</v>
      </c>
      <c r="AG59" s="165">
        <v>0</v>
      </c>
      <c r="AH59" s="166">
        <f t="shared" si="12"/>
        <v>0</v>
      </c>
      <c r="AI59" s="167">
        <v>0</v>
      </c>
      <c r="AJ59" s="165">
        <v>0</v>
      </c>
      <c r="AK59" s="166">
        <f t="shared" si="13"/>
        <v>0</v>
      </c>
      <c r="AL59" s="167">
        <v>0</v>
      </c>
      <c r="AM59" s="165">
        <v>0</v>
      </c>
      <c r="AN59" s="166">
        <f t="shared" si="14"/>
        <v>0</v>
      </c>
      <c r="AO59" s="167">
        <v>0</v>
      </c>
      <c r="AP59" s="165">
        <v>0</v>
      </c>
      <c r="AQ59" s="166">
        <f t="shared" si="15"/>
        <v>0</v>
      </c>
      <c r="AR59" s="167">
        <v>0</v>
      </c>
      <c r="AS59" s="165">
        <v>0</v>
      </c>
      <c r="AT59" s="166">
        <f t="shared" si="16"/>
        <v>0</v>
      </c>
      <c r="AU59" s="167">
        <v>0</v>
      </c>
      <c r="AV59" s="165">
        <v>0</v>
      </c>
      <c r="AW59" s="166">
        <f t="shared" si="17"/>
        <v>0</v>
      </c>
      <c r="AX59" s="167">
        <v>0</v>
      </c>
      <c r="AY59" s="87">
        <f t="shared" si="22"/>
        <v>0</v>
      </c>
    </row>
    <row r="60" spans="1:51">
      <c r="A60" s="46" t="s">
        <v>631</v>
      </c>
      <c r="B60" s="10" t="s">
        <v>118</v>
      </c>
      <c r="C60" s="156">
        <v>100</v>
      </c>
      <c r="D60" s="157">
        <f t="shared" si="4"/>
        <v>2400</v>
      </c>
      <c r="E60" s="157">
        <v>0</v>
      </c>
      <c r="F60" s="158">
        <f>'Catch up Fee'!D60</f>
        <v>200</v>
      </c>
      <c r="G60" s="157">
        <f t="shared" si="23"/>
        <v>2500</v>
      </c>
      <c r="H60" s="159">
        <f t="shared" si="18"/>
        <v>1200</v>
      </c>
      <c r="I60" s="157">
        <f t="shared" si="26"/>
        <v>1300</v>
      </c>
      <c r="J60" s="157">
        <f t="shared" si="19"/>
        <v>1300</v>
      </c>
      <c r="K60" s="157">
        <f t="shared" si="0"/>
        <v>11.679999999999998</v>
      </c>
      <c r="L60" s="157">
        <f t="shared" si="20"/>
        <v>59.857599999999998</v>
      </c>
      <c r="M60" s="157">
        <v>0</v>
      </c>
      <c r="N60" s="157">
        <f t="shared" si="21"/>
        <v>1248.1776</v>
      </c>
      <c r="O60" s="165">
        <v>0</v>
      </c>
      <c r="P60" s="166">
        <f t="shared" si="6"/>
        <v>0</v>
      </c>
      <c r="Q60" s="167">
        <v>0</v>
      </c>
      <c r="R60" s="165">
        <v>0</v>
      </c>
      <c r="S60" s="166">
        <f t="shared" si="7"/>
        <v>0</v>
      </c>
      <c r="T60" s="167">
        <v>0</v>
      </c>
      <c r="U60" s="165">
        <v>0</v>
      </c>
      <c r="V60" s="166">
        <f t="shared" si="8"/>
        <v>0</v>
      </c>
      <c r="W60" s="167">
        <v>0</v>
      </c>
      <c r="X60" s="165">
        <f>'2018-2019 B STATEMENT '!B80</f>
        <v>200</v>
      </c>
      <c r="Y60" s="166">
        <f t="shared" si="9"/>
        <v>1.78</v>
      </c>
      <c r="Z60" s="167">
        <v>0</v>
      </c>
      <c r="AA60" s="165">
        <v>0</v>
      </c>
      <c r="AB60" s="166">
        <f t="shared" si="10"/>
        <v>0</v>
      </c>
      <c r="AC60" s="167">
        <v>0</v>
      </c>
      <c r="AD60" s="165">
        <v>0</v>
      </c>
      <c r="AE60" s="166">
        <f t="shared" si="11"/>
        <v>0</v>
      </c>
      <c r="AF60" s="167">
        <v>0</v>
      </c>
      <c r="AG60" s="165">
        <v>0</v>
      </c>
      <c r="AH60" s="166">
        <f t="shared" si="12"/>
        <v>0</v>
      </c>
      <c r="AI60" s="167">
        <v>0</v>
      </c>
      <c r="AJ60" s="165">
        <v>0</v>
      </c>
      <c r="AK60" s="166">
        <f t="shared" si="13"/>
        <v>0</v>
      </c>
      <c r="AL60" s="167">
        <v>0</v>
      </c>
      <c r="AM60" s="165">
        <f>'2018-2019 B STATEMENT '!B230</f>
        <v>1000</v>
      </c>
      <c r="AN60" s="166">
        <f t="shared" si="14"/>
        <v>9.8999999999999986</v>
      </c>
      <c r="AO60" s="167">
        <v>0</v>
      </c>
      <c r="AP60" s="165">
        <v>0</v>
      </c>
      <c r="AQ60" s="166">
        <f t="shared" si="15"/>
        <v>0</v>
      </c>
      <c r="AR60" s="167">
        <v>0</v>
      </c>
      <c r="AS60" s="165">
        <v>0</v>
      </c>
      <c r="AT60" s="166">
        <f t="shared" si="16"/>
        <v>0</v>
      </c>
      <c r="AU60" s="167">
        <v>0</v>
      </c>
      <c r="AV60" s="165">
        <v>0</v>
      </c>
      <c r="AW60" s="166">
        <f t="shared" si="17"/>
        <v>0</v>
      </c>
      <c r="AX60" s="167">
        <v>0</v>
      </c>
      <c r="AY60" s="87">
        <f t="shared" si="22"/>
        <v>1200</v>
      </c>
    </row>
    <row r="61" spans="1:51">
      <c r="A61" s="10" t="s">
        <v>632</v>
      </c>
      <c r="B61" s="10" t="s">
        <v>157</v>
      </c>
      <c r="C61" s="228">
        <v>0</v>
      </c>
      <c r="D61" s="157">
        <f t="shared" si="4"/>
        <v>2400</v>
      </c>
      <c r="E61" s="157">
        <v>0</v>
      </c>
      <c r="F61" s="158">
        <f>'Catch up Fee'!D61</f>
        <v>2600</v>
      </c>
      <c r="G61" s="157">
        <f t="shared" si="23"/>
        <v>2400</v>
      </c>
      <c r="H61" s="159">
        <f t="shared" si="18"/>
        <v>0</v>
      </c>
      <c r="I61" s="157">
        <f t="shared" si="26"/>
        <v>2400</v>
      </c>
      <c r="J61" s="157">
        <f t="shared" si="19"/>
        <v>2400</v>
      </c>
      <c r="K61" s="157">
        <f t="shared" si="0"/>
        <v>0</v>
      </c>
      <c r="L61" s="157">
        <f t="shared" si="20"/>
        <v>0</v>
      </c>
      <c r="M61" s="157">
        <v>0</v>
      </c>
      <c r="N61" s="157">
        <f t="shared" si="21"/>
        <v>0</v>
      </c>
      <c r="O61" s="165">
        <v>0</v>
      </c>
      <c r="P61" s="166">
        <f t="shared" si="6"/>
        <v>0</v>
      </c>
      <c r="Q61" s="167">
        <v>0</v>
      </c>
      <c r="R61" s="165">
        <v>0</v>
      </c>
      <c r="S61" s="166">
        <f t="shared" si="7"/>
        <v>0</v>
      </c>
      <c r="T61" s="167">
        <v>0</v>
      </c>
      <c r="U61" s="165">
        <v>0</v>
      </c>
      <c r="V61" s="166">
        <f t="shared" si="8"/>
        <v>0</v>
      </c>
      <c r="W61" s="167">
        <v>0</v>
      </c>
      <c r="X61" s="165">
        <v>0</v>
      </c>
      <c r="Y61" s="166">
        <f t="shared" si="9"/>
        <v>0</v>
      </c>
      <c r="Z61" s="167">
        <v>0</v>
      </c>
      <c r="AA61" s="165">
        <v>0</v>
      </c>
      <c r="AB61" s="166">
        <f t="shared" si="10"/>
        <v>0</v>
      </c>
      <c r="AC61" s="167">
        <v>0</v>
      </c>
      <c r="AD61" s="165">
        <v>0</v>
      </c>
      <c r="AE61" s="166">
        <f t="shared" si="11"/>
        <v>0</v>
      </c>
      <c r="AF61" s="167">
        <v>0</v>
      </c>
      <c r="AG61" s="165">
        <v>0</v>
      </c>
      <c r="AH61" s="166">
        <f t="shared" si="12"/>
        <v>0</v>
      </c>
      <c r="AI61" s="167">
        <v>0</v>
      </c>
      <c r="AJ61" s="165">
        <v>0</v>
      </c>
      <c r="AK61" s="166">
        <f t="shared" si="13"/>
        <v>0</v>
      </c>
      <c r="AL61" s="167">
        <v>0</v>
      </c>
      <c r="AM61" s="165">
        <v>0</v>
      </c>
      <c r="AN61" s="166">
        <f t="shared" si="14"/>
        <v>0</v>
      </c>
      <c r="AO61" s="167">
        <v>0</v>
      </c>
      <c r="AP61" s="165">
        <v>0</v>
      </c>
      <c r="AQ61" s="166">
        <f t="shared" si="15"/>
        <v>0</v>
      </c>
      <c r="AR61" s="167">
        <v>0</v>
      </c>
      <c r="AS61" s="165">
        <v>0</v>
      </c>
      <c r="AT61" s="166">
        <f t="shared" si="16"/>
        <v>0</v>
      </c>
      <c r="AU61" s="167">
        <v>0</v>
      </c>
      <c r="AV61" s="165">
        <v>0</v>
      </c>
      <c r="AW61" s="166">
        <f t="shared" si="17"/>
        <v>0</v>
      </c>
      <c r="AX61" s="167">
        <v>0</v>
      </c>
      <c r="AY61" s="87">
        <f t="shared" si="22"/>
        <v>0</v>
      </c>
    </row>
    <row r="62" spans="1:51">
      <c r="A62" s="46" t="s">
        <v>633</v>
      </c>
      <c r="B62" s="10" t="s">
        <v>127</v>
      </c>
      <c r="C62" s="156">
        <v>100</v>
      </c>
      <c r="D62" s="157">
        <f t="shared" si="4"/>
        <v>2400</v>
      </c>
      <c r="E62" s="157">
        <v>0</v>
      </c>
      <c r="F62" s="158">
        <f>'Catch up Fee'!D62</f>
        <v>200</v>
      </c>
      <c r="G62" s="157">
        <f t="shared" si="23"/>
        <v>2500</v>
      </c>
      <c r="H62" s="159">
        <f t="shared" si="18"/>
        <v>2500</v>
      </c>
      <c r="I62" s="157">
        <f t="shared" si="26"/>
        <v>0</v>
      </c>
      <c r="J62" s="157">
        <f t="shared" si="19"/>
        <v>0</v>
      </c>
      <c r="K62" s="157">
        <f t="shared" si="0"/>
        <v>22.25</v>
      </c>
      <c r="L62" s="157">
        <f t="shared" si="20"/>
        <v>130.77625</v>
      </c>
      <c r="M62" s="157">
        <v>0</v>
      </c>
      <c r="N62" s="157">
        <f t="shared" si="21"/>
        <v>2608.5262499999999</v>
      </c>
      <c r="O62" s="165">
        <v>0</v>
      </c>
      <c r="P62" s="166">
        <f t="shared" si="6"/>
        <v>0</v>
      </c>
      <c r="Q62" s="167">
        <v>0</v>
      </c>
      <c r="R62" s="165">
        <v>0</v>
      </c>
      <c r="S62" s="166">
        <f t="shared" si="7"/>
        <v>0</v>
      </c>
      <c r="T62" s="167">
        <v>0</v>
      </c>
      <c r="U62" s="165">
        <f>'2018-2019 B STATEMENT '!B50</f>
        <v>2500</v>
      </c>
      <c r="V62" s="166">
        <f t="shared" si="8"/>
        <v>22.25</v>
      </c>
      <c r="W62" s="167">
        <v>0</v>
      </c>
      <c r="X62" s="165">
        <v>0</v>
      </c>
      <c r="Y62" s="166">
        <f t="shared" si="9"/>
        <v>0</v>
      </c>
      <c r="Z62" s="167">
        <v>0</v>
      </c>
      <c r="AA62" s="165">
        <v>0</v>
      </c>
      <c r="AB62" s="166">
        <f t="shared" si="10"/>
        <v>0</v>
      </c>
      <c r="AC62" s="167">
        <v>0</v>
      </c>
      <c r="AD62" s="165">
        <v>0</v>
      </c>
      <c r="AE62" s="166">
        <f t="shared" si="11"/>
        <v>0</v>
      </c>
      <c r="AF62" s="167">
        <v>0</v>
      </c>
      <c r="AG62" s="165">
        <v>0</v>
      </c>
      <c r="AH62" s="166">
        <f t="shared" si="12"/>
        <v>0</v>
      </c>
      <c r="AI62" s="167">
        <v>0</v>
      </c>
      <c r="AJ62" s="165">
        <v>0</v>
      </c>
      <c r="AK62" s="166">
        <f t="shared" si="13"/>
        <v>0</v>
      </c>
      <c r="AL62" s="167">
        <v>0</v>
      </c>
      <c r="AM62" s="165">
        <v>0</v>
      </c>
      <c r="AN62" s="166">
        <f t="shared" si="14"/>
        <v>0</v>
      </c>
      <c r="AO62" s="167">
        <v>0</v>
      </c>
      <c r="AP62" s="165">
        <v>0</v>
      </c>
      <c r="AQ62" s="166">
        <f t="shared" si="15"/>
        <v>0</v>
      </c>
      <c r="AR62" s="167">
        <v>0</v>
      </c>
      <c r="AS62" s="165">
        <v>0</v>
      </c>
      <c r="AT62" s="166">
        <f t="shared" si="16"/>
        <v>0</v>
      </c>
      <c r="AU62" s="167">
        <v>0</v>
      </c>
      <c r="AV62" s="165">
        <v>0</v>
      </c>
      <c r="AW62" s="166">
        <f t="shared" si="17"/>
        <v>0</v>
      </c>
      <c r="AX62" s="167">
        <v>0</v>
      </c>
      <c r="AY62" s="87">
        <f t="shared" si="22"/>
        <v>2500</v>
      </c>
    </row>
    <row r="63" spans="1:51">
      <c r="A63" s="10" t="s">
        <v>634</v>
      </c>
      <c r="B63" s="10" t="s">
        <v>127</v>
      </c>
      <c r="C63" s="156">
        <v>100</v>
      </c>
      <c r="D63" s="157">
        <f t="shared" si="4"/>
        <v>2400</v>
      </c>
      <c r="E63" s="157">
        <v>0</v>
      </c>
      <c r="F63" s="158">
        <f>'Catch up Fee'!D63</f>
        <v>200</v>
      </c>
      <c r="G63" s="157">
        <f t="shared" si="23"/>
        <v>2500</v>
      </c>
      <c r="H63" s="159">
        <f t="shared" si="18"/>
        <v>700</v>
      </c>
      <c r="I63" s="157">
        <f t="shared" si="26"/>
        <v>1800</v>
      </c>
      <c r="J63" s="157">
        <f t="shared" si="19"/>
        <v>1800</v>
      </c>
      <c r="K63" s="157">
        <f t="shared" si="0"/>
        <v>6.23</v>
      </c>
      <c r="L63" s="157">
        <f t="shared" si="20"/>
        <v>32.657350000000001</v>
      </c>
      <c r="M63" s="157">
        <v>0</v>
      </c>
      <c r="N63" s="157">
        <f t="shared" si="21"/>
        <v>726.42734999999993</v>
      </c>
      <c r="O63" s="165">
        <v>0</v>
      </c>
      <c r="P63" s="166">
        <f t="shared" si="6"/>
        <v>0</v>
      </c>
      <c r="Q63" s="167">
        <v>0</v>
      </c>
      <c r="R63" s="165">
        <v>0</v>
      </c>
      <c r="S63" s="166">
        <f t="shared" si="7"/>
        <v>0</v>
      </c>
      <c r="T63" s="167">
        <v>0</v>
      </c>
      <c r="U63" s="165">
        <v>0</v>
      </c>
      <c r="V63" s="166">
        <f t="shared" si="8"/>
        <v>0</v>
      </c>
      <c r="W63" s="167">
        <v>0</v>
      </c>
      <c r="X63" s="165">
        <f>'2018-2019 B STATEMENT '!B93</f>
        <v>400</v>
      </c>
      <c r="Y63" s="166">
        <f t="shared" si="9"/>
        <v>3.56</v>
      </c>
      <c r="Z63" s="167">
        <v>0</v>
      </c>
      <c r="AA63" s="165">
        <v>0</v>
      </c>
      <c r="AB63" s="166">
        <f t="shared" si="10"/>
        <v>0</v>
      </c>
      <c r="AC63" s="167">
        <v>0</v>
      </c>
      <c r="AD63" s="165">
        <f>'2018-2019 B STATEMENT '!B160</f>
        <v>300</v>
      </c>
      <c r="AE63" s="166">
        <f t="shared" si="11"/>
        <v>2.67</v>
      </c>
      <c r="AF63" s="167">
        <v>0</v>
      </c>
      <c r="AG63" s="165">
        <v>0</v>
      </c>
      <c r="AH63" s="166">
        <f t="shared" si="12"/>
        <v>0</v>
      </c>
      <c r="AI63" s="167">
        <v>0</v>
      </c>
      <c r="AJ63" s="165">
        <v>0</v>
      </c>
      <c r="AK63" s="166">
        <f t="shared" si="13"/>
        <v>0</v>
      </c>
      <c r="AL63" s="167">
        <v>0</v>
      </c>
      <c r="AM63" s="165">
        <v>0</v>
      </c>
      <c r="AN63" s="166">
        <f t="shared" si="14"/>
        <v>0</v>
      </c>
      <c r="AO63" s="167">
        <v>0</v>
      </c>
      <c r="AP63" s="165">
        <v>0</v>
      </c>
      <c r="AQ63" s="166">
        <f t="shared" si="15"/>
        <v>0</v>
      </c>
      <c r="AR63" s="167">
        <v>0</v>
      </c>
      <c r="AS63" s="165">
        <v>0</v>
      </c>
      <c r="AT63" s="166">
        <f t="shared" si="16"/>
        <v>0</v>
      </c>
      <c r="AU63" s="167">
        <v>0</v>
      </c>
      <c r="AV63" s="165">
        <v>0</v>
      </c>
      <c r="AW63" s="166">
        <f t="shared" si="17"/>
        <v>0</v>
      </c>
      <c r="AX63" s="167">
        <v>0</v>
      </c>
      <c r="AY63" s="87">
        <f t="shared" si="22"/>
        <v>700</v>
      </c>
    </row>
    <row r="64" spans="1:51">
      <c r="A64" s="46" t="s">
        <v>635</v>
      </c>
      <c r="B64" s="10" t="s">
        <v>128</v>
      </c>
      <c r="C64" s="156">
        <v>100</v>
      </c>
      <c r="D64" s="157">
        <f t="shared" si="4"/>
        <v>2400</v>
      </c>
      <c r="E64" s="157">
        <v>0</v>
      </c>
      <c r="F64" s="158">
        <f>'Catch up Fee'!D64</f>
        <v>0</v>
      </c>
      <c r="G64" s="157">
        <f t="shared" si="23"/>
        <v>2500</v>
      </c>
      <c r="H64" s="159">
        <f t="shared" si="18"/>
        <v>710</v>
      </c>
      <c r="I64" s="157">
        <f>G64-H64-C64</f>
        <v>1690</v>
      </c>
      <c r="J64" s="157">
        <f t="shared" si="19"/>
        <v>1690</v>
      </c>
      <c r="K64" s="157">
        <f t="shared" si="0"/>
        <v>6.319</v>
      </c>
      <c r="L64" s="157">
        <f t="shared" si="20"/>
        <v>33.202455</v>
      </c>
      <c r="M64" s="157">
        <v>0</v>
      </c>
      <c r="N64" s="157">
        <f t="shared" si="21"/>
        <v>736.88345500000003</v>
      </c>
      <c r="O64" s="165">
        <v>0</v>
      </c>
      <c r="P64" s="166">
        <f t="shared" si="6"/>
        <v>0</v>
      </c>
      <c r="Q64" s="167">
        <v>0</v>
      </c>
      <c r="R64" s="165">
        <f>'2018-2019 B STATEMENT '!B31</f>
        <v>400</v>
      </c>
      <c r="S64" s="166">
        <f t="shared" si="7"/>
        <v>3.56</v>
      </c>
      <c r="T64" s="167">
        <v>0</v>
      </c>
      <c r="U64" s="165">
        <f>'2018-2019 B STATEMENT '!B55</f>
        <v>310</v>
      </c>
      <c r="V64" s="166">
        <f t="shared" si="8"/>
        <v>2.7589999999999999</v>
      </c>
      <c r="W64" s="167">
        <v>0</v>
      </c>
      <c r="X64" s="165">
        <v>0</v>
      </c>
      <c r="Y64" s="166">
        <f t="shared" si="9"/>
        <v>0</v>
      </c>
      <c r="Z64" s="167">
        <v>0</v>
      </c>
      <c r="AA64" s="165">
        <v>0</v>
      </c>
      <c r="AB64" s="166">
        <f t="shared" si="10"/>
        <v>0</v>
      </c>
      <c r="AC64" s="167">
        <v>0</v>
      </c>
      <c r="AD64" s="165">
        <v>0</v>
      </c>
      <c r="AE64" s="166">
        <f t="shared" si="11"/>
        <v>0</v>
      </c>
      <c r="AF64" s="167">
        <v>0</v>
      </c>
      <c r="AG64" s="165">
        <v>0</v>
      </c>
      <c r="AH64" s="166">
        <f t="shared" si="12"/>
        <v>0</v>
      </c>
      <c r="AI64" s="167">
        <v>0</v>
      </c>
      <c r="AJ64" s="165">
        <v>0</v>
      </c>
      <c r="AK64" s="166">
        <f t="shared" si="13"/>
        <v>0</v>
      </c>
      <c r="AL64" s="167">
        <v>0</v>
      </c>
      <c r="AM64" s="165">
        <v>0</v>
      </c>
      <c r="AN64" s="166">
        <f t="shared" si="14"/>
        <v>0</v>
      </c>
      <c r="AO64" s="167">
        <v>0</v>
      </c>
      <c r="AP64" s="165">
        <v>0</v>
      </c>
      <c r="AQ64" s="166">
        <f t="shared" si="15"/>
        <v>0</v>
      </c>
      <c r="AR64" s="167">
        <v>0</v>
      </c>
      <c r="AS64" s="165">
        <v>0</v>
      </c>
      <c r="AT64" s="166">
        <f t="shared" si="16"/>
        <v>0</v>
      </c>
      <c r="AU64" s="167">
        <v>0</v>
      </c>
      <c r="AV64" s="165">
        <v>0</v>
      </c>
      <c r="AW64" s="166">
        <f t="shared" si="17"/>
        <v>0</v>
      </c>
      <c r="AX64" s="167">
        <v>0</v>
      </c>
      <c r="AY64" s="87">
        <f t="shared" si="22"/>
        <v>710</v>
      </c>
    </row>
    <row r="65" spans="1:51">
      <c r="A65" s="10" t="s">
        <v>636</v>
      </c>
      <c r="B65" s="10" t="s">
        <v>128</v>
      </c>
      <c r="C65" s="156">
        <v>100</v>
      </c>
      <c r="D65" s="157">
        <f t="shared" si="4"/>
        <v>2400</v>
      </c>
      <c r="E65" s="157">
        <v>0</v>
      </c>
      <c r="F65" s="158">
        <f>'Catch up Fee'!D65</f>
        <v>0</v>
      </c>
      <c r="G65" s="157">
        <f t="shared" si="23"/>
        <v>2500</v>
      </c>
      <c r="H65" s="159">
        <f t="shared" si="18"/>
        <v>300</v>
      </c>
      <c r="I65" s="157">
        <f>G65-H65-C65</f>
        <v>2100</v>
      </c>
      <c r="J65" s="157">
        <f t="shared" si="19"/>
        <v>2100</v>
      </c>
      <c r="K65" s="157">
        <f>P65+S65+V65+Y65+AB65+AE65+AH65+AK65+AN65+AQ65+AT65+AW65</f>
        <v>2.67</v>
      </c>
      <c r="L65" s="157">
        <f t="shared" si="20"/>
        <v>10.853149999999999</v>
      </c>
      <c r="M65" s="157">
        <v>0</v>
      </c>
      <c r="N65" s="157">
        <f>H65-K65-M65+L65</f>
        <v>308.18314999999996</v>
      </c>
      <c r="O65" s="165">
        <v>0</v>
      </c>
      <c r="P65" s="166">
        <f t="shared" si="6"/>
        <v>0</v>
      </c>
      <c r="Q65" s="167">
        <v>0</v>
      </c>
      <c r="R65" s="165">
        <v>0</v>
      </c>
      <c r="S65" s="166">
        <f t="shared" si="7"/>
        <v>0</v>
      </c>
      <c r="T65" s="167">
        <v>0</v>
      </c>
      <c r="U65" s="165">
        <f>'2018-2019 B STATEMENT '!B68</f>
        <v>300</v>
      </c>
      <c r="V65" s="166">
        <f t="shared" si="8"/>
        <v>2.67</v>
      </c>
      <c r="W65" s="167">
        <v>0</v>
      </c>
      <c r="X65" s="165">
        <v>0</v>
      </c>
      <c r="Y65" s="166">
        <f t="shared" si="9"/>
        <v>0</v>
      </c>
      <c r="Z65" s="167">
        <v>0</v>
      </c>
      <c r="AA65" s="165">
        <v>0</v>
      </c>
      <c r="AB65" s="166">
        <f t="shared" si="10"/>
        <v>0</v>
      </c>
      <c r="AC65" s="167">
        <v>0</v>
      </c>
      <c r="AD65" s="165">
        <v>0</v>
      </c>
      <c r="AE65" s="166">
        <f t="shared" si="11"/>
        <v>0</v>
      </c>
      <c r="AF65" s="167">
        <v>0</v>
      </c>
      <c r="AG65" s="165">
        <v>0</v>
      </c>
      <c r="AH65" s="166">
        <f t="shared" si="12"/>
        <v>0</v>
      </c>
      <c r="AI65" s="167">
        <v>0</v>
      </c>
      <c r="AJ65" s="165">
        <v>0</v>
      </c>
      <c r="AK65" s="166">
        <f t="shared" si="13"/>
        <v>0</v>
      </c>
      <c r="AL65" s="167">
        <v>0</v>
      </c>
      <c r="AM65" s="165">
        <v>0</v>
      </c>
      <c r="AN65" s="166">
        <f t="shared" si="14"/>
        <v>0</v>
      </c>
      <c r="AO65" s="167">
        <v>0</v>
      </c>
      <c r="AP65" s="165">
        <v>0</v>
      </c>
      <c r="AQ65" s="166">
        <f t="shared" si="15"/>
        <v>0</v>
      </c>
      <c r="AR65" s="167">
        <v>0</v>
      </c>
      <c r="AS65" s="165">
        <v>0</v>
      </c>
      <c r="AT65" s="166">
        <f t="shared" si="16"/>
        <v>0</v>
      </c>
      <c r="AU65" s="167">
        <v>0</v>
      </c>
      <c r="AV65" s="165">
        <v>0</v>
      </c>
      <c r="AW65" s="166">
        <f t="shared" si="17"/>
        <v>0</v>
      </c>
      <c r="AX65" s="167">
        <v>0</v>
      </c>
      <c r="AY65" s="87">
        <f t="shared" si="22"/>
        <v>300</v>
      </c>
    </row>
    <row r="66" spans="1:51">
      <c r="A66" s="46" t="s">
        <v>637</v>
      </c>
      <c r="B66" s="10" t="s">
        <v>155</v>
      </c>
      <c r="C66" s="156">
        <v>100</v>
      </c>
      <c r="D66" s="157">
        <f t="shared" si="4"/>
        <v>2400</v>
      </c>
      <c r="E66" s="157">
        <v>0</v>
      </c>
      <c r="F66" s="158">
        <f>'Catch up Fee'!D66</f>
        <v>600</v>
      </c>
      <c r="G66" s="157">
        <f t="shared" si="23"/>
        <v>2500</v>
      </c>
      <c r="H66" s="159">
        <f t="shared" si="18"/>
        <v>1000</v>
      </c>
      <c r="I66" s="157">
        <f>G66-H66</f>
        <v>1500</v>
      </c>
      <c r="J66" s="157">
        <f t="shared" si="19"/>
        <v>1500</v>
      </c>
      <c r="K66" s="157">
        <f t="shared" ref="K66:K90" si="27">P66+S66+V66+Y66+AB66+AE66+AH66+AK66+AN66+AQ66+AT66+AW66</f>
        <v>9.5</v>
      </c>
      <c r="L66" s="157">
        <f t="shared" si="20"/>
        <v>48.977499999999999</v>
      </c>
      <c r="M66" s="157">
        <v>0</v>
      </c>
      <c r="N66" s="157">
        <f t="shared" si="21"/>
        <v>1039.4775</v>
      </c>
      <c r="O66" s="165">
        <v>0</v>
      </c>
      <c r="P66" s="166">
        <f t="shared" si="6"/>
        <v>0</v>
      </c>
      <c r="Q66" s="167">
        <v>0</v>
      </c>
      <c r="R66" s="165">
        <v>0</v>
      </c>
      <c r="S66" s="166">
        <f t="shared" si="7"/>
        <v>0</v>
      </c>
      <c r="T66" s="167">
        <v>0</v>
      </c>
      <c r="U66" s="165">
        <v>0</v>
      </c>
      <c r="V66" s="166">
        <f t="shared" si="8"/>
        <v>0</v>
      </c>
      <c r="W66" s="167">
        <v>0</v>
      </c>
      <c r="X66" s="165">
        <v>0</v>
      </c>
      <c r="Y66" s="166">
        <f t="shared" si="9"/>
        <v>0</v>
      </c>
      <c r="Z66" s="167">
        <v>0</v>
      </c>
      <c r="AA66" s="165">
        <f>'2018-2019 B STATEMENT '!B122</f>
        <v>400</v>
      </c>
      <c r="AB66" s="166">
        <f t="shared" si="10"/>
        <v>3.56</v>
      </c>
      <c r="AC66" s="167">
        <v>0</v>
      </c>
      <c r="AD66" s="165">
        <v>0</v>
      </c>
      <c r="AE66" s="166">
        <f t="shared" si="11"/>
        <v>0</v>
      </c>
      <c r="AF66" s="167">
        <v>0</v>
      </c>
      <c r="AG66" s="165">
        <v>0</v>
      </c>
      <c r="AH66" s="166">
        <f t="shared" si="12"/>
        <v>0</v>
      </c>
      <c r="AI66" s="167">
        <v>0</v>
      </c>
      <c r="AJ66" s="165">
        <v>0</v>
      </c>
      <c r="AK66" s="166">
        <f t="shared" si="13"/>
        <v>0</v>
      </c>
      <c r="AL66" s="167">
        <v>0</v>
      </c>
      <c r="AM66" s="165">
        <f>'2018-2019 B STATEMENT '!B231</f>
        <v>400</v>
      </c>
      <c r="AN66" s="166">
        <f t="shared" si="14"/>
        <v>3.9599999999999995</v>
      </c>
      <c r="AO66" s="167">
        <v>0</v>
      </c>
      <c r="AP66" s="165">
        <f>'2018-2019 B STATEMENT '!B241</f>
        <v>200</v>
      </c>
      <c r="AQ66" s="166">
        <f t="shared" si="15"/>
        <v>1.9799999999999998</v>
      </c>
      <c r="AR66" s="167">
        <v>0</v>
      </c>
      <c r="AS66" s="165">
        <v>0</v>
      </c>
      <c r="AT66" s="166">
        <f t="shared" si="16"/>
        <v>0</v>
      </c>
      <c r="AU66" s="167">
        <v>0</v>
      </c>
      <c r="AV66" s="165">
        <v>0</v>
      </c>
      <c r="AW66" s="166">
        <f t="shared" si="17"/>
        <v>0</v>
      </c>
      <c r="AX66" s="167">
        <v>0</v>
      </c>
      <c r="AY66" s="87">
        <f t="shared" si="22"/>
        <v>1000</v>
      </c>
    </row>
    <row r="67" spans="1:51">
      <c r="A67" s="10" t="s">
        <v>638</v>
      </c>
      <c r="B67" s="10" t="s">
        <v>126</v>
      </c>
      <c r="C67" s="156">
        <v>100</v>
      </c>
      <c r="D67" s="157">
        <f t="shared" ref="D67:D90" si="28">200*12</f>
        <v>2400</v>
      </c>
      <c r="E67" s="157">
        <v>0</v>
      </c>
      <c r="F67" s="158">
        <f>'Catch up Fee'!D67</f>
        <v>200</v>
      </c>
      <c r="G67" s="157">
        <f t="shared" ref="G67:G90" si="29">C67+D67</f>
        <v>2500</v>
      </c>
      <c r="H67" s="159">
        <f t="shared" ref="H67:H90" si="30">AY67</f>
        <v>1300</v>
      </c>
      <c r="I67" s="157">
        <f>G67-H67</f>
        <v>1200</v>
      </c>
      <c r="J67" s="157">
        <f t="shared" ref="J67:J90" si="31">I67+M67</f>
        <v>1200</v>
      </c>
      <c r="K67" s="157">
        <f t="shared" si="27"/>
        <v>11.57</v>
      </c>
      <c r="L67" s="157">
        <f t="shared" si="20"/>
        <v>65.363650000000007</v>
      </c>
      <c r="M67" s="157">
        <v>0</v>
      </c>
      <c r="N67" s="157">
        <f t="shared" si="21"/>
        <v>1353.7936500000001</v>
      </c>
      <c r="O67" s="165">
        <v>0</v>
      </c>
      <c r="P67" s="166">
        <f t="shared" ref="P67:P90" si="32">O67*0.89%</f>
        <v>0</v>
      </c>
      <c r="Q67" s="167">
        <v>0</v>
      </c>
      <c r="R67" s="165">
        <f>'2018-2019 B STATEMENT '!B32</f>
        <v>300</v>
      </c>
      <c r="S67" s="166">
        <f t="shared" ref="S67:S90" si="33">R67*0.89%</f>
        <v>2.67</v>
      </c>
      <c r="T67" s="167">
        <v>0</v>
      </c>
      <c r="U67" s="165">
        <f>'2018-2019 B STATEMENT '!B60</f>
        <v>1000</v>
      </c>
      <c r="V67" s="166">
        <f t="shared" ref="V67:V90" si="34">U67*0.89%</f>
        <v>8.9</v>
      </c>
      <c r="W67" s="167">
        <v>0</v>
      </c>
      <c r="X67" s="165">
        <v>0</v>
      </c>
      <c r="Y67" s="166">
        <f t="shared" ref="Y67:Y90" si="35">X67*0.89%</f>
        <v>0</v>
      </c>
      <c r="Z67" s="167">
        <v>0</v>
      </c>
      <c r="AA67" s="165">
        <v>0</v>
      </c>
      <c r="AB67" s="166">
        <f t="shared" ref="AB67:AB90" si="36">AA67*0.89%</f>
        <v>0</v>
      </c>
      <c r="AC67" s="167">
        <v>0</v>
      </c>
      <c r="AD67" s="165">
        <v>0</v>
      </c>
      <c r="AE67" s="166">
        <f t="shared" ref="AE67:AE90" si="37">AD67*0.89%</f>
        <v>0</v>
      </c>
      <c r="AF67" s="167">
        <v>0</v>
      </c>
      <c r="AG67" s="165">
        <v>0</v>
      </c>
      <c r="AH67" s="166">
        <f t="shared" ref="AH67:AH90" si="38">AG67*0.89%</f>
        <v>0</v>
      </c>
      <c r="AI67" s="167">
        <v>0</v>
      </c>
      <c r="AJ67" s="165">
        <v>0</v>
      </c>
      <c r="AK67" s="166">
        <f t="shared" ref="AK67:AK90" si="39">AJ67*0.89%</f>
        <v>0</v>
      </c>
      <c r="AL67" s="167">
        <v>0</v>
      </c>
      <c r="AM67" s="165">
        <v>0</v>
      </c>
      <c r="AN67" s="166">
        <f t="shared" ref="AN67:AN90" si="40">AM67*0.99%</f>
        <v>0</v>
      </c>
      <c r="AO67" s="167">
        <v>0</v>
      </c>
      <c r="AP67" s="165">
        <v>0</v>
      </c>
      <c r="AQ67" s="166">
        <f t="shared" ref="AQ67:AQ90" si="41">AP67*0.99%</f>
        <v>0</v>
      </c>
      <c r="AR67" s="167">
        <v>0</v>
      </c>
      <c r="AS67" s="165">
        <v>0</v>
      </c>
      <c r="AT67" s="166">
        <f t="shared" ref="AT67:AT90" si="42">AS67*0.99%</f>
        <v>0</v>
      </c>
      <c r="AU67" s="167">
        <v>0</v>
      </c>
      <c r="AV67" s="165">
        <v>0</v>
      </c>
      <c r="AW67" s="166">
        <f t="shared" ref="AW67:AW90" si="43">AV67*0.99%</f>
        <v>0</v>
      </c>
      <c r="AX67" s="167">
        <v>0</v>
      </c>
      <c r="AY67" s="87">
        <f t="shared" si="22"/>
        <v>1300</v>
      </c>
    </row>
    <row r="68" spans="1:51">
      <c r="A68" s="46" t="s">
        <v>639</v>
      </c>
      <c r="B68" s="10" t="s">
        <v>116</v>
      </c>
      <c r="C68" s="156">
        <v>100</v>
      </c>
      <c r="D68" s="157">
        <f t="shared" si="28"/>
        <v>2400</v>
      </c>
      <c r="E68" s="157">
        <v>0</v>
      </c>
      <c r="F68" s="158">
        <f>'Catch up Fee'!D68</f>
        <v>0</v>
      </c>
      <c r="G68" s="157">
        <f t="shared" si="29"/>
        <v>2500</v>
      </c>
      <c r="H68" s="159">
        <f t="shared" si="30"/>
        <v>2100</v>
      </c>
      <c r="I68" s="157">
        <f>G68-H68-C68</f>
        <v>300</v>
      </c>
      <c r="J68" s="157">
        <f t="shared" si="31"/>
        <v>300</v>
      </c>
      <c r="K68" s="157">
        <f t="shared" si="27"/>
        <v>19.689999999999998</v>
      </c>
      <c r="L68" s="157">
        <f t="shared" si="20"/>
        <v>108.91705</v>
      </c>
      <c r="M68" s="157">
        <v>0</v>
      </c>
      <c r="N68" s="157">
        <f t="shared" si="21"/>
        <v>2189.22705</v>
      </c>
      <c r="O68" s="165">
        <v>0</v>
      </c>
      <c r="P68" s="166">
        <f t="shared" si="32"/>
        <v>0</v>
      </c>
      <c r="Q68" s="167">
        <v>0</v>
      </c>
      <c r="R68" s="165">
        <v>0</v>
      </c>
      <c r="S68" s="166">
        <f t="shared" si="33"/>
        <v>0</v>
      </c>
      <c r="T68" s="167">
        <v>0</v>
      </c>
      <c r="U68" s="165">
        <f>'2018-2019 B STATEMENT '!B44</f>
        <v>300</v>
      </c>
      <c r="V68" s="166">
        <f t="shared" si="34"/>
        <v>2.67</v>
      </c>
      <c r="W68" s="167">
        <v>0</v>
      </c>
      <c r="X68" s="165">
        <f>'2018-2019 B STATEMENT '!B81</f>
        <v>800</v>
      </c>
      <c r="Y68" s="166">
        <f t="shared" si="35"/>
        <v>7.12</v>
      </c>
      <c r="Z68" s="167">
        <v>0</v>
      </c>
      <c r="AA68" s="165">
        <v>0</v>
      </c>
      <c r="AB68" s="166">
        <f t="shared" si="36"/>
        <v>0</v>
      </c>
      <c r="AC68" s="167">
        <v>0</v>
      </c>
      <c r="AD68" s="165">
        <v>0</v>
      </c>
      <c r="AE68" s="166">
        <f t="shared" si="37"/>
        <v>0</v>
      </c>
      <c r="AF68" s="167">
        <v>0</v>
      </c>
      <c r="AG68" s="165">
        <v>0</v>
      </c>
      <c r="AH68" s="166">
        <f t="shared" si="38"/>
        <v>0</v>
      </c>
      <c r="AI68" s="167">
        <v>0</v>
      </c>
      <c r="AJ68" s="165">
        <v>0</v>
      </c>
      <c r="AK68" s="166">
        <f t="shared" si="39"/>
        <v>0</v>
      </c>
      <c r="AL68" s="167">
        <v>0</v>
      </c>
      <c r="AM68" s="165">
        <v>0</v>
      </c>
      <c r="AN68" s="166">
        <f t="shared" si="40"/>
        <v>0</v>
      </c>
      <c r="AO68" s="167">
        <v>0</v>
      </c>
      <c r="AP68" s="165">
        <v>0</v>
      </c>
      <c r="AQ68" s="166">
        <f t="shared" si="41"/>
        <v>0</v>
      </c>
      <c r="AR68" s="167">
        <v>0</v>
      </c>
      <c r="AS68" s="165">
        <f>'2018-2019 B STATEMENT '!B294</f>
        <v>600</v>
      </c>
      <c r="AT68" s="166">
        <f t="shared" si="42"/>
        <v>5.9399999999999995</v>
      </c>
      <c r="AU68" s="167">
        <v>0</v>
      </c>
      <c r="AV68" s="165">
        <f>'2018-2019 B STATEMENT '!B314</f>
        <v>400</v>
      </c>
      <c r="AW68" s="166">
        <f t="shared" si="43"/>
        <v>3.9599999999999995</v>
      </c>
      <c r="AX68" s="167">
        <v>0</v>
      </c>
      <c r="AY68" s="87">
        <f t="shared" si="22"/>
        <v>2100</v>
      </c>
    </row>
    <row r="69" spans="1:51">
      <c r="A69" s="10" t="s">
        <v>640</v>
      </c>
      <c r="B69" s="10" t="s">
        <v>154</v>
      </c>
      <c r="C69" s="156">
        <v>100</v>
      </c>
      <c r="D69" s="157">
        <f t="shared" si="28"/>
        <v>2400</v>
      </c>
      <c r="E69" s="157">
        <v>0</v>
      </c>
      <c r="F69" s="158">
        <f>'Catch up Fee'!D69</f>
        <v>1800</v>
      </c>
      <c r="G69" s="157">
        <f t="shared" si="29"/>
        <v>2500</v>
      </c>
      <c r="H69" s="159">
        <f t="shared" si="30"/>
        <v>500</v>
      </c>
      <c r="I69" s="157">
        <f>G69-H69</f>
        <v>2000</v>
      </c>
      <c r="J69" s="157">
        <f t="shared" si="31"/>
        <v>2000</v>
      </c>
      <c r="K69" s="157">
        <f t="shared" si="27"/>
        <v>4.9499999999999993</v>
      </c>
      <c r="L69" s="157">
        <f t="shared" si="20"/>
        <v>21.72775</v>
      </c>
      <c r="M69" s="157">
        <v>0</v>
      </c>
      <c r="N69" s="157">
        <f t="shared" si="21"/>
        <v>516.77774999999997</v>
      </c>
      <c r="O69" s="165">
        <v>0</v>
      </c>
      <c r="P69" s="166">
        <f t="shared" si="32"/>
        <v>0</v>
      </c>
      <c r="Q69" s="167">
        <v>0</v>
      </c>
      <c r="R69" s="165">
        <v>0</v>
      </c>
      <c r="S69" s="166">
        <f t="shared" si="33"/>
        <v>0</v>
      </c>
      <c r="T69" s="167">
        <v>0</v>
      </c>
      <c r="U69" s="165">
        <v>0</v>
      </c>
      <c r="V69" s="166">
        <f t="shared" si="34"/>
        <v>0</v>
      </c>
      <c r="W69" s="167">
        <v>0</v>
      </c>
      <c r="X69" s="165">
        <v>0</v>
      </c>
      <c r="Y69" s="166">
        <f t="shared" si="35"/>
        <v>0</v>
      </c>
      <c r="Z69" s="167">
        <v>0</v>
      </c>
      <c r="AA69" s="165">
        <v>0</v>
      </c>
      <c r="AB69" s="166">
        <f t="shared" si="36"/>
        <v>0</v>
      </c>
      <c r="AC69" s="167">
        <v>0</v>
      </c>
      <c r="AD69" s="165">
        <v>0</v>
      </c>
      <c r="AE69" s="166">
        <f t="shared" si="37"/>
        <v>0</v>
      </c>
      <c r="AF69" s="167">
        <v>0</v>
      </c>
      <c r="AG69" s="165">
        <v>0</v>
      </c>
      <c r="AH69" s="166">
        <f t="shared" si="38"/>
        <v>0</v>
      </c>
      <c r="AI69" s="167">
        <v>0</v>
      </c>
      <c r="AJ69" s="165">
        <v>0</v>
      </c>
      <c r="AK69" s="166">
        <f t="shared" si="39"/>
        <v>0</v>
      </c>
      <c r="AL69" s="167">
        <v>0</v>
      </c>
      <c r="AM69" s="165">
        <v>0</v>
      </c>
      <c r="AN69" s="166">
        <f t="shared" si="40"/>
        <v>0</v>
      </c>
      <c r="AO69" s="167">
        <v>0</v>
      </c>
      <c r="AP69" s="165">
        <v>0</v>
      </c>
      <c r="AQ69" s="166">
        <f t="shared" si="41"/>
        <v>0</v>
      </c>
      <c r="AR69" s="167">
        <v>0</v>
      </c>
      <c r="AS69" s="165">
        <f>'2018-2019 B STATEMENT '!B279</f>
        <v>300</v>
      </c>
      <c r="AT69" s="166">
        <f t="shared" si="42"/>
        <v>2.9699999999999998</v>
      </c>
      <c r="AU69" s="167">
        <v>0</v>
      </c>
      <c r="AV69" s="165">
        <f>'2018-2019 B STATEMENT '!B311</f>
        <v>200</v>
      </c>
      <c r="AW69" s="166">
        <f t="shared" si="43"/>
        <v>1.9799999999999998</v>
      </c>
      <c r="AX69" s="167">
        <v>0</v>
      </c>
      <c r="AY69" s="87">
        <f t="shared" si="22"/>
        <v>500</v>
      </c>
    </row>
    <row r="70" spans="1:51">
      <c r="A70" s="46" t="s">
        <v>641</v>
      </c>
      <c r="B70" s="10" t="s">
        <v>115</v>
      </c>
      <c r="C70" s="156">
        <v>100</v>
      </c>
      <c r="D70" s="157">
        <f t="shared" si="28"/>
        <v>2400</v>
      </c>
      <c r="E70" s="157">
        <v>0</v>
      </c>
      <c r="F70" s="158">
        <f>'Catch up Fee'!D70</f>
        <v>0</v>
      </c>
      <c r="G70" s="157">
        <f t="shared" si="29"/>
        <v>2500</v>
      </c>
      <c r="H70" s="159">
        <f t="shared" si="30"/>
        <v>2450</v>
      </c>
      <c r="I70" s="157">
        <f>G70-H70-C70</f>
        <v>-50</v>
      </c>
      <c r="J70" s="157">
        <f t="shared" si="31"/>
        <v>-50</v>
      </c>
      <c r="K70" s="157">
        <f t="shared" si="27"/>
        <v>22.154999999999998</v>
      </c>
      <c r="L70" s="157">
        <f t="shared" si="20"/>
        <v>128.031475</v>
      </c>
      <c r="M70" s="157">
        <v>0</v>
      </c>
      <c r="N70" s="157">
        <f t="shared" si="21"/>
        <v>2555.876475</v>
      </c>
      <c r="O70" s="165">
        <v>0</v>
      </c>
      <c r="P70" s="166">
        <f t="shared" si="32"/>
        <v>0</v>
      </c>
      <c r="Q70" s="167">
        <v>0</v>
      </c>
      <c r="R70" s="165">
        <f>'2018-2019 B STATEMENT '!B26</f>
        <v>300</v>
      </c>
      <c r="S70" s="166">
        <f t="shared" si="33"/>
        <v>2.67</v>
      </c>
      <c r="T70" s="167">
        <v>0</v>
      </c>
      <c r="U70" s="165">
        <v>0</v>
      </c>
      <c r="V70" s="166">
        <f t="shared" si="34"/>
        <v>0</v>
      </c>
      <c r="W70" s="167">
        <v>0</v>
      </c>
      <c r="X70" s="165">
        <f>'2018-2019 B STATEMENT '!B74</f>
        <v>500</v>
      </c>
      <c r="Y70" s="166">
        <f t="shared" si="35"/>
        <v>4.45</v>
      </c>
      <c r="Z70" s="167">
        <v>0</v>
      </c>
      <c r="AA70" s="165">
        <f>'2018-2019 B STATEMENT '!B107</f>
        <v>1000</v>
      </c>
      <c r="AB70" s="166">
        <f t="shared" si="36"/>
        <v>8.9</v>
      </c>
      <c r="AC70" s="167">
        <v>0</v>
      </c>
      <c r="AD70" s="165">
        <f>'2018-2019 B STATEMENT '!B157</f>
        <v>300</v>
      </c>
      <c r="AE70" s="166">
        <f t="shared" si="37"/>
        <v>2.67</v>
      </c>
      <c r="AF70" s="167">
        <v>0</v>
      </c>
      <c r="AG70" s="165">
        <v>0</v>
      </c>
      <c r="AH70" s="166">
        <f t="shared" si="38"/>
        <v>0</v>
      </c>
      <c r="AI70" s="167">
        <v>0</v>
      </c>
      <c r="AJ70" s="165">
        <v>0</v>
      </c>
      <c r="AK70" s="166">
        <f t="shared" si="39"/>
        <v>0</v>
      </c>
      <c r="AL70" s="167">
        <v>0</v>
      </c>
      <c r="AM70" s="165">
        <f>'2018-2019 B STATEMENT '!B234</f>
        <v>350</v>
      </c>
      <c r="AN70" s="166">
        <f t="shared" si="40"/>
        <v>3.4649999999999999</v>
      </c>
      <c r="AO70" s="167">
        <v>0</v>
      </c>
      <c r="AP70" s="165">
        <v>0</v>
      </c>
      <c r="AQ70" s="166">
        <f t="shared" si="41"/>
        <v>0</v>
      </c>
      <c r="AR70" s="167">
        <v>0</v>
      </c>
      <c r="AS70" s="165">
        <v>0</v>
      </c>
      <c r="AT70" s="166">
        <f t="shared" si="42"/>
        <v>0</v>
      </c>
      <c r="AU70" s="167">
        <v>0</v>
      </c>
      <c r="AV70" s="165">
        <v>0</v>
      </c>
      <c r="AW70" s="166">
        <f t="shared" si="43"/>
        <v>0</v>
      </c>
      <c r="AX70" s="167">
        <v>0</v>
      </c>
      <c r="AY70" s="87">
        <f t="shared" si="22"/>
        <v>2450</v>
      </c>
    </row>
    <row r="71" spans="1:51">
      <c r="A71" s="10" t="s">
        <v>642</v>
      </c>
      <c r="B71" s="10" t="s">
        <v>153</v>
      </c>
      <c r="C71" s="156">
        <v>100</v>
      </c>
      <c r="D71" s="157">
        <f t="shared" si="28"/>
        <v>2400</v>
      </c>
      <c r="E71" s="157">
        <v>0</v>
      </c>
      <c r="F71" s="158">
        <f>'Catch up Fee'!D71</f>
        <v>600</v>
      </c>
      <c r="G71" s="157">
        <f t="shared" si="29"/>
        <v>2500</v>
      </c>
      <c r="H71" s="159">
        <f t="shared" si="30"/>
        <v>1200</v>
      </c>
      <c r="I71" s="157">
        <f t="shared" ref="I71:I76" si="44">G71-H71</f>
        <v>1300</v>
      </c>
      <c r="J71" s="157">
        <f t="shared" si="31"/>
        <v>1300</v>
      </c>
      <c r="K71" s="157">
        <f t="shared" si="27"/>
        <v>11.879999999999999</v>
      </c>
      <c r="L71" s="157">
        <f t="shared" si="20"/>
        <v>59.846599999999995</v>
      </c>
      <c r="M71" s="157">
        <v>0</v>
      </c>
      <c r="N71" s="157">
        <f t="shared" si="21"/>
        <v>1247.9666</v>
      </c>
      <c r="O71" s="165">
        <v>0</v>
      </c>
      <c r="P71" s="166">
        <f t="shared" si="32"/>
        <v>0</v>
      </c>
      <c r="Q71" s="167">
        <v>0</v>
      </c>
      <c r="R71" s="165">
        <v>0</v>
      </c>
      <c r="S71" s="166">
        <f t="shared" si="33"/>
        <v>0</v>
      </c>
      <c r="T71" s="167">
        <v>0</v>
      </c>
      <c r="U71" s="165">
        <v>0</v>
      </c>
      <c r="V71" s="166">
        <f t="shared" si="34"/>
        <v>0</v>
      </c>
      <c r="W71" s="167">
        <v>0</v>
      </c>
      <c r="X71" s="165">
        <v>0</v>
      </c>
      <c r="Y71" s="166">
        <f t="shared" si="35"/>
        <v>0</v>
      </c>
      <c r="Z71" s="167">
        <v>0</v>
      </c>
      <c r="AA71" s="165">
        <v>0</v>
      </c>
      <c r="AB71" s="166">
        <f t="shared" si="36"/>
        <v>0</v>
      </c>
      <c r="AC71" s="167">
        <v>0</v>
      </c>
      <c r="AD71" s="165">
        <v>0</v>
      </c>
      <c r="AE71" s="166">
        <f t="shared" si="37"/>
        <v>0</v>
      </c>
      <c r="AF71" s="167">
        <v>0</v>
      </c>
      <c r="AG71" s="165">
        <v>0</v>
      </c>
      <c r="AH71" s="166">
        <f t="shared" si="38"/>
        <v>0</v>
      </c>
      <c r="AI71" s="167">
        <v>0</v>
      </c>
      <c r="AJ71" s="165">
        <v>0</v>
      </c>
      <c r="AK71" s="166">
        <f t="shared" si="39"/>
        <v>0</v>
      </c>
      <c r="AL71" s="167">
        <v>0</v>
      </c>
      <c r="AM71" s="165">
        <f>'2018-2019 B STATEMENT '!B222</f>
        <v>300</v>
      </c>
      <c r="AN71" s="166">
        <f t="shared" si="40"/>
        <v>2.9699999999999998</v>
      </c>
      <c r="AO71" s="167">
        <v>0</v>
      </c>
      <c r="AP71" s="165">
        <f>'2018-2019 B STATEMENT '!B254</f>
        <v>300</v>
      </c>
      <c r="AQ71" s="166">
        <f t="shared" si="41"/>
        <v>2.9699999999999998</v>
      </c>
      <c r="AR71" s="167">
        <v>0</v>
      </c>
      <c r="AS71" s="165">
        <f>'2018-2019 B STATEMENT '!B282</f>
        <v>300</v>
      </c>
      <c r="AT71" s="166">
        <f t="shared" si="42"/>
        <v>2.9699999999999998</v>
      </c>
      <c r="AU71" s="167">
        <v>0</v>
      </c>
      <c r="AV71" s="165">
        <f>'2018-2019 B STATEMENT '!B305</f>
        <v>300</v>
      </c>
      <c r="AW71" s="166">
        <f t="shared" si="43"/>
        <v>2.9699999999999998</v>
      </c>
      <c r="AX71" s="167">
        <v>0</v>
      </c>
      <c r="AY71" s="87">
        <f t="shared" si="22"/>
        <v>1200</v>
      </c>
    </row>
    <row r="72" spans="1:51">
      <c r="A72" s="46" t="s">
        <v>643</v>
      </c>
      <c r="B72" s="10" t="s">
        <v>122</v>
      </c>
      <c r="C72" s="156">
        <v>100</v>
      </c>
      <c r="D72" s="157">
        <f t="shared" si="28"/>
        <v>2400</v>
      </c>
      <c r="E72" s="157">
        <v>0</v>
      </c>
      <c r="F72" s="158">
        <f>'Catch up Fee'!D72</f>
        <v>200</v>
      </c>
      <c r="G72" s="157">
        <f t="shared" si="29"/>
        <v>2500</v>
      </c>
      <c r="H72" s="159">
        <f t="shared" si="30"/>
        <v>0</v>
      </c>
      <c r="I72" s="157">
        <f t="shared" si="44"/>
        <v>2500</v>
      </c>
      <c r="J72" s="157">
        <f t="shared" si="31"/>
        <v>2500</v>
      </c>
      <c r="K72" s="157">
        <f t="shared" si="27"/>
        <v>0</v>
      </c>
      <c r="L72" s="157">
        <f t="shared" ref="L72:L90" si="45">(H72-K72-C72)*5.5%</f>
        <v>-5.5</v>
      </c>
      <c r="M72" s="157">
        <v>0</v>
      </c>
      <c r="N72" s="157">
        <f t="shared" ref="N72:N90" si="46">H72-K72-M72+L72</f>
        <v>-5.5</v>
      </c>
      <c r="O72" s="165">
        <v>0</v>
      </c>
      <c r="P72" s="166">
        <f t="shared" si="32"/>
        <v>0</v>
      </c>
      <c r="Q72" s="167">
        <v>0</v>
      </c>
      <c r="R72" s="165">
        <v>0</v>
      </c>
      <c r="S72" s="166">
        <f t="shared" si="33"/>
        <v>0</v>
      </c>
      <c r="T72" s="167">
        <v>0</v>
      </c>
      <c r="U72" s="165">
        <v>0</v>
      </c>
      <c r="V72" s="166">
        <f t="shared" si="34"/>
        <v>0</v>
      </c>
      <c r="W72" s="167">
        <v>0</v>
      </c>
      <c r="X72" s="165">
        <v>0</v>
      </c>
      <c r="Y72" s="166">
        <f t="shared" si="35"/>
        <v>0</v>
      </c>
      <c r="Z72" s="167">
        <v>0</v>
      </c>
      <c r="AA72" s="165">
        <v>0</v>
      </c>
      <c r="AB72" s="166">
        <f t="shared" si="36"/>
        <v>0</v>
      </c>
      <c r="AC72" s="167">
        <v>0</v>
      </c>
      <c r="AD72" s="165">
        <v>0</v>
      </c>
      <c r="AE72" s="166">
        <f t="shared" si="37"/>
        <v>0</v>
      </c>
      <c r="AF72" s="167">
        <v>0</v>
      </c>
      <c r="AG72" s="165">
        <v>0</v>
      </c>
      <c r="AH72" s="166">
        <f t="shared" si="38"/>
        <v>0</v>
      </c>
      <c r="AI72" s="167">
        <v>0</v>
      </c>
      <c r="AJ72" s="165">
        <v>0</v>
      </c>
      <c r="AK72" s="166">
        <f t="shared" si="39"/>
        <v>0</v>
      </c>
      <c r="AL72" s="167">
        <v>0</v>
      </c>
      <c r="AM72" s="165">
        <v>0</v>
      </c>
      <c r="AN72" s="166">
        <f t="shared" si="40"/>
        <v>0</v>
      </c>
      <c r="AO72" s="167">
        <v>0</v>
      </c>
      <c r="AP72" s="165">
        <v>0</v>
      </c>
      <c r="AQ72" s="166">
        <f t="shared" si="41"/>
        <v>0</v>
      </c>
      <c r="AR72" s="167">
        <v>0</v>
      </c>
      <c r="AS72" s="165">
        <v>0</v>
      </c>
      <c r="AT72" s="166">
        <f t="shared" si="42"/>
        <v>0</v>
      </c>
      <c r="AU72" s="167">
        <v>0</v>
      </c>
      <c r="AV72" s="165">
        <v>0</v>
      </c>
      <c r="AW72" s="166">
        <f t="shared" si="43"/>
        <v>0</v>
      </c>
      <c r="AX72" s="167">
        <v>0</v>
      </c>
      <c r="AY72" s="87">
        <f t="shared" ref="AY72:AY90" si="47">O72+R72+U72+X72+AA72+AD72+AJ72+AG72+AM72+AP72+AS72+AV72</f>
        <v>0</v>
      </c>
    </row>
    <row r="73" spans="1:51">
      <c r="A73" s="10" t="s">
        <v>644</v>
      </c>
      <c r="B73" s="10" t="s">
        <v>129</v>
      </c>
      <c r="C73" s="156">
        <v>100</v>
      </c>
      <c r="D73" s="157">
        <f t="shared" si="28"/>
        <v>2400</v>
      </c>
      <c r="E73" s="157">
        <v>0</v>
      </c>
      <c r="F73" s="158">
        <f>'Catch up Fee'!D73</f>
        <v>200</v>
      </c>
      <c r="G73" s="157">
        <f t="shared" si="29"/>
        <v>2500</v>
      </c>
      <c r="H73" s="159">
        <f t="shared" si="30"/>
        <v>2300</v>
      </c>
      <c r="I73" s="157">
        <f t="shared" si="44"/>
        <v>200</v>
      </c>
      <c r="J73" s="157">
        <f t="shared" si="31"/>
        <v>200</v>
      </c>
      <c r="K73" s="157">
        <f t="shared" si="27"/>
        <v>21.27</v>
      </c>
      <c r="L73" s="157">
        <f t="shared" si="45"/>
        <v>119.83015</v>
      </c>
      <c r="M73" s="157">
        <v>0</v>
      </c>
      <c r="N73" s="157">
        <f t="shared" si="46"/>
        <v>2398.5601500000002</v>
      </c>
      <c r="O73" s="165">
        <v>0</v>
      </c>
      <c r="P73" s="166">
        <f t="shared" si="32"/>
        <v>0</v>
      </c>
      <c r="Q73" s="167">
        <v>0</v>
      </c>
      <c r="R73" s="165">
        <v>0</v>
      </c>
      <c r="S73" s="166">
        <f t="shared" si="33"/>
        <v>0</v>
      </c>
      <c r="T73" s="167">
        <v>0</v>
      </c>
      <c r="U73" s="165">
        <f>'2018-2019 B STATEMENT '!B51</f>
        <v>300</v>
      </c>
      <c r="V73" s="166">
        <f t="shared" si="34"/>
        <v>2.67</v>
      </c>
      <c r="W73" s="167">
        <v>0</v>
      </c>
      <c r="X73" s="165">
        <f>'2018-2019 B STATEMENT '!B91</f>
        <v>400</v>
      </c>
      <c r="Y73" s="166">
        <f t="shared" si="35"/>
        <v>3.56</v>
      </c>
      <c r="Z73" s="167">
        <v>0</v>
      </c>
      <c r="AA73" s="165">
        <f>'2018-2019 B STATEMENT '!B123</f>
        <v>200</v>
      </c>
      <c r="AB73" s="166">
        <f t="shared" si="36"/>
        <v>1.78</v>
      </c>
      <c r="AC73" s="167">
        <v>0</v>
      </c>
      <c r="AD73" s="165">
        <f>'2018-2019 B STATEMENT '!B152</f>
        <v>200</v>
      </c>
      <c r="AE73" s="166">
        <f t="shared" si="37"/>
        <v>1.78</v>
      </c>
      <c r="AF73" s="167">
        <v>0</v>
      </c>
      <c r="AG73" s="165">
        <f>'2018-2019 B STATEMENT '!B179</f>
        <v>200</v>
      </c>
      <c r="AH73" s="166">
        <f t="shared" si="38"/>
        <v>1.78</v>
      </c>
      <c r="AI73" s="167">
        <v>0</v>
      </c>
      <c r="AJ73" s="165">
        <f>'2018-2019 B STATEMENT '!B194</f>
        <v>200</v>
      </c>
      <c r="AK73" s="166">
        <f t="shared" si="39"/>
        <v>1.78</v>
      </c>
      <c r="AL73" s="167">
        <v>0</v>
      </c>
      <c r="AM73" s="165">
        <f>'2018-2019 B STATEMENT '!B223</f>
        <v>200</v>
      </c>
      <c r="AN73" s="166">
        <f t="shared" si="40"/>
        <v>1.9799999999999998</v>
      </c>
      <c r="AO73" s="167">
        <v>0</v>
      </c>
      <c r="AP73" s="165">
        <f>'2018-2019 B STATEMENT '!B251</f>
        <v>200</v>
      </c>
      <c r="AQ73" s="166">
        <f t="shared" si="41"/>
        <v>1.9799999999999998</v>
      </c>
      <c r="AR73" s="167">
        <v>0</v>
      </c>
      <c r="AS73" s="165">
        <f>'2018-2019 B STATEMENT '!B277</f>
        <v>200</v>
      </c>
      <c r="AT73" s="166">
        <f t="shared" si="42"/>
        <v>1.9799999999999998</v>
      </c>
      <c r="AU73" s="167">
        <v>0</v>
      </c>
      <c r="AV73" s="165">
        <f>'2018-2019 B STATEMENT '!B306</f>
        <v>200</v>
      </c>
      <c r="AW73" s="166">
        <f t="shared" si="43"/>
        <v>1.9799999999999998</v>
      </c>
      <c r="AX73" s="167">
        <v>0</v>
      </c>
      <c r="AY73" s="87">
        <f t="shared" si="47"/>
        <v>2300</v>
      </c>
    </row>
    <row r="74" spans="1:51">
      <c r="A74" s="46" t="s">
        <v>645</v>
      </c>
      <c r="B74" s="10" t="s">
        <v>130</v>
      </c>
      <c r="C74" s="156">
        <v>100</v>
      </c>
      <c r="D74" s="157">
        <f t="shared" si="28"/>
        <v>2400</v>
      </c>
      <c r="E74" s="157">
        <v>0</v>
      </c>
      <c r="F74" s="158">
        <f>'Catch up Fee'!D74</f>
        <v>400</v>
      </c>
      <c r="G74" s="157">
        <f t="shared" si="29"/>
        <v>2500</v>
      </c>
      <c r="H74" s="159">
        <f t="shared" si="30"/>
        <v>2500</v>
      </c>
      <c r="I74" s="157">
        <f t="shared" si="44"/>
        <v>0</v>
      </c>
      <c r="J74" s="157">
        <f t="shared" si="31"/>
        <v>0</v>
      </c>
      <c r="K74" s="157">
        <f t="shared" si="27"/>
        <v>23.05</v>
      </c>
      <c r="L74" s="157">
        <f t="shared" si="45"/>
        <v>130.73224999999999</v>
      </c>
      <c r="M74" s="157">
        <v>0</v>
      </c>
      <c r="N74" s="157">
        <f t="shared" si="46"/>
        <v>2607.6822499999998</v>
      </c>
      <c r="O74" s="165">
        <v>0</v>
      </c>
      <c r="P74" s="166">
        <f t="shared" si="32"/>
        <v>0</v>
      </c>
      <c r="Q74" s="167">
        <v>0</v>
      </c>
      <c r="R74" s="165">
        <v>0</v>
      </c>
      <c r="S74" s="166">
        <f t="shared" si="33"/>
        <v>0</v>
      </c>
      <c r="T74" s="167">
        <v>0</v>
      </c>
      <c r="U74" s="165">
        <v>0</v>
      </c>
      <c r="V74" s="166">
        <f t="shared" si="34"/>
        <v>0</v>
      </c>
      <c r="W74" s="167">
        <v>0</v>
      </c>
      <c r="X74" s="165">
        <f>'2018-2019 B STATEMENT '!B114</f>
        <v>900</v>
      </c>
      <c r="Y74" s="166">
        <f t="shared" si="35"/>
        <v>8.01</v>
      </c>
      <c r="Z74" s="167">
        <v>0</v>
      </c>
      <c r="AA74" s="165">
        <v>0</v>
      </c>
      <c r="AB74" s="166">
        <f t="shared" si="36"/>
        <v>0</v>
      </c>
      <c r="AC74" s="167">
        <v>0</v>
      </c>
      <c r="AD74" s="165">
        <f>'2018-2019 B STATEMENT '!B158</f>
        <v>200</v>
      </c>
      <c r="AE74" s="166">
        <f t="shared" si="37"/>
        <v>1.78</v>
      </c>
      <c r="AF74" s="167">
        <v>0</v>
      </c>
      <c r="AG74" s="165">
        <f>'2018-2019 B STATEMENT '!B167+'2018-2019 B STATEMENT '!B168</f>
        <v>400</v>
      </c>
      <c r="AH74" s="166">
        <f t="shared" si="38"/>
        <v>3.56</v>
      </c>
      <c r="AI74" s="167">
        <v>0</v>
      </c>
      <c r="AJ74" s="165">
        <f>'2018-2019 B STATEMENT '!B195</f>
        <v>200</v>
      </c>
      <c r="AK74" s="166">
        <f t="shared" si="39"/>
        <v>1.78</v>
      </c>
      <c r="AL74" s="167">
        <v>0</v>
      </c>
      <c r="AM74" s="165">
        <f>'2018-2019 B STATEMENT '!B219</f>
        <v>200</v>
      </c>
      <c r="AN74" s="166">
        <f t="shared" si="40"/>
        <v>1.9799999999999998</v>
      </c>
      <c r="AO74" s="167">
        <v>0</v>
      </c>
      <c r="AP74" s="165">
        <f>'2018-2019 B STATEMENT '!B265</f>
        <v>200</v>
      </c>
      <c r="AQ74" s="166">
        <f t="shared" si="41"/>
        <v>1.9799999999999998</v>
      </c>
      <c r="AR74" s="167">
        <v>0</v>
      </c>
      <c r="AS74" s="165">
        <f>'2018-2019 B STATEMENT '!B278</f>
        <v>200</v>
      </c>
      <c r="AT74" s="166">
        <f t="shared" si="42"/>
        <v>1.9799999999999998</v>
      </c>
      <c r="AU74" s="167">
        <v>0</v>
      </c>
      <c r="AV74" s="165">
        <f>'2018-2019 B STATEMENT '!B303</f>
        <v>200</v>
      </c>
      <c r="AW74" s="166">
        <f t="shared" si="43"/>
        <v>1.9799999999999998</v>
      </c>
      <c r="AX74" s="167">
        <v>0</v>
      </c>
      <c r="AY74" s="87">
        <f t="shared" si="47"/>
        <v>2500</v>
      </c>
    </row>
    <row r="75" spans="1:51">
      <c r="A75" s="10" t="s">
        <v>646</v>
      </c>
      <c r="B75" s="10" t="s">
        <v>125</v>
      </c>
      <c r="C75" s="156">
        <v>100</v>
      </c>
      <c r="D75" s="157">
        <f t="shared" si="28"/>
        <v>2400</v>
      </c>
      <c r="E75" s="157">
        <v>0</v>
      </c>
      <c r="F75" s="158">
        <f>'Catch up Fee'!D75</f>
        <v>200</v>
      </c>
      <c r="G75" s="157">
        <f t="shared" si="29"/>
        <v>2500</v>
      </c>
      <c r="H75" s="159">
        <f t="shared" si="30"/>
        <v>1800</v>
      </c>
      <c r="I75" s="157">
        <f t="shared" si="44"/>
        <v>700</v>
      </c>
      <c r="J75" s="157">
        <f t="shared" si="31"/>
        <v>700</v>
      </c>
      <c r="K75" s="157">
        <f t="shared" si="27"/>
        <v>16.72</v>
      </c>
      <c r="L75" s="157">
        <f t="shared" si="45"/>
        <v>92.580399999999997</v>
      </c>
      <c r="M75" s="157">
        <v>0</v>
      </c>
      <c r="N75" s="157">
        <f t="shared" si="46"/>
        <v>1875.8604</v>
      </c>
      <c r="O75" s="165">
        <v>0</v>
      </c>
      <c r="P75" s="166">
        <f t="shared" si="32"/>
        <v>0</v>
      </c>
      <c r="Q75" s="167">
        <v>0</v>
      </c>
      <c r="R75" s="165">
        <v>0</v>
      </c>
      <c r="S75" s="166">
        <f t="shared" si="33"/>
        <v>0</v>
      </c>
      <c r="T75" s="167">
        <v>0</v>
      </c>
      <c r="U75" s="165">
        <v>0</v>
      </c>
      <c r="V75" s="166">
        <f t="shared" si="34"/>
        <v>0</v>
      </c>
      <c r="W75" s="167">
        <v>0</v>
      </c>
      <c r="X75" s="165">
        <f>'2018-2019 B STATEMENT '!B82</f>
        <v>300</v>
      </c>
      <c r="Y75" s="166">
        <f t="shared" si="35"/>
        <v>2.67</v>
      </c>
      <c r="Z75" s="167">
        <v>0</v>
      </c>
      <c r="AA75" s="165">
        <v>0</v>
      </c>
      <c r="AB75" s="166">
        <f t="shared" si="36"/>
        <v>0</v>
      </c>
      <c r="AC75" s="167">
        <v>0</v>
      </c>
      <c r="AD75" s="165">
        <v>0</v>
      </c>
      <c r="AE75" s="166">
        <f t="shared" si="37"/>
        <v>0</v>
      </c>
      <c r="AF75" s="167">
        <v>0</v>
      </c>
      <c r="AG75" s="165">
        <v>0</v>
      </c>
      <c r="AH75" s="166">
        <f t="shared" si="38"/>
        <v>0</v>
      </c>
      <c r="AI75" s="167">
        <v>0</v>
      </c>
      <c r="AJ75" s="165">
        <f>'2018-2019 B STATEMENT '!B196</f>
        <v>800</v>
      </c>
      <c r="AK75" s="166">
        <f t="shared" si="39"/>
        <v>7.12</v>
      </c>
      <c r="AL75" s="167">
        <v>0</v>
      </c>
      <c r="AM75" s="165">
        <v>0</v>
      </c>
      <c r="AN75" s="166">
        <f t="shared" si="40"/>
        <v>0</v>
      </c>
      <c r="AO75" s="167">
        <v>0</v>
      </c>
      <c r="AP75" s="165">
        <f>'2018-2019 B STATEMENT '!B240+'2018-2019 B STATEMENT '!B256</f>
        <v>700</v>
      </c>
      <c r="AQ75" s="166">
        <f t="shared" si="41"/>
        <v>6.93</v>
      </c>
      <c r="AR75" s="167">
        <v>0</v>
      </c>
      <c r="AS75" s="165"/>
      <c r="AT75" s="166">
        <f t="shared" si="42"/>
        <v>0</v>
      </c>
      <c r="AU75" s="167">
        <v>0</v>
      </c>
      <c r="AV75" s="165">
        <v>0</v>
      </c>
      <c r="AW75" s="166">
        <f t="shared" si="43"/>
        <v>0</v>
      </c>
      <c r="AX75" s="167">
        <v>0</v>
      </c>
      <c r="AY75" s="87">
        <f t="shared" si="47"/>
        <v>1800</v>
      </c>
    </row>
    <row r="76" spans="1:51">
      <c r="A76" s="46" t="s">
        <v>647</v>
      </c>
      <c r="B76" s="10" t="s">
        <v>131</v>
      </c>
      <c r="C76" s="156">
        <v>100</v>
      </c>
      <c r="D76" s="157">
        <f t="shared" si="28"/>
        <v>2400</v>
      </c>
      <c r="E76" s="157">
        <v>0</v>
      </c>
      <c r="F76" s="158">
        <f>'Catch up Fee'!D76</f>
        <v>200</v>
      </c>
      <c r="G76" s="157">
        <f t="shared" si="29"/>
        <v>2500</v>
      </c>
      <c r="H76" s="159">
        <f t="shared" si="30"/>
        <v>1900</v>
      </c>
      <c r="I76" s="157">
        <f t="shared" si="44"/>
        <v>600</v>
      </c>
      <c r="J76" s="157">
        <f t="shared" si="31"/>
        <v>600</v>
      </c>
      <c r="K76" s="157">
        <f t="shared" si="27"/>
        <v>17.11</v>
      </c>
      <c r="L76" s="157">
        <f t="shared" si="45"/>
        <v>98.05895000000001</v>
      </c>
      <c r="M76" s="157">
        <v>0</v>
      </c>
      <c r="N76" s="157">
        <f t="shared" si="46"/>
        <v>1980.9489500000002</v>
      </c>
      <c r="O76" s="165">
        <v>0</v>
      </c>
      <c r="P76" s="166">
        <f t="shared" si="32"/>
        <v>0</v>
      </c>
      <c r="Q76" s="167">
        <v>0</v>
      </c>
      <c r="R76" s="165">
        <v>0</v>
      </c>
      <c r="S76" s="166">
        <f t="shared" si="33"/>
        <v>0</v>
      </c>
      <c r="T76" s="167">
        <v>0</v>
      </c>
      <c r="U76" s="165">
        <f>'2018-2019 B STATEMENT '!B45</f>
        <v>500</v>
      </c>
      <c r="V76" s="166">
        <f t="shared" si="34"/>
        <v>4.45</v>
      </c>
      <c r="W76" s="167">
        <v>0</v>
      </c>
      <c r="X76" s="165">
        <f>'2018-2019 B STATEMENT '!B86</f>
        <v>200</v>
      </c>
      <c r="Y76" s="166">
        <f t="shared" si="35"/>
        <v>1.78</v>
      </c>
      <c r="Z76" s="167">
        <v>0</v>
      </c>
      <c r="AA76" s="165">
        <f>'2018-2019 B STATEMENT '!B130</f>
        <v>200</v>
      </c>
      <c r="AB76" s="166">
        <f t="shared" si="36"/>
        <v>1.78</v>
      </c>
      <c r="AC76" s="167">
        <v>0</v>
      </c>
      <c r="AD76" s="165">
        <f>'2018-2019 B STATEMENT '!B145</f>
        <v>200</v>
      </c>
      <c r="AE76" s="166">
        <f t="shared" si="37"/>
        <v>1.78</v>
      </c>
      <c r="AF76" s="167">
        <v>0</v>
      </c>
      <c r="AG76" s="165">
        <f>'2018-2019 B STATEMENT '!B169+'2018-2019 B STATEMENT '!B170</f>
        <v>400</v>
      </c>
      <c r="AH76" s="166">
        <f t="shared" si="38"/>
        <v>3.56</v>
      </c>
      <c r="AI76" s="167">
        <v>0</v>
      </c>
      <c r="AJ76" s="165">
        <f>'2018-2019 B STATEMENT '!B185</f>
        <v>200</v>
      </c>
      <c r="AK76" s="166">
        <f t="shared" si="39"/>
        <v>1.78</v>
      </c>
      <c r="AL76" s="167">
        <v>0</v>
      </c>
      <c r="AM76" s="165">
        <f>'2018-2019 B STATEMENT '!B224</f>
        <v>200</v>
      </c>
      <c r="AN76" s="166">
        <f t="shared" si="40"/>
        <v>1.9799999999999998</v>
      </c>
      <c r="AO76" s="167">
        <v>0</v>
      </c>
      <c r="AP76" s="165">
        <v>0</v>
      </c>
      <c r="AQ76" s="166">
        <f t="shared" si="41"/>
        <v>0</v>
      </c>
      <c r="AR76" s="167">
        <v>0</v>
      </c>
      <c r="AS76" s="165">
        <v>0</v>
      </c>
      <c r="AT76" s="166">
        <f t="shared" si="42"/>
        <v>0</v>
      </c>
      <c r="AU76" s="167">
        <v>0</v>
      </c>
      <c r="AV76" s="165">
        <v>0</v>
      </c>
      <c r="AW76" s="166">
        <f t="shared" si="43"/>
        <v>0</v>
      </c>
      <c r="AX76" s="167">
        <v>0</v>
      </c>
      <c r="AY76" s="87">
        <f t="shared" si="47"/>
        <v>1900</v>
      </c>
    </row>
    <row r="77" spans="1:51">
      <c r="A77" s="10" t="s">
        <v>648</v>
      </c>
      <c r="B77" s="10" t="s">
        <v>116</v>
      </c>
      <c r="C77" s="156">
        <v>100</v>
      </c>
      <c r="D77" s="157">
        <f t="shared" si="28"/>
        <v>2400</v>
      </c>
      <c r="E77" s="157">
        <v>0</v>
      </c>
      <c r="F77" s="158">
        <f>'Catch up Fee'!D77</f>
        <v>0</v>
      </c>
      <c r="G77" s="157">
        <f t="shared" si="29"/>
        <v>2500</v>
      </c>
      <c r="H77" s="159">
        <f t="shared" si="30"/>
        <v>300</v>
      </c>
      <c r="I77" s="157">
        <f>G77-H77-C77</f>
        <v>2100</v>
      </c>
      <c r="J77" s="157">
        <f t="shared" si="31"/>
        <v>2100</v>
      </c>
      <c r="K77" s="157">
        <f t="shared" si="27"/>
        <v>2.67</v>
      </c>
      <c r="L77" s="157">
        <f t="shared" si="45"/>
        <v>10.853149999999999</v>
      </c>
      <c r="M77" s="157">
        <v>0</v>
      </c>
      <c r="N77" s="157">
        <f t="shared" si="46"/>
        <v>308.18314999999996</v>
      </c>
      <c r="O77" s="165">
        <v>0</v>
      </c>
      <c r="P77" s="166">
        <f t="shared" si="32"/>
        <v>0</v>
      </c>
      <c r="Q77" s="167">
        <v>0</v>
      </c>
      <c r="R77" s="165">
        <f>'2018-2019 B STATEMENT '!B9</f>
        <v>300</v>
      </c>
      <c r="S77" s="166">
        <f t="shared" si="33"/>
        <v>2.67</v>
      </c>
      <c r="T77" s="167">
        <v>0</v>
      </c>
      <c r="U77" s="165">
        <v>0</v>
      </c>
      <c r="V77" s="166">
        <f t="shared" si="34"/>
        <v>0</v>
      </c>
      <c r="W77" s="167">
        <v>0</v>
      </c>
      <c r="X77" s="165">
        <v>0</v>
      </c>
      <c r="Y77" s="166">
        <f t="shared" si="35"/>
        <v>0</v>
      </c>
      <c r="Z77" s="167">
        <v>0</v>
      </c>
      <c r="AA77" s="165">
        <v>0</v>
      </c>
      <c r="AB77" s="166">
        <f t="shared" si="36"/>
        <v>0</v>
      </c>
      <c r="AC77" s="167">
        <v>0</v>
      </c>
      <c r="AD77" s="165">
        <v>0</v>
      </c>
      <c r="AE77" s="166">
        <f t="shared" si="37"/>
        <v>0</v>
      </c>
      <c r="AF77" s="167">
        <v>0</v>
      </c>
      <c r="AG77" s="165">
        <v>0</v>
      </c>
      <c r="AH77" s="166">
        <f t="shared" si="38"/>
        <v>0</v>
      </c>
      <c r="AI77" s="167">
        <v>0</v>
      </c>
      <c r="AJ77" s="165">
        <v>0</v>
      </c>
      <c r="AK77" s="166">
        <f t="shared" si="39"/>
        <v>0</v>
      </c>
      <c r="AL77" s="167">
        <v>0</v>
      </c>
      <c r="AM77" s="165">
        <v>0</v>
      </c>
      <c r="AN77" s="166">
        <f t="shared" si="40"/>
        <v>0</v>
      </c>
      <c r="AO77" s="167">
        <v>0</v>
      </c>
      <c r="AP77" s="165">
        <v>0</v>
      </c>
      <c r="AQ77" s="166">
        <f t="shared" si="41"/>
        <v>0</v>
      </c>
      <c r="AR77" s="167">
        <v>0</v>
      </c>
      <c r="AS77" s="165">
        <v>0</v>
      </c>
      <c r="AT77" s="166">
        <f t="shared" si="42"/>
        <v>0</v>
      </c>
      <c r="AU77" s="167">
        <v>0</v>
      </c>
      <c r="AV77" s="165">
        <v>0</v>
      </c>
      <c r="AW77" s="166">
        <f t="shared" si="43"/>
        <v>0</v>
      </c>
      <c r="AX77" s="167">
        <v>0</v>
      </c>
      <c r="AY77" s="87">
        <f t="shared" si="47"/>
        <v>300</v>
      </c>
    </row>
    <row r="78" spans="1:51">
      <c r="A78" s="46" t="s">
        <v>649</v>
      </c>
      <c r="B78" s="10" t="s">
        <v>132</v>
      </c>
      <c r="C78" s="156">
        <v>100</v>
      </c>
      <c r="D78" s="157">
        <f t="shared" si="28"/>
        <v>2400</v>
      </c>
      <c r="E78" s="157">
        <v>0</v>
      </c>
      <c r="F78" s="158">
        <f>'Catch up Fee'!D78</f>
        <v>0</v>
      </c>
      <c r="G78" s="157">
        <f t="shared" si="29"/>
        <v>2500</v>
      </c>
      <c r="H78" s="159">
        <f t="shared" si="30"/>
        <v>2100</v>
      </c>
      <c r="I78" s="157">
        <f>G78-H78-C78</f>
        <v>300</v>
      </c>
      <c r="J78" s="157">
        <f t="shared" si="31"/>
        <v>300</v>
      </c>
      <c r="K78" s="157">
        <f t="shared" si="27"/>
        <v>19.489999999999998</v>
      </c>
      <c r="L78" s="157">
        <f t="shared" si="45"/>
        <v>108.92805000000001</v>
      </c>
      <c r="M78" s="157">
        <v>0</v>
      </c>
      <c r="N78" s="157">
        <f t="shared" si="46"/>
        <v>2189.4380500000002</v>
      </c>
      <c r="O78" s="165">
        <v>0</v>
      </c>
      <c r="P78" s="166">
        <f t="shared" si="32"/>
        <v>0</v>
      </c>
      <c r="Q78" s="167">
        <v>0</v>
      </c>
      <c r="R78" s="165">
        <f>'2018-2019 B STATEMENT '!B29</f>
        <v>300</v>
      </c>
      <c r="S78" s="166">
        <f t="shared" si="33"/>
        <v>2.67</v>
      </c>
      <c r="T78" s="167">
        <v>0</v>
      </c>
      <c r="U78" s="165">
        <f>'2018-2019 B STATEMENT '!B52</f>
        <v>200</v>
      </c>
      <c r="V78" s="166">
        <f t="shared" si="34"/>
        <v>1.78</v>
      </c>
      <c r="W78" s="167">
        <v>0</v>
      </c>
      <c r="X78" s="165">
        <f>'2018-2019 B STATEMENT '!B99</f>
        <v>200</v>
      </c>
      <c r="Y78" s="166">
        <f t="shared" si="35"/>
        <v>1.78</v>
      </c>
      <c r="Z78" s="167">
        <v>0</v>
      </c>
      <c r="AA78" s="165">
        <f>'2018-2019 B STATEMENT '!B124</f>
        <v>200</v>
      </c>
      <c r="AB78" s="166">
        <f t="shared" si="36"/>
        <v>1.78</v>
      </c>
      <c r="AC78" s="167">
        <v>0</v>
      </c>
      <c r="AD78" s="165">
        <f>'2018-2019 B STATEMENT '!B153</f>
        <v>200</v>
      </c>
      <c r="AE78" s="166">
        <f t="shared" si="37"/>
        <v>1.78</v>
      </c>
      <c r="AF78" s="167">
        <v>0</v>
      </c>
      <c r="AG78" s="165">
        <v>0</v>
      </c>
      <c r="AH78" s="166">
        <f t="shared" si="38"/>
        <v>0</v>
      </c>
      <c r="AI78" s="167">
        <v>0</v>
      </c>
      <c r="AJ78" s="165">
        <f>'2018-2019 B STATEMENT '!B197</f>
        <v>200</v>
      </c>
      <c r="AK78" s="166">
        <f t="shared" si="39"/>
        <v>1.78</v>
      </c>
      <c r="AL78" s="167">
        <v>0</v>
      </c>
      <c r="AM78" s="165">
        <f>'2018-2019 B STATEMENT '!B225</f>
        <v>200</v>
      </c>
      <c r="AN78" s="166">
        <f t="shared" si="40"/>
        <v>1.9799999999999998</v>
      </c>
      <c r="AO78" s="167">
        <v>0</v>
      </c>
      <c r="AP78" s="165">
        <f>'2018-2019 B STATEMENT '!B255</f>
        <v>200</v>
      </c>
      <c r="AQ78" s="166">
        <f t="shared" si="41"/>
        <v>1.9799999999999998</v>
      </c>
      <c r="AR78" s="167">
        <v>0</v>
      </c>
      <c r="AS78" s="165">
        <f>'2018-2019 B STATEMENT '!B283</f>
        <v>200</v>
      </c>
      <c r="AT78" s="166">
        <f t="shared" si="42"/>
        <v>1.9799999999999998</v>
      </c>
      <c r="AU78" s="167">
        <v>0</v>
      </c>
      <c r="AV78" s="165">
        <f>'2018-2019 B STATEMENT '!B307</f>
        <v>200</v>
      </c>
      <c r="AW78" s="166">
        <f t="shared" si="43"/>
        <v>1.9799999999999998</v>
      </c>
      <c r="AX78" s="167">
        <v>0</v>
      </c>
      <c r="AY78" s="87">
        <f t="shared" si="47"/>
        <v>2100</v>
      </c>
    </row>
    <row r="79" spans="1:51">
      <c r="A79" s="10" t="s">
        <v>650</v>
      </c>
      <c r="B79" s="10" t="s">
        <v>113</v>
      </c>
      <c r="C79" s="156">
        <v>100</v>
      </c>
      <c r="D79" s="157">
        <f t="shared" si="28"/>
        <v>2400</v>
      </c>
      <c r="E79" s="157">
        <v>0</v>
      </c>
      <c r="F79" s="158">
        <f>'Catch up Fee'!D79</f>
        <v>200</v>
      </c>
      <c r="G79" s="157">
        <f t="shared" si="29"/>
        <v>2500</v>
      </c>
      <c r="H79" s="159">
        <f t="shared" si="30"/>
        <v>800</v>
      </c>
      <c r="I79" s="157">
        <f>G79-H79</f>
        <v>1700</v>
      </c>
      <c r="J79" s="157">
        <f t="shared" si="31"/>
        <v>1700</v>
      </c>
      <c r="K79" s="157">
        <f t="shared" si="27"/>
        <v>7.12</v>
      </c>
      <c r="L79" s="157">
        <f t="shared" si="45"/>
        <v>38.108400000000003</v>
      </c>
      <c r="M79" s="157">
        <v>0</v>
      </c>
      <c r="N79" s="157">
        <f t="shared" si="46"/>
        <v>830.98839999999996</v>
      </c>
      <c r="O79" s="165">
        <v>0</v>
      </c>
      <c r="P79" s="166">
        <f t="shared" si="32"/>
        <v>0</v>
      </c>
      <c r="Q79" s="167">
        <v>0</v>
      </c>
      <c r="R79" s="165">
        <v>0</v>
      </c>
      <c r="S79" s="166">
        <f t="shared" si="33"/>
        <v>0</v>
      </c>
      <c r="T79" s="167">
        <v>0</v>
      </c>
      <c r="U79" s="165">
        <v>0</v>
      </c>
      <c r="V79" s="166">
        <f t="shared" si="34"/>
        <v>0</v>
      </c>
      <c r="W79" s="167">
        <v>0</v>
      </c>
      <c r="X79" s="165">
        <f>'2018-2019 B STATEMENT '!B75</f>
        <v>200</v>
      </c>
      <c r="Y79" s="166">
        <f t="shared" si="35"/>
        <v>1.78</v>
      </c>
      <c r="Z79" s="167">
        <v>0</v>
      </c>
      <c r="AA79" s="165">
        <f>'2018-2019 B STATEMENT '!B131</f>
        <v>200</v>
      </c>
      <c r="AB79" s="166">
        <f t="shared" si="36"/>
        <v>1.78</v>
      </c>
      <c r="AC79" s="167">
        <v>0</v>
      </c>
      <c r="AD79" s="165">
        <v>0</v>
      </c>
      <c r="AE79" s="166">
        <f t="shared" si="37"/>
        <v>0</v>
      </c>
      <c r="AF79" s="167">
        <v>0</v>
      </c>
      <c r="AG79" s="165">
        <f>'2018-2019 B STATEMENT '!B180</f>
        <v>400</v>
      </c>
      <c r="AH79" s="166">
        <f t="shared" si="38"/>
        <v>3.56</v>
      </c>
      <c r="AI79" s="167">
        <v>0</v>
      </c>
      <c r="AJ79" s="165">
        <v>0</v>
      </c>
      <c r="AK79" s="166">
        <f t="shared" si="39"/>
        <v>0</v>
      </c>
      <c r="AL79" s="167">
        <v>0</v>
      </c>
      <c r="AM79" s="165">
        <v>0</v>
      </c>
      <c r="AN79" s="166">
        <f t="shared" si="40"/>
        <v>0</v>
      </c>
      <c r="AO79" s="167">
        <v>0</v>
      </c>
      <c r="AP79" s="165">
        <v>0</v>
      </c>
      <c r="AQ79" s="166">
        <f t="shared" si="41"/>
        <v>0</v>
      </c>
      <c r="AR79" s="167">
        <v>0</v>
      </c>
      <c r="AS79" s="165">
        <v>0</v>
      </c>
      <c r="AT79" s="166">
        <f t="shared" si="42"/>
        <v>0</v>
      </c>
      <c r="AU79" s="167">
        <v>0</v>
      </c>
      <c r="AV79" s="165">
        <v>0</v>
      </c>
      <c r="AW79" s="166">
        <f t="shared" si="43"/>
        <v>0</v>
      </c>
      <c r="AX79" s="167">
        <v>0</v>
      </c>
      <c r="AY79" s="87">
        <f t="shared" si="47"/>
        <v>800</v>
      </c>
    </row>
    <row r="80" spans="1:51">
      <c r="A80" s="46" t="s">
        <v>651</v>
      </c>
      <c r="B80" s="10" t="s">
        <v>124</v>
      </c>
      <c r="C80" s="156">
        <v>100</v>
      </c>
      <c r="D80" s="157">
        <f t="shared" si="28"/>
        <v>2400</v>
      </c>
      <c r="E80" s="157">
        <v>0</v>
      </c>
      <c r="F80" s="158">
        <f>'Catch up Fee'!D80</f>
        <v>0</v>
      </c>
      <c r="G80" s="157">
        <f t="shared" si="29"/>
        <v>2500</v>
      </c>
      <c r="H80" s="159">
        <f t="shared" si="30"/>
        <v>1900</v>
      </c>
      <c r="I80" s="157">
        <f>G80-H80-C80</f>
        <v>500</v>
      </c>
      <c r="J80" s="157">
        <f t="shared" si="31"/>
        <v>500</v>
      </c>
      <c r="K80" s="157">
        <f t="shared" si="27"/>
        <v>17.61</v>
      </c>
      <c r="L80" s="157">
        <f t="shared" si="45"/>
        <v>98.031450000000007</v>
      </c>
      <c r="M80" s="157">
        <v>0</v>
      </c>
      <c r="N80" s="157">
        <f t="shared" si="46"/>
        <v>1980.42145</v>
      </c>
      <c r="O80" s="165">
        <v>0</v>
      </c>
      <c r="P80" s="166">
        <f t="shared" si="32"/>
        <v>0</v>
      </c>
      <c r="Q80" s="167">
        <v>0</v>
      </c>
      <c r="R80" s="165">
        <v>0</v>
      </c>
      <c r="S80" s="166">
        <f t="shared" si="33"/>
        <v>0</v>
      </c>
      <c r="T80" s="167">
        <v>0</v>
      </c>
      <c r="U80" s="165">
        <f>'2018-2019 B STATEMENT '!B35</f>
        <v>300</v>
      </c>
      <c r="V80" s="166">
        <f t="shared" si="34"/>
        <v>2.67</v>
      </c>
      <c r="W80" s="167">
        <v>0</v>
      </c>
      <c r="X80" s="165">
        <f>'2018-2019 B STATEMENT '!B84</f>
        <v>200</v>
      </c>
      <c r="Y80" s="166">
        <f t="shared" si="35"/>
        <v>1.78</v>
      </c>
      <c r="Z80" s="167">
        <v>0</v>
      </c>
      <c r="AA80" s="165">
        <v>0</v>
      </c>
      <c r="AB80" s="166">
        <f t="shared" si="36"/>
        <v>0</v>
      </c>
      <c r="AC80" s="167">
        <v>0</v>
      </c>
      <c r="AD80" s="165">
        <v>0</v>
      </c>
      <c r="AE80" s="166">
        <f t="shared" si="37"/>
        <v>0</v>
      </c>
      <c r="AF80" s="167">
        <v>0</v>
      </c>
      <c r="AG80" s="165">
        <f>'2018-2019 B STATEMENT '!B161</f>
        <v>400</v>
      </c>
      <c r="AH80" s="166">
        <f t="shared" si="38"/>
        <v>3.56</v>
      </c>
      <c r="AI80" s="167">
        <v>0</v>
      </c>
      <c r="AJ80" s="165">
        <f>'2018-2019 B STATEMENT '!B187</f>
        <v>300</v>
      </c>
      <c r="AK80" s="166">
        <f t="shared" si="39"/>
        <v>2.67</v>
      </c>
      <c r="AL80" s="167">
        <v>0</v>
      </c>
      <c r="AM80" s="165">
        <v>0</v>
      </c>
      <c r="AN80" s="166">
        <f t="shared" si="40"/>
        <v>0</v>
      </c>
      <c r="AO80" s="167">
        <v>0</v>
      </c>
      <c r="AP80" s="165">
        <v>0</v>
      </c>
      <c r="AQ80" s="166">
        <f t="shared" si="41"/>
        <v>0</v>
      </c>
      <c r="AR80" s="167">
        <v>0</v>
      </c>
      <c r="AS80" s="165">
        <f>'2018-2019 B STATEMENT '!B272</f>
        <v>200</v>
      </c>
      <c r="AT80" s="166">
        <f t="shared" si="42"/>
        <v>1.9799999999999998</v>
      </c>
      <c r="AU80" s="167">
        <v>0</v>
      </c>
      <c r="AV80" s="165">
        <f>'2018-2019 B STATEMENT '!B317</f>
        <v>500</v>
      </c>
      <c r="AW80" s="166">
        <f t="shared" si="43"/>
        <v>4.9499999999999993</v>
      </c>
      <c r="AX80" s="167">
        <v>0</v>
      </c>
      <c r="AY80" s="87">
        <f t="shared" si="47"/>
        <v>1900</v>
      </c>
    </row>
    <row r="81" spans="1:51">
      <c r="A81" s="10" t="s">
        <v>652</v>
      </c>
      <c r="B81" s="10" t="s">
        <v>149</v>
      </c>
      <c r="C81" s="156">
        <v>100</v>
      </c>
      <c r="D81" s="157">
        <f t="shared" si="28"/>
        <v>2400</v>
      </c>
      <c r="E81" s="157">
        <v>0</v>
      </c>
      <c r="F81" s="158">
        <f>'Catch up Fee'!D81</f>
        <v>600</v>
      </c>
      <c r="G81" s="157">
        <f t="shared" si="29"/>
        <v>2500</v>
      </c>
      <c r="H81" s="159">
        <f t="shared" si="30"/>
        <v>2500</v>
      </c>
      <c r="I81" s="157">
        <f>G81-H81</f>
        <v>0</v>
      </c>
      <c r="J81" s="157">
        <f t="shared" si="31"/>
        <v>0</v>
      </c>
      <c r="K81" s="157">
        <f t="shared" si="27"/>
        <v>23.25</v>
      </c>
      <c r="L81" s="157">
        <f t="shared" si="45"/>
        <v>130.72125</v>
      </c>
      <c r="M81" s="157">
        <v>0</v>
      </c>
      <c r="N81" s="157">
        <f t="shared" si="46"/>
        <v>2607.4712500000001</v>
      </c>
      <c r="O81" s="165">
        <v>0</v>
      </c>
      <c r="P81" s="166">
        <f t="shared" si="32"/>
        <v>0</v>
      </c>
      <c r="Q81" s="167">
        <v>0</v>
      </c>
      <c r="R81" s="165">
        <v>0</v>
      </c>
      <c r="S81" s="166">
        <f t="shared" si="33"/>
        <v>0</v>
      </c>
      <c r="T81" s="167">
        <v>0</v>
      </c>
      <c r="U81" s="165">
        <v>0</v>
      </c>
      <c r="V81" s="166">
        <f t="shared" si="34"/>
        <v>0</v>
      </c>
      <c r="W81" s="167">
        <v>0</v>
      </c>
      <c r="X81" s="165">
        <v>0</v>
      </c>
      <c r="Y81" s="166">
        <f t="shared" si="35"/>
        <v>0</v>
      </c>
      <c r="Z81" s="167">
        <v>0</v>
      </c>
      <c r="AA81" s="165">
        <v>0</v>
      </c>
      <c r="AB81" s="166">
        <f t="shared" si="36"/>
        <v>0</v>
      </c>
      <c r="AC81" s="167">
        <v>0</v>
      </c>
      <c r="AD81" s="165">
        <f>'2018-2019 B STATEMENT '!B138+'2018-2019 B STATEMENT '!B139</f>
        <v>1100</v>
      </c>
      <c r="AE81" s="166">
        <f t="shared" si="37"/>
        <v>9.7899999999999991</v>
      </c>
      <c r="AF81" s="167">
        <v>0</v>
      </c>
      <c r="AG81" s="165">
        <f>'2018-2019 B STATEMENT '!B181</f>
        <v>200</v>
      </c>
      <c r="AH81" s="166">
        <f t="shared" si="38"/>
        <v>1.78</v>
      </c>
      <c r="AI81" s="167">
        <v>0</v>
      </c>
      <c r="AJ81" s="165">
        <f>'2018-2019 B STATEMENT '!B203</f>
        <v>200</v>
      </c>
      <c r="AK81" s="166">
        <f t="shared" si="39"/>
        <v>1.78</v>
      </c>
      <c r="AL81" s="167">
        <v>0</v>
      </c>
      <c r="AM81" s="165">
        <f>'2018-2019 B STATEMENT '!B237</f>
        <v>200</v>
      </c>
      <c r="AN81" s="166">
        <f t="shared" si="40"/>
        <v>1.9799999999999998</v>
      </c>
      <c r="AO81" s="167">
        <v>0</v>
      </c>
      <c r="AP81" s="165">
        <f>'2018-2019 B STATEMENT '!B266</f>
        <v>200</v>
      </c>
      <c r="AQ81" s="166">
        <f t="shared" si="41"/>
        <v>1.9799999999999998</v>
      </c>
      <c r="AR81" s="167">
        <v>0</v>
      </c>
      <c r="AS81" s="165">
        <f>'2018-2019 B STATEMENT '!B287</f>
        <v>200</v>
      </c>
      <c r="AT81" s="166">
        <f t="shared" si="42"/>
        <v>1.9799999999999998</v>
      </c>
      <c r="AU81" s="167">
        <v>0</v>
      </c>
      <c r="AV81" s="165">
        <f>'2018-2019 B STATEMENT '!B308+'2018-2019 B STATEMENT '!B309</f>
        <v>400</v>
      </c>
      <c r="AW81" s="166">
        <f t="shared" si="43"/>
        <v>3.9599999999999995</v>
      </c>
      <c r="AX81" s="167">
        <v>0</v>
      </c>
      <c r="AY81" s="87">
        <f t="shared" si="47"/>
        <v>2500</v>
      </c>
    </row>
    <row r="82" spans="1:51">
      <c r="A82" s="46" t="s">
        <v>653</v>
      </c>
      <c r="B82" s="230" t="s">
        <v>148</v>
      </c>
      <c r="C82" s="156">
        <v>100</v>
      </c>
      <c r="D82" s="157">
        <f t="shared" si="28"/>
        <v>2400</v>
      </c>
      <c r="E82" s="157">
        <v>0</v>
      </c>
      <c r="F82" s="158">
        <f>'Catch up Fee'!D82</f>
        <v>2400</v>
      </c>
      <c r="G82" s="157">
        <f t="shared" si="29"/>
        <v>2500</v>
      </c>
      <c r="H82" s="159">
        <f t="shared" si="30"/>
        <v>2500</v>
      </c>
      <c r="I82" s="157">
        <f>G82-H82</f>
        <v>0</v>
      </c>
      <c r="J82" s="157">
        <f t="shared" si="31"/>
        <v>0</v>
      </c>
      <c r="K82" s="157">
        <f t="shared" si="27"/>
        <v>24.749999999999996</v>
      </c>
      <c r="L82" s="157">
        <f t="shared" si="45"/>
        <v>130.63874999999999</v>
      </c>
      <c r="M82" s="157">
        <v>0</v>
      </c>
      <c r="N82" s="157">
        <f t="shared" si="46"/>
        <v>2605.8887500000001</v>
      </c>
      <c r="O82" s="165">
        <v>0</v>
      </c>
      <c r="P82" s="166">
        <f t="shared" si="32"/>
        <v>0</v>
      </c>
      <c r="Q82" s="167">
        <v>0</v>
      </c>
      <c r="R82" s="165">
        <v>0</v>
      </c>
      <c r="S82" s="166">
        <f t="shared" si="33"/>
        <v>0</v>
      </c>
      <c r="T82" s="167">
        <v>0</v>
      </c>
      <c r="U82" s="165">
        <v>0</v>
      </c>
      <c r="V82" s="166">
        <f t="shared" si="34"/>
        <v>0</v>
      </c>
      <c r="W82" s="167">
        <v>0</v>
      </c>
      <c r="X82" s="165">
        <v>0</v>
      </c>
      <c r="Y82" s="166">
        <f t="shared" si="35"/>
        <v>0</v>
      </c>
      <c r="Z82" s="167">
        <v>0</v>
      </c>
      <c r="AA82" s="165">
        <v>0</v>
      </c>
      <c r="AB82" s="166">
        <f t="shared" si="36"/>
        <v>0</v>
      </c>
      <c r="AC82" s="167">
        <v>0</v>
      </c>
      <c r="AD82" s="165">
        <v>0</v>
      </c>
      <c r="AE82" s="166">
        <f t="shared" si="37"/>
        <v>0</v>
      </c>
      <c r="AF82" s="167">
        <v>0</v>
      </c>
      <c r="AG82" s="165">
        <v>0</v>
      </c>
      <c r="AH82" s="166">
        <f t="shared" si="38"/>
        <v>0</v>
      </c>
      <c r="AI82" s="167">
        <v>0</v>
      </c>
      <c r="AJ82" s="165">
        <v>0</v>
      </c>
      <c r="AK82" s="166">
        <f t="shared" si="39"/>
        <v>0</v>
      </c>
      <c r="AL82" s="167">
        <v>0</v>
      </c>
      <c r="AM82" s="165">
        <f>'2018-2019 B STATEMENT '!B207+'2018-2019 B STATEMENT '!B238</f>
        <v>2500</v>
      </c>
      <c r="AN82" s="166">
        <f t="shared" si="40"/>
        <v>24.749999999999996</v>
      </c>
      <c r="AO82" s="167">
        <v>0</v>
      </c>
      <c r="AP82" s="165">
        <v>0</v>
      </c>
      <c r="AQ82" s="166">
        <f t="shared" si="41"/>
        <v>0</v>
      </c>
      <c r="AR82" s="167">
        <v>0</v>
      </c>
      <c r="AS82" s="165">
        <v>0</v>
      </c>
      <c r="AT82" s="166">
        <f t="shared" si="42"/>
        <v>0</v>
      </c>
      <c r="AU82" s="167">
        <v>0</v>
      </c>
      <c r="AV82" s="165">
        <v>0</v>
      </c>
      <c r="AW82" s="166">
        <f t="shared" si="43"/>
        <v>0</v>
      </c>
      <c r="AX82" s="167">
        <v>0</v>
      </c>
      <c r="AY82" s="87">
        <f t="shared" si="47"/>
        <v>2500</v>
      </c>
    </row>
    <row r="83" spans="1:51">
      <c r="A83" s="10" t="s">
        <v>654</v>
      </c>
      <c r="B83" s="10" t="s">
        <v>127</v>
      </c>
      <c r="C83" s="156">
        <v>100</v>
      </c>
      <c r="D83" s="157">
        <f t="shared" si="28"/>
        <v>2400</v>
      </c>
      <c r="E83" s="157">
        <v>0</v>
      </c>
      <c r="F83" s="158">
        <f>'Catch up Fee'!D83</f>
        <v>200</v>
      </c>
      <c r="G83" s="157">
        <f t="shared" si="29"/>
        <v>2500</v>
      </c>
      <c r="H83" s="159">
        <f t="shared" si="30"/>
        <v>2500</v>
      </c>
      <c r="I83" s="157">
        <f>G83-H83</f>
        <v>0</v>
      </c>
      <c r="J83" s="157">
        <f t="shared" si="31"/>
        <v>0</v>
      </c>
      <c r="K83" s="157">
        <f t="shared" si="27"/>
        <v>23.25</v>
      </c>
      <c r="L83" s="157">
        <f t="shared" si="45"/>
        <v>130.72125</v>
      </c>
      <c r="M83" s="157">
        <v>0</v>
      </c>
      <c r="N83" s="157">
        <f t="shared" si="46"/>
        <v>2607.4712500000001</v>
      </c>
      <c r="O83" s="165">
        <v>0</v>
      </c>
      <c r="P83" s="166">
        <f t="shared" si="32"/>
        <v>0</v>
      </c>
      <c r="Q83" s="167">
        <v>0</v>
      </c>
      <c r="R83" s="165">
        <v>0</v>
      </c>
      <c r="S83" s="166">
        <f t="shared" si="33"/>
        <v>0</v>
      </c>
      <c r="T83" s="167">
        <v>0</v>
      </c>
      <c r="U83" s="165">
        <v>0</v>
      </c>
      <c r="V83" s="166">
        <f t="shared" si="34"/>
        <v>0</v>
      </c>
      <c r="W83" s="167">
        <v>0</v>
      </c>
      <c r="X83" s="165">
        <f>'2018-2019 B STATEMENT '!B94</f>
        <v>700</v>
      </c>
      <c r="Y83" s="166">
        <f t="shared" si="35"/>
        <v>6.2299999999999995</v>
      </c>
      <c r="Z83" s="167">
        <v>0</v>
      </c>
      <c r="AA83" s="165">
        <f>'2018-2019 B STATEMENT '!B125</f>
        <v>400</v>
      </c>
      <c r="AB83" s="166">
        <f t="shared" si="36"/>
        <v>3.56</v>
      </c>
      <c r="AC83" s="167">
        <v>0</v>
      </c>
      <c r="AD83" s="165">
        <v>0</v>
      </c>
      <c r="AE83" s="166">
        <f t="shared" si="37"/>
        <v>0</v>
      </c>
      <c r="AF83" s="167">
        <v>0</v>
      </c>
      <c r="AG83" s="165">
        <v>0</v>
      </c>
      <c r="AH83" s="166">
        <f t="shared" si="38"/>
        <v>0</v>
      </c>
      <c r="AI83" s="167">
        <v>0</v>
      </c>
      <c r="AJ83" s="165">
        <f>'2018-2019 B STATEMENT '!B198</f>
        <v>400</v>
      </c>
      <c r="AK83" s="166">
        <f t="shared" si="39"/>
        <v>3.56</v>
      </c>
      <c r="AL83" s="167">
        <v>0</v>
      </c>
      <c r="AM83" s="165">
        <f>'2018-2019 B STATEMENT '!B226</f>
        <v>200</v>
      </c>
      <c r="AN83" s="166">
        <f t="shared" si="40"/>
        <v>1.9799999999999998</v>
      </c>
      <c r="AO83" s="167">
        <v>0</v>
      </c>
      <c r="AP83" s="165">
        <f>'2018-2019 B STATEMENT '!B245+'2018-2019 B STATEMENT '!B257</f>
        <v>800</v>
      </c>
      <c r="AQ83" s="166">
        <f t="shared" si="41"/>
        <v>7.919999999999999</v>
      </c>
      <c r="AR83" s="167">
        <v>0</v>
      </c>
      <c r="AS83" s="165">
        <v>0</v>
      </c>
      <c r="AT83" s="166">
        <f t="shared" si="42"/>
        <v>0</v>
      </c>
      <c r="AU83" s="167">
        <v>0</v>
      </c>
      <c r="AV83" s="165">
        <v>0</v>
      </c>
      <c r="AW83" s="166">
        <f t="shared" si="43"/>
        <v>0</v>
      </c>
      <c r="AX83" s="167">
        <v>0</v>
      </c>
      <c r="AY83" s="87">
        <f t="shared" si="47"/>
        <v>2500</v>
      </c>
    </row>
    <row r="84" spans="1:51">
      <c r="A84" s="46" t="s">
        <v>655</v>
      </c>
      <c r="B84" s="10" t="s">
        <v>147</v>
      </c>
      <c r="C84" s="156">
        <v>100</v>
      </c>
      <c r="D84" s="157">
        <f t="shared" si="28"/>
        <v>2400</v>
      </c>
      <c r="E84" s="157">
        <v>0</v>
      </c>
      <c r="F84" s="158">
        <f>'Catch up Fee'!D84</f>
        <v>400</v>
      </c>
      <c r="G84" s="157">
        <f t="shared" si="29"/>
        <v>2500</v>
      </c>
      <c r="H84" s="159">
        <f t="shared" si="30"/>
        <v>2500</v>
      </c>
      <c r="I84" s="157">
        <f>G84-H84</f>
        <v>0</v>
      </c>
      <c r="J84" s="157">
        <f t="shared" si="31"/>
        <v>0</v>
      </c>
      <c r="K84" s="157">
        <f t="shared" si="27"/>
        <v>22.25</v>
      </c>
      <c r="L84" s="157">
        <f t="shared" si="45"/>
        <v>130.77625</v>
      </c>
      <c r="M84" s="157">
        <v>0</v>
      </c>
      <c r="N84" s="157">
        <f t="shared" si="46"/>
        <v>2608.5262499999999</v>
      </c>
      <c r="O84" s="165">
        <v>0</v>
      </c>
      <c r="P84" s="166">
        <f t="shared" si="32"/>
        <v>0</v>
      </c>
      <c r="Q84" s="167">
        <v>0</v>
      </c>
      <c r="R84" s="165">
        <v>0</v>
      </c>
      <c r="S84" s="166">
        <f t="shared" si="33"/>
        <v>0</v>
      </c>
      <c r="T84" s="167">
        <v>0</v>
      </c>
      <c r="U84" s="165">
        <f>'2018-2019 B STATEMENT '!B53+'2018-2019 B STATEMENT '!B54</f>
        <v>2500</v>
      </c>
      <c r="V84" s="166">
        <f t="shared" si="34"/>
        <v>22.25</v>
      </c>
      <c r="W84" s="167">
        <v>0</v>
      </c>
      <c r="X84" s="165">
        <v>0</v>
      </c>
      <c r="Y84" s="166">
        <f t="shared" si="35"/>
        <v>0</v>
      </c>
      <c r="Z84" s="167">
        <v>0</v>
      </c>
      <c r="AA84" s="165">
        <v>0</v>
      </c>
      <c r="AB84" s="166">
        <f t="shared" si="36"/>
        <v>0</v>
      </c>
      <c r="AC84" s="167">
        <v>0</v>
      </c>
      <c r="AD84" s="165">
        <v>0</v>
      </c>
      <c r="AE84" s="166">
        <f t="shared" si="37"/>
        <v>0</v>
      </c>
      <c r="AF84" s="167">
        <v>0</v>
      </c>
      <c r="AG84" s="165">
        <v>0</v>
      </c>
      <c r="AH84" s="166">
        <f t="shared" si="38"/>
        <v>0</v>
      </c>
      <c r="AI84" s="167">
        <v>0</v>
      </c>
      <c r="AJ84" s="165">
        <v>0</v>
      </c>
      <c r="AK84" s="166">
        <f t="shared" si="39"/>
        <v>0</v>
      </c>
      <c r="AL84" s="167">
        <v>0</v>
      </c>
      <c r="AM84" s="165">
        <v>0</v>
      </c>
      <c r="AN84" s="166">
        <f t="shared" si="40"/>
        <v>0</v>
      </c>
      <c r="AO84" s="167">
        <v>0</v>
      </c>
      <c r="AP84" s="165">
        <v>0</v>
      </c>
      <c r="AQ84" s="166">
        <f t="shared" si="41"/>
        <v>0</v>
      </c>
      <c r="AR84" s="167">
        <v>0</v>
      </c>
      <c r="AS84" s="165">
        <v>0</v>
      </c>
      <c r="AT84" s="166">
        <f t="shared" si="42"/>
        <v>0</v>
      </c>
      <c r="AU84" s="167">
        <v>0</v>
      </c>
      <c r="AV84" s="165">
        <v>0</v>
      </c>
      <c r="AW84" s="166">
        <f t="shared" si="43"/>
        <v>0</v>
      </c>
      <c r="AX84" s="167">
        <v>0</v>
      </c>
      <c r="AY84" s="87">
        <f t="shared" si="47"/>
        <v>2500</v>
      </c>
    </row>
    <row r="85" spans="1:51">
      <c r="A85" s="10" t="s">
        <v>656</v>
      </c>
      <c r="B85" s="10" t="s">
        <v>121</v>
      </c>
      <c r="C85" s="156">
        <v>100</v>
      </c>
      <c r="D85" s="157">
        <f t="shared" si="28"/>
        <v>2400</v>
      </c>
      <c r="E85" s="157">
        <v>0</v>
      </c>
      <c r="F85" s="158">
        <f>'Catch up Fee'!D85</f>
        <v>0</v>
      </c>
      <c r="G85" s="157">
        <f t="shared" si="29"/>
        <v>2500</v>
      </c>
      <c r="H85" s="159">
        <f t="shared" si="30"/>
        <v>1350</v>
      </c>
      <c r="I85" s="157">
        <f>G85-H85-C85</f>
        <v>1050</v>
      </c>
      <c r="J85" s="157">
        <f t="shared" si="31"/>
        <v>1050</v>
      </c>
      <c r="K85" s="157">
        <f t="shared" si="27"/>
        <v>12.464999999999998</v>
      </c>
      <c r="L85" s="157">
        <f t="shared" si="45"/>
        <v>68.064425</v>
      </c>
      <c r="M85" s="157">
        <v>0</v>
      </c>
      <c r="N85" s="157">
        <f t="shared" si="46"/>
        <v>1405.5994250000001</v>
      </c>
      <c r="O85" s="165">
        <f>'2018-2019 B STATEMENT '!B6</f>
        <v>150</v>
      </c>
      <c r="P85" s="166">
        <f t="shared" si="32"/>
        <v>1.335</v>
      </c>
      <c r="Q85" s="167">
        <v>0</v>
      </c>
      <c r="R85" s="165">
        <f>'2018-2019 B STATEMENT '!B27</f>
        <v>200</v>
      </c>
      <c r="S85" s="166">
        <f t="shared" si="33"/>
        <v>1.78</v>
      </c>
      <c r="T85" s="167">
        <v>0</v>
      </c>
      <c r="U85" s="165">
        <f>'2018-2019 B STATEMENT '!B61</f>
        <v>150</v>
      </c>
      <c r="V85" s="166">
        <f t="shared" si="34"/>
        <v>1.335</v>
      </c>
      <c r="W85" s="167">
        <v>0</v>
      </c>
      <c r="X85" s="165">
        <f>'2018-2019 B STATEMENT '!B100</f>
        <v>150</v>
      </c>
      <c r="Y85" s="166">
        <f t="shared" si="35"/>
        <v>1.335</v>
      </c>
      <c r="Z85" s="167">
        <v>0</v>
      </c>
      <c r="AA85" s="165">
        <f>'2018-2019 B STATEMENT '!B132</f>
        <v>100</v>
      </c>
      <c r="AB85" s="166">
        <f t="shared" si="36"/>
        <v>0.89</v>
      </c>
      <c r="AC85" s="167">
        <v>0</v>
      </c>
      <c r="AD85" s="165">
        <v>0</v>
      </c>
      <c r="AE85" s="166">
        <f t="shared" si="37"/>
        <v>0</v>
      </c>
      <c r="AF85" s="167">
        <v>0</v>
      </c>
      <c r="AG85" s="165">
        <f>'2018-2019 B STATEMENT '!B173</f>
        <v>150</v>
      </c>
      <c r="AH85" s="166">
        <f t="shared" si="38"/>
        <v>1.335</v>
      </c>
      <c r="AI85" s="167">
        <v>0</v>
      </c>
      <c r="AJ85" s="165">
        <v>0</v>
      </c>
      <c r="AK85" s="166">
        <f t="shared" si="39"/>
        <v>0</v>
      </c>
      <c r="AL85" s="167">
        <v>0</v>
      </c>
      <c r="AM85" s="165">
        <f>'2018-2019 B STATEMENT '!B235</f>
        <v>150</v>
      </c>
      <c r="AN85" s="166">
        <f t="shared" si="40"/>
        <v>1.4849999999999999</v>
      </c>
      <c r="AO85" s="167">
        <v>0</v>
      </c>
      <c r="AP85" s="165">
        <f>'2018-2019 B STATEMENT '!B258</f>
        <v>150</v>
      </c>
      <c r="AQ85" s="166">
        <f t="shared" si="41"/>
        <v>1.4849999999999999</v>
      </c>
      <c r="AR85" s="167">
        <v>0</v>
      </c>
      <c r="AS85" s="165">
        <f>'2018-2019 B STATEMENT '!B288</f>
        <v>150</v>
      </c>
      <c r="AT85" s="166">
        <f t="shared" si="42"/>
        <v>1.4849999999999999</v>
      </c>
      <c r="AU85" s="167">
        <v>0</v>
      </c>
      <c r="AV85" s="165">
        <v>0</v>
      </c>
      <c r="AW85" s="166">
        <f t="shared" si="43"/>
        <v>0</v>
      </c>
      <c r="AX85" s="167">
        <v>0</v>
      </c>
      <c r="AY85" s="87">
        <f t="shared" si="47"/>
        <v>1350</v>
      </c>
    </row>
    <row r="86" spans="1:51">
      <c r="A86" s="46" t="s">
        <v>657</v>
      </c>
      <c r="B86" s="10" t="s">
        <v>145</v>
      </c>
      <c r="C86" s="156">
        <v>100</v>
      </c>
      <c r="D86" s="157">
        <f t="shared" si="28"/>
        <v>2400</v>
      </c>
      <c r="E86" s="157">
        <v>0</v>
      </c>
      <c r="F86" s="158">
        <f>'Catch up Fee'!D86</f>
        <v>600</v>
      </c>
      <c r="G86" s="157">
        <f t="shared" si="29"/>
        <v>2500</v>
      </c>
      <c r="H86" s="159">
        <f t="shared" si="30"/>
        <v>1500</v>
      </c>
      <c r="I86" s="157">
        <f>G86-H86</f>
        <v>1000</v>
      </c>
      <c r="J86" s="157">
        <f t="shared" si="31"/>
        <v>1000</v>
      </c>
      <c r="K86" s="157">
        <f t="shared" si="27"/>
        <v>13.95</v>
      </c>
      <c r="L86" s="157">
        <f t="shared" si="45"/>
        <v>76.232749999999996</v>
      </c>
      <c r="M86" s="157">
        <v>0</v>
      </c>
      <c r="N86" s="157">
        <f t="shared" si="46"/>
        <v>1562.2827499999999</v>
      </c>
      <c r="O86" s="165">
        <v>0</v>
      </c>
      <c r="P86" s="166">
        <f t="shared" si="32"/>
        <v>0</v>
      </c>
      <c r="Q86" s="167">
        <v>0</v>
      </c>
      <c r="R86" s="165">
        <v>0</v>
      </c>
      <c r="S86" s="166">
        <f t="shared" si="33"/>
        <v>0</v>
      </c>
      <c r="T86" s="167">
        <v>0</v>
      </c>
      <c r="U86" s="165">
        <v>0</v>
      </c>
      <c r="V86" s="166">
        <f t="shared" si="34"/>
        <v>0</v>
      </c>
      <c r="W86" s="167">
        <v>0</v>
      </c>
      <c r="X86" s="165">
        <v>0</v>
      </c>
      <c r="Y86" s="166">
        <f t="shared" si="35"/>
        <v>0</v>
      </c>
      <c r="Z86" s="167">
        <v>0</v>
      </c>
      <c r="AA86" s="165">
        <f>'2018-2019 B STATEMENT '!B126</f>
        <v>300</v>
      </c>
      <c r="AB86" s="166">
        <f t="shared" si="36"/>
        <v>2.67</v>
      </c>
      <c r="AC86" s="167">
        <v>0</v>
      </c>
      <c r="AD86" s="165">
        <v>0</v>
      </c>
      <c r="AE86" s="166">
        <f t="shared" si="37"/>
        <v>0</v>
      </c>
      <c r="AF86" s="167">
        <v>0</v>
      </c>
      <c r="AG86" s="165">
        <f>'2018-2019 B STATEMENT '!B162+'2018-2019 B STATEMENT '!B182</f>
        <v>400</v>
      </c>
      <c r="AH86" s="166">
        <f t="shared" si="38"/>
        <v>3.56</v>
      </c>
      <c r="AI86" s="167">
        <v>0</v>
      </c>
      <c r="AJ86" s="165">
        <f>'2018-2019 B STATEMENT '!B220</f>
        <v>200</v>
      </c>
      <c r="AK86" s="166">
        <f t="shared" si="39"/>
        <v>1.78</v>
      </c>
      <c r="AL86" s="167">
        <v>0</v>
      </c>
      <c r="AM86" s="165">
        <f>'2018-2019 B STATEMENT '!B220</f>
        <v>200</v>
      </c>
      <c r="AN86" s="166">
        <f t="shared" si="40"/>
        <v>1.9799999999999998</v>
      </c>
      <c r="AO86" s="167">
        <v>0</v>
      </c>
      <c r="AP86" s="165">
        <v>0</v>
      </c>
      <c r="AQ86" s="166">
        <f t="shared" si="41"/>
        <v>0</v>
      </c>
      <c r="AR86" s="167">
        <v>0</v>
      </c>
      <c r="AS86" s="165">
        <f>'2018-2019 B STATEMENT '!B289</f>
        <v>400</v>
      </c>
      <c r="AT86" s="166">
        <f t="shared" si="42"/>
        <v>3.9599999999999995</v>
      </c>
      <c r="AU86" s="167">
        <v>0</v>
      </c>
      <c r="AV86" s="165">
        <v>0</v>
      </c>
      <c r="AW86" s="166">
        <f t="shared" si="43"/>
        <v>0</v>
      </c>
      <c r="AX86" s="167">
        <v>0</v>
      </c>
      <c r="AY86" s="87">
        <f t="shared" si="47"/>
        <v>1500</v>
      </c>
    </row>
    <row r="87" spans="1:51">
      <c r="A87" s="10" t="s">
        <v>658</v>
      </c>
      <c r="B87" s="10" t="s">
        <v>146</v>
      </c>
      <c r="C87" s="228">
        <v>0</v>
      </c>
      <c r="D87" s="157">
        <f t="shared" si="28"/>
        <v>2400</v>
      </c>
      <c r="E87" s="157">
        <v>0</v>
      </c>
      <c r="F87" s="158">
        <f>'Catch up Fee'!D87</f>
        <v>3400</v>
      </c>
      <c r="G87" s="157">
        <f t="shared" si="29"/>
        <v>2400</v>
      </c>
      <c r="H87" s="159">
        <f t="shared" si="30"/>
        <v>0</v>
      </c>
      <c r="I87" s="157">
        <f>G87-H87</f>
        <v>2400</v>
      </c>
      <c r="J87" s="157">
        <f t="shared" si="31"/>
        <v>2400</v>
      </c>
      <c r="K87" s="157">
        <f t="shared" si="27"/>
        <v>0</v>
      </c>
      <c r="L87" s="157">
        <f t="shared" si="45"/>
        <v>0</v>
      </c>
      <c r="M87" s="157">
        <v>0</v>
      </c>
      <c r="N87" s="157">
        <f t="shared" si="46"/>
        <v>0</v>
      </c>
      <c r="O87" s="165">
        <v>0</v>
      </c>
      <c r="P87" s="166">
        <f t="shared" si="32"/>
        <v>0</v>
      </c>
      <c r="Q87" s="167">
        <v>0</v>
      </c>
      <c r="R87" s="165">
        <v>0</v>
      </c>
      <c r="S87" s="166">
        <f t="shared" si="33"/>
        <v>0</v>
      </c>
      <c r="T87" s="167">
        <v>0</v>
      </c>
      <c r="U87" s="165">
        <v>0</v>
      </c>
      <c r="V87" s="166">
        <f t="shared" si="34"/>
        <v>0</v>
      </c>
      <c r="W87" s="167">
        <v>0</v>
      </c>
      <c r="X87" s="165">
        <v>0</v>
      </c>
      <c r="Y87" s="166">
        <f t="shared" si="35"/>
        <v>0</v>
      </c>
      <c r="Z87" s="167">
        <v>0</v>
      </c>
      <c r="AA87" s="165">
        <v>0</v>
      </c>
      <c r="AB87" s="166">
        <f t="shared" si="36"/>
        <v>0</v>
      </c>
      <c r="AC87" s="167">
        <v>0</v>
      </c>
      <c r="AD87" s="165">
        <v>0</v>
      </c>
      <c r="AE87" s="166">
        <f t="shared" si="37"/>
        <v>0</v>
      </c>
      <c r="AF87" s="167">
        <v>0</v>
      </c>
      <c r="AG87" s="165">
        <v>0</v>
      </c>
      <c r="AH87" s="166">
        <f t="shared" si="38"/>
        <v>0</v>
      </c>
      <c r="AI87" s="167">
        <v>0</v>
      </c>
      <c r="AJ87" s="165">
        <v>0</v>
      </c>
      <c r="AK87" s="166">
        <f t="shared" si="39"/>
        <v>0</v>
      </c>
      <c r="AL87" s="167">
        <v>0</v>
      </c>
      <c r="AM87" s="165">
        <v>0</v>
      </c>
      <c r="AN87" s="166">
        <f t="shared" si="40"/>
        <v>0</v>
      </c>
      <c r="AO87" s="167">
        <v>0</v>
      </c>
      <c r="AP87" s="165">
        <v>0</v>
      </c>
      <c r="AQ87" s="166">
        <f t="shared" si="41"/>
        <v>0</v>
      </c>
      <c r="AR87" s="167">
        <v>0</v>
      </c>
      <c r="AS87" s="165">
        <v>0</v>
      </c>
      <c r="AT87" s="166">
        <f t="shared" si="42"/>
        <v>0</v>
      </c>
      <c r="AU87" s="167">
        <v>0</v>
      </c>
      <c r="AV87" s="165">
        <v>0</v>
      </c>
      <c r="AW87" s="166">
        <f t="shared" si="43"/>
        <v>0</v>
      </c>
      <c r="AX87" s="167">
        <v>0</v>
      </c>
      <c r="AY87" s="87">
        <f t="shared" si="47"/>
        <v>0</v>
      </c>
    </row>
    <row r="88" spans="1:51">
      <c r="A88" s="46" t="s">
        <v>659</v>
      </c>
      <c r="B88" s="10" t="s">
        <v>133</v>
      </c>
      <c r="C88" s="156">
        <v>100</v>
      </c>
      <c r="D88" s="157">
        <f t="shared" si="28"/>
        <v>2400</v>
      </c>
      <c r="E88" s="157">
        <v>0</v>
      </c>
      <c r="F88" s="158">
        <f>'Catch up Fee'!D88</f>
        <v>0</v>
      </c>
      <c r="G88" s="157">
        <f t="shared" si="29"/>
        <v>2500</v>
      </c>
      <c r="H88" s="159">
        <f t="shared" si="30"/>
        <v>1100</v>
      </c>
      <c r="I88" s="157">
        <f>G88-H88-C88</f>
        <v>1300</v>
      </c>
      <c r="J88" s="157">
        <f t="shared" si="31"/>
        <v>1300</v>
      </c>
      <c r="K88" s="157">
        <f t="shared" si="27"/>
        <v>10.19</v>
      </c>
      <c r="L88" s="157">
        <f t="shared" si="45"/>
        <v>54.439549999999997</v>
      </c>
      <c r="M88" s="157">
        <v>0</v>
      </c>
      <c r="N88" s="157">
        <f t="shared" si="46"/>
        <v>1144.24955</v>
      </c>
      <c r="O88" s="165">
        <v>0</v>
      </c>
      <c r="P88" s="166">
        <f t="shared" si="32"/>
        <v>0</v>
      </c>
      <c r="Q88" s="167">
        <v>0</v>
      </c>
      <c r="R88" s="165">
        <f>'2018-2019 B STATEMENT '!B33</f>
        <v>300</v>
      </c>
      <c r="S88" s="166">
        <f t="shared" si="33"/>
        <v>2.67</v>
      </c>
      <c r="T88" s="167">
        <v>0</v>
      </c>
      <c r="U88" s="165">
        <f>'2018-2019 B STATEMENT '!B67</f>
        <v>200</v>
      </c>
      <c r="V88" s="166">
        <f t="shared" si="34"/>
        <v>1.78</v>
      </c>
      <c r="W88" s="167">
        <v>0</v>
      </c>
      <c r="X88" s="165">
        <v>0</v>
      </c>
      <c r="Y88" s="166">
        <f t="shared" si="35"/>
        <v>0</v>
      </c>
      <c r="Z88" s="167">
        <v>0</v>
      </c>
      <c r="AA88" s="165">
        <f>'2018-2019 B STATEMENT '!B127</f>
        <v>200</v>
      </c>
      <c r="AB88" s="166">
        <f t="shared" si="36"/>
        <v>1.78</v>
      </c>
      <c r="AC88" s="167">
        <v>0</v>
      </c>
      <c r="AD88" s="165">
        <v>0</v>
      </c>
      <c r="AE88" s="166">
        <f t="shared" si="37"/>
        <v>0</v>
      </c>
      <c r="AF88" s="167">
        <v>0</v>
      </c>
      <c r="AG88" s="165">
        <v>0</v>
      </c>
      <c r="AH88" s="166">
        <f t="shared" si="38"/>
        <v>0</v>
      </c>
      <c r="AI88" s="167">
        <v>0</v>
      </c>
      <c r="AJ88" s="165">
        <v>0</v>
      </c>
      <c r="AK88" s="166">
        <f t="shared" si="39"/>
        <v>0</v>
      </c>
      <c r="AL88" s="167">
        <v>0</v>
      </c>
      <c r="AM88" s="165">
        <f>'2018-2019 B STATEMENT '!B212</f>
        <v>400</v>
      </c>
      <c r="AN88" s="166">
        <f t="shared" si="40"/>
        <v>3.9599999999999995</v>
      </c>
      <c r="AO88" s="167">
        <v>0</v>
      </c>
      <c r="AP88" s="165">
        <v>0</v>
      </c>
      <c r="AQ88" s="166">
        <f t="shared" si="41"/>
        <v>0</v>
      </c>
      <c r="AR88" s="167">
        <v>0</v>
      </c>
      <c r="AS88" s="165">
        <v>0</v>
      </c>
      <c r="AT88" s="166">
        <f t="shared" si="42"/>
        <v>0</v>
      </c>
      <c r="AU88" s="167">
        <v>0</v>
      </c>
      <c r="AV88" s="165">
        <v>0</v>
      </c>
      <c r="AW88" s="166">
        <f t="shared" si="43"/>
        <v>0</v>
      </c>
      <c r="AX88" s="167">
        <v>0</v>
      </c>
      <c r="AY88" s="87">
        <f t="shared" si="47"/>
        <v>1100</v>
      </c>
    </row>
    <row r="89" spans="1:51">
      <c r="A89" s="10" t="s">
        <v>660</v>
      </c>
      <c r="B89" s="10" t="s">
        <v>134</v>
      </c>
      <c r="C89" s="156">
        <v>100</v>
      </c>
      <c r="D89" s="157">
        <f t="shared" si="28"/>
        <v>2400</v>
      </c>
      <c r="E89" s="157">
        <v>0</v>
      </c>
      <c r="F89" s="158">
        <f>'Catch up Fee'!D89</f>
        <v>200</v>
      </c>
      <c r="G89" s="157">
        <f t="shared" si="29"/>
        <v>2500</v>
      </c>
      <c r="H89" s="159">
        <f t="shared" si="30"/>
        <v>700</v>
      </c>
      <c r="I89" s="157">
        <f>G89-H89</f>
        <v>1800</v>
      </c>
      <c r="J89" s="157">
        <f t="shared" si="31"/>
        <v>1800</v>
      </c>
      <c r="K89" s="157">
        <f t="shared" si="27"/>
        <v>6.23</v>
      </c>
      <c r="L89" s="157">
        <f t="shared" si="45"/>
        <v>32.657350000000001</v>
      </c>
      <c r="M89" s="157">
        <v>0</v>
      </c>
      <c r="N89" s="157">
        <f t="shared" si="46"/>
        <v>726.42734999999993</v>
      </c>
      <c r="O89" s="165">
        <v>0</v>
      </c>
      <c r="P89" s="166">
        <f t="shared" si="32"/>
        <v>0</v>
      </c>
      <c r="Q89" s="167">
        <v>0</v>
      </c>
      <c r="R89" s="165">
        <v>0</v>
      </c>
      <c r="S89" s="166">
        <f t="shared" si="33"/>
        <v>0</v>
      </c>
      <c r="T89" s="167">
        <v>0</v>
      </c>
      <c r="U89" s="165">
        <f>'2018-2019 B STATEMENT '!B69</f>
        <v>500</v>
      </c>
      <c r="V89" s="166">
        <f t="shared" si="34"/>
        <v>4.45</v>
      </c>
      <c r="W89" s="167">
        <v>0</v>
      </c>
      <c r="X89" s="165">
        <v>0</v>
      </c>
      <c r="Y89" s="166">
        <f t="shared" si="35"/>
        <v>0</v>
      </c>
      <c r="Z89" s="167">
        <v>0</v>
      </c>
      <c r="AA89" s="165">
        <f>'2018-2019 B STATEMENT '!B105</f>
        <v>200</v>
      </c>
      <c r="AB89" s="166">
        <f t="shared" si="36"/>
        <v>1.78</v>
      </c>
      <c r="AC89" s="167">
        <v>0</v>
      </c>
      <c r="AD89" s="165">
        <v>0</v>
      </c>
      <c r="AE89" s="166">
        <f t="shared" si="37"/>
        <v>0</v>
      </c>
      <c r="AF89" s="167">
        <v>0</v>
      </c>
      <c r="AG89" s="165">
        <v>0</v>
      </c>
      <c r="AH89" s="166">
        <f t="shared" si="38"/>
        <v>0</v>
      </c>
      <c r="AI89" s="167">
        <v>0</v>
      </c>
      <c r="AJ89" s="165">
        <v>0</v>
      </c>
      <c r="AK89" s="166">
        <f t="shared" si="39"/>
        <v>0</v>
      </c>
      <c r="AL89" s="167">
        <v>0</v>
      </c>
      <c r="AM89" s="165">
        <v>0</v>
      </c>
      <c r="AN89" s="166">
        <f t="shared" si="40"/>
        <v>0</v>
      </c>
      <c r="AO89" s="167">
        <v>0</v>
      </c>
      <c r="AP89" s="165">
        <v>0</v>
      </c>
      <c r="AQ89" s="166">
        <f t="shared" si="41"/>
        <v>0</v>
      </c>
      <c r="AR89" s="167">
        <v>0</v>
      </c>
      <c r="AS89" s="165">
        <v>0</v>
      </c>
      <c r="AT89" s="166">
        <f t="shared" si="42"/>
        <v>0</v>
      </c>
      <c r="AU89" s="167">
        <v>0</v>
      </c>
      <c r="AV89" s="165">
        <v>0</v>
      </c>
      <c r="AW89" s="166">
        <f t="shared" si="43"/>
        <v>0</v>
      </c>
      <c r="AX89" s="167">
        <v>0</v>
      </c>
      <c r="AY89" s="87">
        <f t="shared" si="47"/>
        <v>700</v>
      </c>
    </row>
    <row r="90" spans="1:51">
      <c r="A90" s="46" t="s">
        <v>661</v>
      </c>
      <c r="B90" s="10" t="s">
        <v>116</v>
      </c>
      <c r="C90" s="156">
        <v>100</v>
      </c>
      <c r="D90" s="157">
        <f t="shared" si="28"/>
        <v>2400</v>
      </c>
      <c r="E90" s="157">
        <v>0</v>
      </c>
      <c r="F90" s="158">
        <f>'Catch up Fee'!D90</f>
        <v>0</v>
      </c>
      <c r="G90" s="157">
        <f t="shared" si="29"/>
        <v>2500</v>
      </c>
      <c r="H90" s="159">
        <f t="shared" si="30"/>
        <v>2700</v>
      </c>
      <c r="I90" s="157">
        <f>G90-H90-C90</f>
        <v>-300</v>
      </c>
      <c r="J90" s="157">
        <f t="shared" si="31"/>
        <v>-300</v>
      </c>
      <c r="K90" s="157">
        <f t="shared" si="27"/>
        <v>24.43</v>
      </c>
      <c r="L90" s="157">
        <f t="shared" si="45"/>
        <v>141.65635</v>
      </c>
      <c r="M90" s="157">
        <v>0</v>
      </c>
      <c r="N90" s="157">
        <f t="shared" si="46"/>
        <v>2817.2263500000004</v>
      </c>
      <c r="O90" s="165">
        <v>0</v>
      </c>
      <c r="P90" s="166">
        <f t="shared" si="32"/>
        <v>0</v>
      </c>
      <c r="Q90" s="167">
        <v>0</v>
      </c>
      <c r="R90" s="165">
        <v>300</v>
      </c>
      <c r="S90" s="166">
        <f t="shared" si="33"/>
        <v>2.67</v>
      </c>
      <c r="T90" s="167">
        <v>0</v>
      </c>
      <c r="U90" s="165">
        <v>0</v>
      </c>
      <c r="V90" s="166">
        <f t="shared" si="34"/>
        <v>0</v>
      </c>
      <c r="W90" s="167">
        <v>0</v>
      </c>
      <c r="X90" s="165">
        <f>'2018-2019 B STATEMENT '!B95</f>
        <v>1000</v>
      </c>
      <c r="Y90" s="166">
        <f t="shared" si="35"/>
        <v>8.9</v>
      </c>
      <c r="Z90" s="167">
        <v>0</v>
      </c>
      <c r="AA90" s="165">
        <v>0</v>
      </c>
      <c r="AB90" s="166">
        <f t="shared" si="36"/>
        <v>0</v>
      </c>
      <c r="AC90" s="167">
        <v>0</v>
      </c>
      <c r="AD90" s="165">
        <v>0</v>
      </c>
      <c r="AE90" s="166">
        <f t="shared" si="37"/>
        <v>0</v>
      </c>
      <c r="AF90" s="167">
        <v>0</v>
      </c>
      <c r="AG90" s="165">
        <v>0</v>
      </c>
      <c r="AH90" s="166">
        <f t="shared" si="38"/>
        <v>0</v>
      </c>
      <c r="AI90" s="167">
        <v>0</v>
      </c>
      <c r="AJ90" s="165">
        <f>'2018-2019 B STATEMENT '!B202</f>
        <v>1000</v>
      </c>
      <c r="AK90" s="166">
        <f t="shared" si="39"/>
        <v>8.9</v>
      </c>
      <c r="AL90" s="167">
        <v>0</v>
      </c>
      <c r="AM90" s="165">
        <v>0</v>
      </c>
      <c r="AN90" s="166">
        <f t="shared" si="40"/>
        <v>0</v>
      </c>
      <c r="AO90" s="167">
        <v>0</v>
      </c>
      <c r="AP90" s="165">
        <f>'2018-2019 B STATEMENT '!B267</f>
        <v>400</v>
      </c>
      <c r="AQ90" s="166">
        <f t="shared" si="41"/>
        <v>3.9599999999999995</v>
      </c>
      <c r="AR90" s="167">
        <v>0</v>
      </c>
      <c r="AS90" s="165">
        <v>0</v>
      </c>
      <c r="AT90" s="166">
        <f t="shared" si="42"/>
        <v>0</v>
      </c>
      <c r="AU90" s="167">
        <v>0</v>
      </c>
      <c r="AV90" s="165">
        <v>0</v>
      </c>
      <c r="AW90" s="166">
        <f t="shared" si="43"/>
        <v>0</v>
      </c>
      <c r="AX90" s="167">
        <v>0</v>
      </c>
      <c r="AY90" s="87">
        <f t="shared" si="47"/>
        <v>2700</v>
      </c>
    </row>
    <row r="91" spans="1:51">
      <c r="C91" s="163">
        <f>SUM(C2:C90)</f>
        <v>7700</v>
      </c>
      <c r="D91" s="163">
        <f>SUM(D2:D90)</f>
        <v>213600</v>
      </c>
      <c r="E91" s="163">
        <f>SUM(E2:E90)</f>
        <v>0</v>
      </c>
      <c r="F91" s="163">
        <f>SUM(F2:F90)</f>
        <v>57600</v>
      </c>
      <c r="G91" s="163">
        <f t="shared" ref="G91:AY91" si="48">SUM(G2:G90)</f>
        <v>221300</v>
      </c>
      <c r="H91" s="58">
        <f t="shared" si="48"/>
        <v>110110</v>
      </c>
      <c r="I91" s="163">
        <f t="shared" si="48"/>
        <v>107290</v>
      </c>
      <c r="J91" s="163">
        <f t="shared" si="48"/>
        <v>107290</v>
      </c>
      <c r="K91" s="163">
        <f t="shared" si="48"/>
        <v>1022.2990000000001</v>
      </c>
      <c r="L91" s="163">
        <f t="shared" si="48"/>
        <v>5576.323554999999</v>
      </c>
      <c r="M91" s="163">
        <f t="shared" si="48"/>
        <v>0</v>
      </c>
      <c r="N91" s="163">
        <f t="shared" si="48"/>
        <v>114664.02455499994</v>
      </c>
      <c r="O91" s="163">
        <f t="shared" si="48"/>
        <v>300</v>
      </c>
      <c r="P91" s="163">
        <f t="shared" si="48"/>
        <v>2.67</v>
      </c>
      <c r="Q91" s="163">
        <f t="shared" si="48"/>
        <v>0</v>
      </c>
      <c r="R91" s="163">
        <f t="shared" si="48"/>
        <v>8110</v>
      </c>
      <c r="S91" s="163">
        <f t="shared" si="48"/>
        <v>72.17900000000003</v>
      </c>
      <c r="T91" s="163">
        <f t="shared" si="48"/>
        <v>0</v>
      </c>
      <c r="U91" s="163">
        <f t="shared" si="48"/>
        <v>16470</v>
      </c>
      <c r="V91" s="163">
        <f t="shared" si="48"/>
        <v>146.58300000000003</v>
      </c>
      <c r="W91" s="163">
        <f t="shared" si="48"/>
        <v>0</v>
      </c>
      <c r="X91" s="163">
        <f t="shared" si="48"/>
        <v>12920</v>
      </c>
      <c r="Y91" s="163">
        <f t="shared" si="48"/>
        <v>114.98800000000003</v>
      </c>
      <c r="Z91" s="163">
        <f t="shared" si="48"/>
        <v>0</v>
      </c>
      <c r="AA91" s="163">
        <f t="shared" si="48"/>
        <v>10250</v>
      </c>
      <c r="AB91" s="163">
        <f t="shared" si="48"/>
        <v>91.225000000000023</v>
      </c>
      <c r="AC91" s="163">
        <f t="shared" si="48"/>
        <v>0</v>
      </c>
      <c r="AD91" s="163">
        <f t="shared" si="48"/>
        <v>6920</v>
      </c>
      <c r="AE91" s="163">
        <f t="shared" si="48"/>
        <v>61.588000000000008</v>
      </c>
      <c r="AF91" s="163">
        <f t="shared" si="48"/>
        <v>0</v>
      </c>
      <c r="AG91" s="163">
        <f t="shared" si="48"/>
        <v>5160</v>
      </c>
      <c r="AH91" s="163">
        <f t="shared" si="48"/>
        <v>45.924000000000014</v>
      </c>
      <c r="AI91" s="163">
        <f t="shared" si="48"/>
        <v>0</v>
      </c>
      <c r="AJ91" s="163">
        <f t="shared" si="48"/>
        <v>7660</v>
      </c>
      <c r="AK91" s="163">
        <f t="shared" si="48"/>
        <v>68.174000000000007</v>
      </c>
      <c r="AL91" s="163">
        <f t="shared" si="48"/>
        <v>0</v>
      </c>
      <c r="AM91" s="163">
        <f t="shared" si="48"/>
        <v>13550</v>
      </c>
      <c r="AN91" s="163">
        <f t="shared" si="48"/>
        <v>134.14500000000001</v>
      </c>
      <c r="AO91" s="163">
        <f t="shared" si="48"/>
        <v>0</v>
      </c>
      <c r="AP91" s="163">
        <f t="shared" si="48"/>
        <v>13150</v>
      </c>
      <c r="AQ91" s="163">
        <f t="shared" si="48"/>
        <v>130.185</v>
      </c>
      <c r="AR91" s="163">
        <f t="shared" si="48"/>
        <v>0</v>
      </c>
      <c r="AS91" s="163">
        <f t="shared" si="48"/>
        <v>9660</v>
      </c>
      <c r="AT91" s="163">
        <f t="shared" si="48"/>
        <v>95.634</v>
      </c>
      <c r="AU91" s="163">
        <f t="shared" si="48"/>
        <v>0</v>
      </c>
      <c r="AV91" s="163">
        <f t="shared" si="48"/>
        <v>5960</v>
      </c>
      <c r="AW91" s="163">
        <f t="shared" si="48"/>
        <v>59.003999999999984</v>
      </c>
      <c r="AX91" s="163">
        <f t="shared" si="48"/>
        <v>0</v>
      </c>
      <c r="AY91" s="163">
        <f t="shared" si="48"/>
        <v>110110</v>
      </c>
    </row>
    <row r="92" spans="1:51">
      <c r="N92" s="169"/>
    </row>
    <row r="93" spans="1:51" ht="24">
      <c r="G93" s="146"/>
      <c r="H93" s="207" t="s">
        <v>409</v>
      </c>
      <c r="O93" s="174">
        <f>AVERAGE(O91,R91,U91,X91,AA91,AD91,AG91,AJ91,AM91,AP91,AS91,AV91)</f>
        <v>9175.8333333333339</v>
      </c>
    </row>
    <row r="94" spans="1:51" ht="35.65">
      <c r="G94" s="205"/>
      <c r="H94" s="207" t="s">
        <v>408</v>
      </c>
    </row>
    <row r="95" spans="1:51" ht="35.65">
      <c r="G95" s="175"/>
      <c r="H95" s="207" t="s">
        <v>410</v>
      </c>
    </row>
  </sheetData>
  <autoFilter ref="A1:BE91" xr:uid="{00000000-0009-0000-0000-000002000000}"/>
  <conditionalFormatting sqref="H2:H90">
    <cfRule type="cellIs" dxfId="59" priority="2" operator="between">
      <formula>1400</formula>
      <formula>2399.99</formula>
    </cfRule>
    <cfRule type="cellIs" dxfId="58" priority="3" operator="greaterThan">
      <formula>2400</formula>
    </cfRule>
    <cfRule type="cellIs" dxfId="57" priority="4" operator="lessThan">
      <formula>1199.99</formula>
    </cfRule>
    <cfRule type="cellIs" dxfId="56" priority="5" operator="greaterThan">
      <formula>2400</formula>
    </cfRule>
    <cfRule type="cellIs" dxfId="55" priority="6" operator="greaterThan">
      <formula>2400</formula>
    </cfRule>
    <cfRule type="cellIs" dxfId="54" priority="7" operator="between">
      <formula>1200</formula>
      <formula>2399.99</formula>
    </cfRule>
    <cfRule type="iconSet" priority="9">
      <iconSet iconSet="3Arrows">
        <cfvo type="percent" val="0"/>
        <cfvo type="percent" val="33"/>
        <cfvo type="percent" val="67"/>
      </iconSet>
    </cfRule>
    <cfRule type="cellIs" dxfId="53" priority="13" operator="between">
      <formula>1201</formula>
      <formula>2401</formula>
    </cfRule>
    <cfRule type="cellIs" dxfId="52" priority="14" operator="lessThan">
      <formula>1200</formula>
    </cfRule>
    <cfRule type="cellIs" dxfId="51" priority="15" operator="greaterThan">
      <formula>2400</formula>
    </cfRule>
  </conditionalFormatting>
  <conditionalFormatting sqref="H13">
    <cfRule type="iconSet" priority="1">
      <iconSet iconSet="3Arrows">
        <cfvo type="percent" val="0"/>
        <cfvo type="percent" val="33"/>
        <cfvo type="percent" val="67"/>
      </iconSet>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L97"/>
  <sheetViews>
    <sheetView zoomScale="80" zoomScaleNormal="80" workbookViewId="0">
      <pane ySplit="1" topLeftCell="A2" activePane="bottomLeft" state="frozen"/>
      <selection pane="bottomLeft" activeCell="C7" sqref="C7"/>
    </sheetView>
  </sheetViews>
  <sheetFormatPr defaultColWidth="9.1328125" defaultRowHeight="14.25"/>
  <cols>
    <col min="1" max="1" width="31.1328125" customWidth="1"/>
    <col min="2" max="2" width="15.59765625" customWidth="1"/>
    <col min="3" max="3" width="17" customWidth="1"/>
    <col min="4" max="4" width="15.59765625" customWidth="1"/>
    <col min="5" max="5" width="19.3984375" customWidth="1"/>
    <col min="6" max="6" width="19.3984375" style="140" customWidth="1"/>
    <col min="7" max="7" width="14.3984375" customWidth="1"/>
    <col min="8" max="8" width="20.86328125" customWidth="1"/>
    <col min="9" max="10" width="13.1328125" customWidth="1"/>
    <col min="11" max="11" width="16.3984375" customWidth="1"/>
    <col min="12" max="12" width="18.73046875" customWidth="1"/>
    <col min="13" max="13" width="17.3984375" customWidth="1"/>
    <col min="14" max="14" width="19.265625" style="196" customWidth="1"/>
    <col min="15" max="15" width="14.1328125" customWidth="1"/>
    <col min="16" max="16" width="11.59765625" style="125" customWidth="1"/>
    <col min="17" max="17" width="9.1328125" style="146" customWidth="1"/>
    <col min="18" max="18" width="12.59765625" bestFit="1" customWidth="1"/>
    <col min="19" max="19" width="11.59765625" style="168" bestFit="1" customWidth="1"/>
    <col min="20" max="20" width="13.1328125" style="125" bestFit="1" customWidth="1"/>
    <col min="21" max="21" width="9.1328125" style="146"/>
    <col min="22" max="22" width="14.3984375" customWidth="1"/>
    <col min="23" max="23" width="11.59765625" style="168" bestFit="1" customWidth="1"/>
    <col min="24" max="24" width="13.265625" style="125" customWidth="1"/>
    <col min="25" max="25" width="9.1328125" style="146"/>
    <col min="26" max="26" width="14.3984375" customWidth="1"/>
    <col min="27" max="27" width="11.73046875" style="168" customWidth="1"/>
    <col min="28" max="28" width="12.86328125" style="125" bestFit="1" customWidth="1"/>
    <col min="29" max="29" width="9.1328125" style="146"/>
    <col min="30" max="30" width="14.3984375" customWidth="1"/>
    <col min="31" max="31" width="11.59765625" style="168" bestFit="1" customWidth="1"/>
    <col min="32" max="32" width="11.59765625" style="125" bestFit="1" customWidth="1"/>
    <col min="33" max="33" width="9.1328125" style="146"/>
    <col min="34" max="34" width="14.3984375" customWidth="1"/>
    <col min="35" max="35" width="11.59765625" style="168" bestFit="1" customWidth="1"/>
    <col min="36" max="36" width="10.59765625" style="125" bestFit="1" customWidth="1"/>
    <col min="37" max="37" width="9.1328125" style="146"/>
    <col min="38" max="38" width="14.3984375" customWidth="1"/>
    <col min="39" max="39" width="11.59765625" style="168" bestFit="1" customWidth="1"/>
    <col min="40" max="40" width="10.59765625" style="125" bestFit="1" customWidth="1"/>
    <col min="41" max="41" width="9.1328125" style="146"/>
    <col min="42" max="42" width="14.3984375" customWidth="1"/>
    <col min="43" max="43" width="11.59765625" style="168" bestFit="1" customWidth="1"/>
    <col min="44" max="44" width="11.59765625" style="125" bestFit="1" customWidth="1"/>
    <col min="45" max="45" width="9.1328125" style="146"/>
    <col min="46" max="46" width="14.3984375" customWidth="1"/>
    <col min="47" max="47" width="11.59765625" style="168" bestFit="1" customWidth="1"/>
    <col min="48" max="48" width="13.3984375" style="125" customWidth="1"/>
    <col min="49" max="49" width="9.1328125" style="146"/>
    <col min="50" max="50" width="14.3984375" customWidth="1"/>
    <col min="51" max="51" width="13.1328125" style="168" customWidth="1"/>
    <col min="52" max="52" width="11.59765625" style="125" bestFit="1" customWidth="1"/>
    <col min="53" max="53" width="9.1328125" style="146"/>
    <col min="54" max="54" width="14.3984375" customWidth="1"/>
    <col min="55" max="55" width="11.86328125" style="168" customWidth="1"/>
    <col min="56" max="56" width="12.73046875" style="125" bestFit="1" customWidth="1"/>
    <col min="57" max="57" width="9.1328125" style="146"/>
    <col min="58" max="58" width="14.3984375" customWidth="1"/>
    <col min="59" max="59" width="11.86328125" style="168" customWidth="1"/>
    <col min="60" max="60" width="11.59765625" style="125" bestFit="1" customWidth="1"/>
    <col min="61" max="61" width="9.1328125" style="146"/>
    <col min="62" max="62" width="14.3984375" customWidth="1"/>
    <col min="63" max="63" width="13.1328125" style="168" customWidth="1"/>
    <col min="64" max="64" width="15.73046875" customWidth="1"/>
  </cols>
  <sheetData>
    <row r="1" spans="1:64" s="14" customFormat="1" ht="78.75" customHeight="1">
      <c r="A1" s="11" t="s">
        <v>0</v>
      </c>
      <c r="B1" s="11" t="s">
        <v>106</v>
      </c>
      <c r="C1" s="11" t="s">
        <v>232</v>
      </c>
      <c r="D1" s="113" t="s">
        <v>233</v>
      </c>
      <c r="E1" s="113" t="s">
        <v>396</v>
      </c>
      <c r="F1" s="138" t="s">
        <v>393</v>
      </c>
      <c r="G1" s="12" t="s">
        <v>225</v>
      </c>
      <c r="H1" s="12" t="s">
        <v>228</v>
      </c>
      <c r="I1" s="12" t="s">
        <v>227</v>
      </c>
      <c r="J1" s="12" t="s">
        <v>229</v>
      </c>
      <c r="K1" s="12" t="s">
        <v>226</v>
      </c>
      <c r="L1" s="12" t="s">
        <v>231</v>
      </c>
      <c r="M1" s="12" t="s">
        <v>235</v>
      </c>
      <c r="N1" s="197" t="s">
        <v>236</v>
      </c>
      <c r="O1" s="12" t="s">
        <v>230</v>
      </c>
      <c r="P1" s="180">
        <v>43647</v>
      </c>
      <c r="Q1" s="181" t="s">
        <v>384</v>
      </c>
      <c r="R1" s="182" t="s">
        <v>234</v>
      </c>
      <c r="S1" s="183" t="s">
        <v>99</v>
      </c>
      <c r="T1" s="180">
        <v>43678</v>
      </c>
      <c r="U1" s="181" t="s">
        <v>384</v>
      </c>
      <c r="V1" s="182" t="s">
        <v>234</v>
      </c>
      <c r="W1" s="183" t="s">
        <v>99</v>
      </c>
      <c r="X1" s="180">
        <v>43709</v>
      </c>
      <c r="Y1" s="181" t="s">
        <v>384</v>
      </c>
      <c r="Z1" s="182" t="s">
        <v>234</v>
      </c>
      <c r="AA1" s="183" t="s">
        <v>99</v>
      </c>
      <c r="AB1" s="180">
        <v>43739</v>
      </c>
      <c r="AC1" s="181" t="s">
        <v>384</v>
      </c>
      <c r="AD1" s="182" t="s">
        <v>234</v>
      </c>
      <c r="AE1" s="183" t="s">
        <v>99</v>
      </c>
      <c r="AF1" s="180">
        <v>43770</v>
      </c>
      <c r="AG1" s="181" t="s">
        <v>384</v>
      </c>
      <c r="AH1" s="182" t="s">
        <v>234</v>
      </c>
      <c r="AI1" s="183" t="s">
        <v>99</v>
      </c>
      <c r="AJ1" s="180">
        <v>43800</v>
      </c>
      <c r="AK1" s="181" t="s">
        <v>384</v>
      </c>
      <c r="AL1" s="182" t="s">
        <v>234</v>
      </c>
      <c r="AM1" s="183" t="s">
        <v>99</v>
      </c>
      <c r="AN1" s="180">
        <v>43831</v>
      </c>
      <c r="AO1" s="181" t="s">
        <v>384</v>
      </c>
      <c r="AP1" s="182" t="s">
        <v>234</v>
      </c>
      <c r="AQ1" s="183" t="s">
        <v>99</v>
      </c>
      <c r="AR1" s="180">
        <v>43862</v>
      </c>
      <c r="AS1" s="181" t="s">
        <v>384</v>
      </c>
      <c r="AT1" s="182" t="s">
        <v>234</v>
      </c>
      <c r="AU1" s="183" t="s">
        <v>99</v>
      </c>
      <c r="AV1" s="180">
        <v>43891</v>
      </c>
      <c r="AW1" s="181" t="s">
        <v>384</v>
      </c>
      <c r="AX1" s="182" t="s">
        <v>234</v>
      </c>
      <c r="AY1" s="183" t="s">
        <v>99</v>
      </c>
      <c r="AZ1" s="180">
        <v>43922</v>
      </c>
      <c r="BA1" s="181" t="s">
        <v>384</v>
      </c>
      <c r="BB1" s="182" t="s">
        <v>234</v>
      </c>
      <c r="BC1" s="183" t="s">
        <v>99</v>
      </c>
      <c r="BD1" s="180">
        <v>43952</v>
      </c>
      <c r="BE1" s="181" t="s">
        <v>384</v>
      </c>
      <c r="BF1" s="182" t="s">
        <v>234</v>
      </c>
      <c r="BG1" s="183" t="s">
        <v>99</v>
      </c>
      <c r="BH1" s="180">
        <v>43983</v>
      </c>
      <c r="BI1" s="181" t="s">
        <v>384</v>
      </c>
      <c r="BJ1" s="182" t="s">
        <v>234</v>
      </c>
      <c r="BK1" s="183" t="s">
        <v>99</v>
      </c>
      <c r="BL1" s="184" t="s">
        <v>217</v>
      </c>
    </row>
    <row r="2" spans="1:64">
      <c r="A2" s="10" t="s">
        <v>573</v>
      </c>
      <c r="B2" s="121" t="s">
        <v>107</v>
      </c>
      <c r="C2" s="80">
        <v>0</v>
      </c>
      <c r="D2" s="79">
        <f>200*12</f>
        <v>2400</v>
      </c>
      <c r="E2" s="79">
        <f>' 2018-2019'!J2</f>
        <v>800</v>
      </c>
      <c r="F2" s="139">
        <f>' 2018-2019'!F2</f>
        <v>200</v>
      </c>
      <c r="G2" s="78">
        <f>C2+D2</f>
        <v>2400</v>
      </c>
      <c r="H2" s="159">
        <f>BL2</f>
        <v>0</v>
      </c>
      <c r="I2" s="78">
        <f>G2-H2-C2</f>
        <v>2400</v>
      </c>
      <c r="J2" s="78">
        <f>I2+M2+E2</f>
        <v>4271.7906390441922</v>
      </c>
      <c r="K2" s="157">
        <f>Q2+U2+Y2+AC2+AG2+AK2+AO2+AS2+AW2+BA2+BE2+BI2</f>
        <v>19.799999999999997</v>
      </c>
      <c r="L2" s="157">
        <f>(H2-K2-C2)*5.5%</f>
        <v>-1.0889999999999997</v>
      </c>
      <c r="M2" s="78">
        <f>S2+W2+AA2+AE2+AI2+AM2+AQ2+AU2+AY2+BC2+BG2+BK2</f>
        <v>1071.7906390441919</v>
      </c>
      <c r="N2" s="194">
        <f>M2</f>
        <v>1071.7906390441919</v>
      </c>
      <c r="O2" s="78">
        <f>H2-K2-M2+L2</f>
        <v>-1092.6796390441918</v>
      </c>
      <c r="P2" s="165">
        <v>600</v>
      </c>
      <c r="Q2" s="166">
        <f>P2*0.99%</f>
        <v>5.9399999999999995</v>
      </c>
      <c r="R2" s="119">
        <f>E2+'Catch up Fee'!E2</f>
        <v>1000</v>
      </c>
      <c r="S2" s="167">
        <f>(R2-P2)*0.055</f>
        <v>22</v>
      </c>
      <c r="T2" s="165">
        <v>0</v>
      </c>
      <c r="U2" s="166">
        <f>T2*0.99%</f>
        <v>0</v>
      </c>
      <c r="V2" s="33">
        <f>R2-T2+'Catch up Fee'!E2+S2</f>
        <v>1222</v>
      </c>
      <c r="W2" s="167">
        <f>(V2-T2)*0.055</f>
        <v>67.209999999999994</v>
      </c>
      <c r="X2" s="165">
        <v>0</v>
      </c>
      <c r="Y2" s="166">
        <f>X2*0.99%</f>
        <v>0</v>
      </c>
      <c r="Z2" s="33">
        <f>V2-X2+'Catch up Fee'!E2+W2</f>
        <v>1489.21</v>
      </c>
      <c r="AA2" s="167">
        <f>(Z2-X2)*0.055</f>
        <v>81.906549999999996</v>
      </c>
      <c r="AB2" s="165">
        <v>400</v>
      </c>
      <c r="AC2" s="166">
        <f>AB2*0.99%</f>
        <v>3.9599999999999995</v>
      </c>
      <c r="AD2" s="33">
        <f>Z2-AB2+'Catch up Fee'!E2+AA2</f>
        <v>1371.11655</v>
      </c>
      <c r="AE2" s="167">
        <f>(AD2-AB2)*0.055</f>
        <v>53.411410249999996</v>
      </c>
      <c r="AF2" s="165">
        <v>200</v>
      </c>
      <c r="AG2" s="166">
        <f>AF2*0.99%</f>
        <v>1.9799999999999998</v>
      </c>
      <c r="AH2" s="33">
        <f>AD2-AF2+'Catch up Fee'!E2+AE2</f>
        <v>1424.52796025</v>
      </c>
      <c r="AI2" s="167">
        <f>(AH2-AF2)*0.055</f>
        <v>67.349037813750002</v>
      </c>
      <c r="AJ2" s="165">
        <v>0</v>
      </c>
      <c r="AK2" s="166">
        <f>AJ2*0.99%</f>
        <v>0</v>
      </c>
      <c r="AL2" s="33">
        <f>AH2-AJ2+'Catch up Fee'!E2+AI2</f>
        <v>1691.8769980637501</v>
      </c>
      <c r="AM2" s="167">
        <f>(AL2-AJ2)*0.055</f>
        <v>93.053234893506257</v>
      </c>
      <c r="AN2" s="165">
        <v>0</v>
      </c>
      <c r="AO2" s="166">
        <f>AN2*0.99%</f>
        <v>0</v>
      </c>
      <c r="AP2" s="33">
        <f>AL2-AN2+'Catch up Fee'!E2+AM2</f>
        <v>1984.9302329572563</v>
      </c>
      <c r="AQ2" s="167">
        <f>(AP2-AN2)*0.055</f>
        <v>109.1711628126491</v>
      </c>
      <c r="AR2" s="165">
        <v>0</v>
      </c>
      <c r="AS2" s="166">
        <f>AR2*0.99%</f>
        <v>0</v>
      </c>
      <c r="AT2" s="33">
        <f>AP2-AR2+'Catch up Fee'!E2+AQ2</f>
        <v>2294.1013957699056</v>
      </c>
      <c r="AU2" s="167">
        <f>(AT2-AR2)*0.055</f>
        <v>126.17557676734481</v>
      </c>
      <c r="AV2" s="165">
        <v>800</v>
      </c>
      <c r="AW2" s="166">
        <f>AV2*0.99%</f>
        <v>7.919999999999999</v>
      </c>
      <c r="AX2" s="33">
        <f>AT2-AV2+'Catch up Fee'!E2+AU2</f>
        <v>1820.2769725372505</v>
      </c>
      <c r="AY2" s="167">
        <f>(AX2-AV2)*0.055</f>
        <v>56.115233489548778</v>
      </c>
      <c r="AZ2" s="165">
        <v>0</v>
      </c>
      <c r="BA2" s="166">
        <f>AZ2*0.99%</f>
        <v>0</v>
      </c>
      <c r="BB2" s="33">
        <f>AX2-AZ2+'Catch up Fee'!E2+AY2</f>
        <v>2076.3922060267992</v>
      </c>
      <c r="BC2" s="167">
        <f>(BB2-AZ2)*0.055</f>
        <v>114.20157133147396</v>
      </c>
      <c r="BD2" s="165">
        <v>0</v>
      </c>
      <c r="BE2" s="166">
        <f>BD2*0.99%</f>
        <v>0</v>
      </c>
      <c r="BF2" s="33">
        <f>BB2-BD2+'Catch up Fee'!E2+BC2</f>
        <v>2390.5937773582732</v>
      </c>
      <c r="BG2" s="167">
        <f>(BF2-BD2)*0.055</f>
        <v>131.48265775470503</v>
      </c>
      <c r="BH2" s="165">
        <v>0</v>
      </c>
      <c r="BI2" s="166">
        <f>BH2*0.99%</f>
        <v>0</v>
      </c>
      <c r="BJ2" s="33">
        <f>BF2-BH2+'Catch up Fee'!E2+BG2</f>
        <v>2722.0764351129783</v>
      </c>
      <c r="BK2" s="167">
        <f>(BJ2-BH2)*0.055</f>
        <v>149.7142039312138</v>
      </c>
      <c r="BL2" s="185"/>
    </row>
    <row r="3" spans="1:64">
      <c r="A3" s="10" t="s">
        <v>574</v>
      </c>
      <c r="B3" s="121" t="s">
        <v>136</v>
      </c>
      <c r="C3" s="80">
        <v>0</v>
      </c>
      <c r="D3" s="79">
        <f t="shared" ref="D3:D67" si="0">200*12</f>
        <v>2400</v>
      </c>
      <c r="E3" s="79">
        <f>' 2018-2019'!J3</f>
        <v>0</v>
      </c>
      <c r="F3" s="139">
        <f>' 2018-2019'!F3</f>
        <v>1600</v>
      </c>
      <c r="G3" s="78">
        <f t="shared" ref="G3:G67" si="1">C3+D3</f>
        <v>2400</v>
      </c>
      <c r="H3" s="159">
        <f t="shared" ref="H3:H66" si="2">BL3</f>
        <v>2000</v>
      </c>
      <c r="I3" s="78">
        <f t="shared" ref="I3:I67" si="3">G3-H3-C3</f>
        <v>400</v>
      </c>
      <c r="J3" s="78">
        <f>I3+M3+E3</f>
        <v>1115.2596271845598</v>
      </c>
      <c r="K3" s="157">
        <f t="shared" ref="K3:K66" si="4">Q3+U3+Y3+AC3+AG3+AK3+AO3+AS3+AW3+BA3+BE3+BI3</f>
        <v>19.799999999999997</v>
      </c>
      <c r="L3" s="157">
        <f>(H3-K3-C3)*5.5%</f>
        <v>108.911</v>
      </c>
      <c r="M3" s="78">
        <f t="shared" ref="M3:M67" si="5">S3+W3+AA3+AE3+AI3+AM3+AQ3+AU3+AY3+BC3+BG3+BK3</f>
        <v>715.2596271845598</v>
      </c>
      <c r="N3" s="194">
        <f t="shared" ref="N3:N67" si="6">M3</f>
        <v>715.2596271845598</v>
      </c>
      <c r="O3" s="78">
        <f t="shared" ref="O3:O67" si="7">H3-K3-M3+L3</f>
        <v>1373.8513728154403</v>
      </c>
      <c r="P3" s="165">
        <v>0</v>
      </c>
      <c r="Q3" s="166">
        <f t="shared" ref="Q3:Q66" si="8">P3*0.99%</f>
        <v>0</v>
      </c>
      <c r="R3" s="119">
        <f>E3+'Catch up Fee'!E3</f>
        <v>200</v>
      </c>
      <c r="S3" s="167">
        <f t="shared" ref="S3:S67" si="9">(R3-P3)*0.055</f>
        <v>11</v>
      </c>
      <c r="T3" s="165">
        <v>0</v>
      </c>
      <c r="U3" s="166">
        <f t="shared" ref="U3:U66" si="10">T3*0.99%</f>
        <v>0</v>
      </c>
      <c r="V3" s="33">
        <f>R3-T3+'Catch up Fee'!E3+S3</f>
        <v>411</v>
      </c>
      <c r="W3" s="167">
        <f t="shared" ref="W3:W67" si="11">(V3-T3)*0.055</f>
        <v>22.605</v>
      </c>
      <c r="X3" s="165">
        <v>0</v>
      </c>
      <c r="Y3" s="166">
        <f t="shared" ref="Y3:Y66" si="12">X3*0.99%</f>
        <v>0</v>
      </c>
      <c r="Z3" s="33">
        <f>V3-X3+'Catch up Fee'!E3+W3</f>
        <v>633.60500000000002</v>
      </c>
      <c r="AA3" s="167">
        <f t="shared" ref="AA3:AA67" si="13">(Z3-X3)*0.055</f>
        <v>34.848275000000001</v>
      </c>
      <c r="AB3" s="165">
        <v>0</v>
      </c>
      <c r="AC3" s="166">
        <f t="shared" ref="AC3:AC66" si="14">AB3*0.99%</f>
        <v>0</v>
      </c>
      <c r="AD3" s="33">
        <f>Z3-AB3+'Catch up Fee'!E3+AA3</f>
        <v>868.45327500000008</v>
      </c>
      <c r="AE3" s="167">
        <f t="shared" ref="AE3:AE67" si="15">(AD3-AB3)*0.055</f>
        <v>47.764930125000006</v>
      </c>
      <c r="AF3" s="165">
        <v>0</v>
      </c>
      <c r="AG3" s="166">
        <f t="shared" ref="AG3:AG66" si="16">AF3*0.99%</f>
        <v>0</v>
      </c>
      <c r="AH3" s="33">
        <f>AD3-AF3+'Catch up Fee'!E3+AE3</f>
        <v>1116.2182051250002</v>
      </c>
      <c r="AI3" s="167">
        <f t="shared" ref="AI3:AI67" si="17">(AH3-AF3)*0.055</f>
        <v>61.392001281875011</v>
      </c>
      <c r="AJ3" s="165">
        <v>0</v>
      </c>
      <c r="AK3" s="166">
        <f t="shared" ref="AK3:AK66" si="18">AJ3*0.99%</f>
        <v>0</v>
      </c>
      <c r="AL3" s="33">
        <f>AH3-AJ3+'Catch up Fee'!E3+AI3</f>
        <v>1377.6102064068752</v>
      </c>
      <c r="AM3" s="167">
        <f t="shared" ref="AM3:AM67" si="19">(AL3-AJ3)*0.055</f>
        <v>75.768561352378143</v>
      </c>
      <c r="AN3" s="165">
        <v>0</v>
      </c>
      <c r="AO3" s="166">
        <f t="shared" ref="AO3:AO66" si="20">AN3*0.99%</f>
        <v>0</v>
      </c>
      <c r="AP3" s="33">
        <f>AL3-AN3+'Catch up Fee'!E3+AM3</f>
        <v>1653.3787677592534</v>
      </c>
      <c r="AQ3" s="167">
        <f t="shared" ref="AQ3:AQ67" si="21">(AP3-AN3)*0.055</f>
        <v>90.935832226758933</v>
      </c>
      <c r="AR3" s="165">
        <v>0</v>
      </c>
      <c r="AS3" s="166">
        <f t="shared" ref="AS3:AS66" si="22">AR3*0.99%</f>
        <v>0</v>
      </c>
      <c r="AT3" s="33">
        <f>AP3-AR3+'Catch up Fee'!E3+AQ3</f>
        <v>1944.3145999860124</v>
      </c>
      <c r="AU3" s="167">
        <f t="shared" ref="AU3:AU67" si="23">(AT3-AR3)*0.055</f>
        <v>106.93730299923068</v>
      </c>
      <c r="AV3" s="165">
        <v>0</v>
      </c>
      <c r="AW3" s="166">
        <f t="shared" ref="AW3:AW66" si="24">AV3*0.99%</f>
        <v>0</v>
      </c>
      <c r="AX3" s="33">
        <f>AT3-AV3+'Catch up Fee'!E3+AU3</f>
        <v>2251.2519029852433</v>
      </c>
      <c r="AY3" s="167">
        <f t="shared" ref="AY3:AY67" si="25">(AX3-AV3)*0.055</f>
        <v>123.81885466418838</v>
      </c>
      <c r="AZ3" s="165"/>
      <c r="BA3" s="166">
        <f t="shared" ref="BA3:BA66" si="26">AZ3*0.99%</f>
        <v>0</v>
      </c>
      <c r="BB3" s="33">
        <f>AX3-AZ3+'Catch up Fee'!E3+AY3</f>
        <v>2575.0707576494315</v>
      </c>
      <c r="BC3" s="167">
        <f t="shared" ref="BC3:BC67" si="27">(BB3-AZ3)*0.055</f>
        <v>141.62889167071873</v>
      </c>
      <c r="BD3" s="165">
        <v>2000</v>
      </c>
      <c r="BE3" s="166">
        <f t="shared" ref="BE3:BE66" si="28">BD3*0.99%</f>
        <v>19.799999999999997</v>
      </c>
      <c r="BF3" s="33">
        <f>BB3-BD3+'Catch up Fee'!E3+BC3</f>
        <v>916.69964932015023</v>
      </c>
      <c r="BG3" s="167">
        <f t="shared" ref="BG3:BG67" si="29">(BF3-BD3)*0.055</f>
        <v>-59.581519287391735</v>
      </c>
      <c r="BH3" s="165">
        <v>0</v>
      </c>
      <c r="BI3" s="166">
        <f t="shared" ref="BI3:BI66" si="30">BH3*0.99%</f>
        <v>0</v>
      </c>
      <c r="BJ3" s="33">
        <f>BF3-BH3+'Catch up Fee'!E3+BG3</f>
        <v>1057.1181300327585</v>
      </c>
      <c r="BK3" s="167">
        <f t="shared" ref="BK3:BK67" si="31">(BJ3-BH3)*0.055</f>
        <v>58.141497151801715</v>
      </c>
      <c r="BL3" s="185">
        <f t="shared" ref="BL3:BL66" si="32">P3+T3+X3+AB3+AF3+AJ3+AR3+AN3+AV3+AZ3+BD3+BH3</f>
        <v>2000</v>
      </c>
    </row>
    <row r="4" spans="1:64">
      <c r="A4" s="10" t="s">
        <v>575</v>
      </c>
      <c r="B4" s="121" t="s">
        <v>108</v>
      </c>
      <c r="C4" s="80">
        <v>0</v>
      </c>
      <c r="D4" s="79">
        <f t="shared" si="0"/>
        <v>2400</v>
      </c>
      <c r="E4" s="79">
        <f>' 2018-2019'!J4</f>
        <v>900</v>
      </c>
      <c r="F4" s="139">
        <f>' 2018-2019'!F4</f>
        <v>0</v>
      </c>
      <c r="G4" s="78">
        <f t="shared" si="1"/>
        <v>2400</v>
      </c>
      <c r="H4" s="159">
        <f t="shared" si="2"/>
        <v>0</v>
      </c>
      <c r="I4" s="78">
        <f t="shared" si="3"/>
        <v>2400</v>
      </c>
      <c r="J4" s="78">
        <f t="shared" ref="J4:J65" si="33">I4+M4+E4+F4</f>
        <v>5168.4463643676672</v>
      </c>
      <c r="K4" s="157">
        <f t="shared" si="4"/>
        <v>0</v>
      </c>
      <c r="L4" s="157">
        <f>(H4-K4-C4)*5.5%</f>
        <v>0</v>
      </c>
      <c r="M4" s="78">
        <f t="shared" si="5"/>
        <v>1868.4463643676675</v>
      </c>
      <c r="N4" s="194">
        <f t="shared" si="6"/>
        <v>1868.4463643676675</v>
      </c>
      <c r="O4" s="78">
        <f t="shared" si="7"/>
        <v>-1868.4463643676675</v>
      </c>
      <c r="P4" s="165">
        <v>0</v>
      </c>
      <c r="Q4" s="166">
        <f t="shared" si="8"/>
        <v>0</v>
      </c>
      <c r="R4" s="119">
        <f>E4+'Catch up Fee'!E4</f>
        <v>1100</v>
      </c>
      <c r="S4" s="167">
        <f t="shared" si="9"/>
        <v>60.5</v>
      </c>
      <c r="T4" s="165">
        <v>0</v>
      </c>
      <c r="U4" s="166">
        <f t="shared" si="10"/>
        <v>0</v>
      </c>
      <c r="V4" s="33">
        <f>R4-T4+'Catch up Fee'!E4+S4</f>
        <v>1360.5</v>
      </c>
      <c r="W4" s="167">
        <f t="shared" si="11"/>
        <v>74.827500000000001</v>
      </c>
      <c r="X4" s="165">
        <v>0</v>
      </c>
      <c r="Y4" s="166">
        <f t="shared" si="12"/>
        <v>0</v>
      </c>
      <c r="Z4" s="33">
        <f>V4-X4+'Catch up Fee'!E4+W4</f>
        <v>1635.3275000000001</v>
      </c>
      <c r="AA4" s="167">
        <f t="shared" si="13"/>
        <v>89.943012500000009</v>
      </c>
      <c r="AB4" s="165">
        <v>0</v>
      </c>
      <c r="AC4" s="166">
        <f t="shared" si="14"/>
        <v>0</v>
      </c>
      <c r="AD4" s="33">
        <f>Z4-AB4+'Catch up Fee'!E4+AA4</f>
        <v>1925.2705125000002</v>
      </c>
      <c r="AE4" s="167">
        <f t="shared" si="15"/>
        <v>105.88987818750002</v>
      </c>
      <c r="AF4" s="165">
        <v>0</v>
      </c>
      <c r="AG4" s="166">
        <f t="shared" si="16"/>
        <v>0</v>
      </c>
      <c r="AH4" s="33">
        <f>AD4-AF4+'Catch up Fee'!E4+AE4</f>
        <v>2231.1603906875002</v>
      </c>
      <c r="AI4" s="167">
        <f t="shared" si="17"/>
        <v>122.71382148781251</v>
      </c>
      <c r="AJ4" s="165">
        <v>0</v>
      </c>
      <c r="AK4" s="166">
        <f t="shared" si="18"/>
        <v>0</v>
      </c>
      <c r="AL4" s="33">
        <f>AH4-AJ4+'Catch up Fee'!E4+AI4</f>
        <v>2553.8742121753126</v>
      </c>
      <c r="AM4" s="167">
        <f t="shared" si="19"/>
        <v>140.46308166964218</v>
      </c>
      <c r="AN4" s="165">
        <v>0</v>
      </c>
      <c r="AO4" s="166">
        <f t="shared" si="20"/>
        <v>0</v>
      </c>
      <c r="AP4" s="33">
        <f>AL4-AN4+'Catch up Fee'!E4+AM4</f>
        <v>2894.3372938449547</v>
      </c>
      <c r="AQ4" s="167">
        <f t="shared" si="21"/>
        <v>159.1885511614725</v>
      </c>
      <c r="AR4" s="165">
        <v>0</v>
      </c>
      <c r="AS4" s="166">
        <f t="shared" si="22"/>
        <v>0</v>
      </c>
      <c r="AT4" s="33">
        <f>AP4-AR4+'Catch up Fee'!E4+AQ4</f>
        <v>3253.5258450064271</v>
      </c>
      <c r="AU4" s="167">
        <f t="shared" si="23"/>
        <v>178.94392147535348</v>
      </c>
      <c r="AV4" s="165">
        <v>0</v>
      </c>
      <c r="AW4" s="166">
        <f t="shared" si="24"/>
        <v>0</v>
      </c>
      <c r="AX4" s="33">
        <f>AT4-AV4+'Catch up Fee'!E4+AU4</f>
        <v>3632.4697664817804</v>
      </c>
      <c r="AY4" s="167">
        <f t="shared" si="25"/>
        <v>199.78583715649793</v>
      </c>
      <c r="AZ4" s="165">
        <v>0</v>
      </c>
      <c r="BA4" s="166">
        <f t="shared" si="26"/>
        <v>0</v>
      </c>
      <c r="BB4" s="33">
        <f>AX4-AZ4+'Catch up Fee'!E4+AY4</f>
        <v>4032.2556036382784</v>
      </c>
      <c r="BC4" s="167">
        <f t="shared" si="27"/>
        <v>221.77405820010532</v>
      </c>
      <c r="BD4" s="165">
        <v>0</v>
      </c>
      <c r="BE4" s="166">
        <f t="shared" si="28"/>
        <v>0</v>
      </c>
      <c r="BF4" s="33">
        <f>BB4-BD4+'Catch up Fee'!E4+BC4</f>
        <v>4454.0296618383836</v>
      </c>
      <c r="BG4" s="167">
        <f t="shared" si="29"/>
        <v>244.9716314011111</v>
      </c>
      <c r="BH4" s="165">
        <v>0</v>
      </c>
      <c r="BI4" s="166">
        <f t="shared" si="30"/>
        <v>0</v>
      </c>
      <c r="BJ4" s="33">
        <f>BF4-BH4+'Catch up Fee'!E4+BG4</f>
        <v>4899.0012932394948</v>
      </c>
      <c r="BK4" s="167">
        <f t="shared" si="31"/>
        <v>269.44507112817223</v>
      </c>
      <c r="BL4" s="185">
        <f t="shared" si="32"/>
        <v>0</v>
      </c>
    </row>
    <row r="5" spans="1:64">
      <c r="A5" s="10" t="s">
        <v>576</v>
      </c>
      <c r="B5" s="121" t="s">
        <v>109</v>
      </c>
      <c r="C5" s="80">
        <v>0</v>
      </c>
      <c r="D5" s="79">
        <f t="shared" si="0"/>
        <v>2400</v>
      </c>
      <c r="E5" s="79">
        <f>' 2018-2019'!J5</f>
        <v>2200</v>
      </c>
      <c r="F5" s="139">
        <f>' 2018-2019'!F5</f>
        <v>0</v>
      </c>
      <c r="G5" s="78">
        <f t="shared" si="1"/>
        <v>2400</v>
      </c>
      <c r="H5" s="159">
        <f t="shared" si="2"/>
        <v>0</v>
      </c>
      <c r="I5" s="78">
        <f t="shared" si="3"/>
        <v>2400</v>
      </c>
      <c r="J5" s="78">
        <f t="shared" si="33"/>
        <v>7640.0160958543793</v>
      </c>
      <c r="K5" s="157">
        <f t="shared" si="4"/>
        <v>0</v>
      </c>
      <c r="L5" s="157">
        <f>(H5-K5-C5)*5.5%</f>
        <v>0</v>
      </c>
      <c r="M5" s="78">
        <f t="shared" si="5"/>
        <v>3040.0160958543793</v>
      </c>
      <c r="N5" s="194">
        <f t="shared" si="6"/>
        <v>3040.0160958543793</v>
      </c>
      <c r="O5" s="78">
        <f t="shared" si="7"/>
        <v>-3040.0160958543793</v>
      </c>
      <c r="P5" s="165">
        <v>0</v>
      </c>
      <c r="Q5" s="166">
        <f t="shared" si="8"/>
        <v>0</v>
      </c>
      <c r="R5" s="119">
        <f>E5+'Catch up Fee'!E5</f>
        <v>2400</v>
      </c>
      <c r="S5" s="167">
        <f t="shared" si="9"/>
        <v>132</v>
      </c>
      <c r="T5" s="165">
        <v>0</v>
      </c>
      <c r="U5" s="166">
        <f t="shared" si="10"/>
        <v>0</v>
      </c>
      <c r="V5" s="33">
        <f>R5-T5+'Catch up Fee'!E5+S5</f>
        <v>2732</v>
      </c>
      <c r="W5" s="167">
        <f t="shared" si="11"/>
        <v>150.26</v>
      </c>
      <c r="X5" s="165">
        <v>0</v>
      </c>
      <c r="Y5" s="166">
        <f t="shared" si="12"/>
        <v>0</v>
      </c>
      <c r="Z5" s="33">
        <f>V5-X5+'Catch up Fee'!E5+W5</f>
        <v>3082.26</v>
      </c>
      <c r="AA5" s="167">
        <f t="shared" si="13"/>
        <v>169.52430000000001</v>
      </c>
      <c r="AB5" s="165">
        <v>0</v>
      </c>
      <c r="AC5" s="166">
        <f t="shared" si="14"/>
        <v>0</v>
      </c>
      <c r="AD5" s="33">
        <f>Z5-AB5+'Catch up Fee'!E5+AA5</f>
        <v>3451.7843000000003</v>
      </c>
      <c r="AE5" s="167">
        <f t="shared" si="15"/>
        <v>189.84813650000001</v>
      </c>
      <c r="AF5" s="165">
        <v>0</v>
      </c>
      <c r="AG5" s="166">
        <f t="shared" si="16"/>
        <v>0</v>
      </c>
      <c r="AH5" s="33">
        <f>AD5-AF5+'Catch up Fee'!E5+AE5</f>
        <v>3841.6324365</v>
      </c>
      <c r="AI5" s="167">
        <f t="shared" si="17"/>
        <v>211.2897840075</v>
      </c>
      <c r="AJ5" s="165">
        <v>0</v>
      </c>
      <c r="AK5" s="166">
        <f t="shared" si="18"/>
        <v>0</v>
      </c>
      <c r="AL5" s="33">
        <f>AH5-AJ5+'Catch up Fee'!E5+AI5</f>
        <v>4252.9222205075002</v>
      </c>
      <c r="AM5" s="167">
        <f t="shared" si="19"/>
        <v>233.91072212791252</v>
      </c>
      <c r="AN5" s="165">
        <v>0</v>
      </c>
      <c r="AO5" s="166">
        <f t="shared" si="20"/>
        <v>0</v>
      </c>
      <c r="AP5" s="33">
        <f>AL5-AN5+'Catch up Fee'!E5+AM5</f>
        <v>4686.832942635413</v>
      </c>
      <c r="AQ5" s="167">
        <f t="shared" si="21"/>
        <v>257.77581184494773</v>
      </c>
      <c r="AR5" s="165">
        <v>0</v>
      </c>
      <c r="AS5" s="166">
        <f t="shared" si="22"/>
        <v>0</v>
      </c>
      <c r="AT5" s="33">
        <f>AP5-AR5+'Catch up Fee'!E5+AQ5</f>
        <v>5144.6087544803604</v>
      </c>
      <c r="AU5" s="167">
        <f t="shared" si="23"/>
        <v>282.95348149641984</v>
      </c>
      <c r="AV5" s="165">
        <v>0</v>
      </c>
      <c r="AW5" s="166">
        <f t="shared" si="24"/>
        <v>0</v>
      </c>
      <c r="AX5" s="33">
        <f>AT5-AV5+'Catch up Fee'!E5+AU5</f>
        <v>5627.5622359767804</v>
      </c>
      <c r="AY5" s="167">
        <f t="shared" si="25"/>
        <v>309.51592297872293</v>
      </c>
      <c r="AZ5" s="165">
        <v>0</v>
      </c>
      <c r="BA5" s="166">
        <f t="shared" si="26"/>
        <v>0</v>
      </c>
      <c r="BB5" s="33">
        <f>AX5-AZ5+'Catch up Fee'!E5+AY5</f>
        <v>6137.0781589555036</v>
      </c>
      <c r="BC5" s="167">
        <f t="shared" si="27"/>
        <v>337.53929874255272</v>
      </c>
      <c r="BD5" s="165">
        <v>0</v>
      </c>
      <c r="BE5" s="166">
        <f t="shared" si="28"/>
        <v>0</v>
      </c>
      <c r="BF5" s="33">
        <f>BB5-BD5+'Catch up Fee'!E5+BC5</f>
        <v>6674.6174576980566</v>
      </c>
      <c r="BG5" s="167">
        <f t="shared" si="29"/>
        <v>367.10396017339309</v>
      </c>
      <c r="BH5" s="165">
        <v>0</v>
      </c>
      <c r="BI5" s="166">
        <f t="shared" si="30"/>
        <v>0</v>
      </c>
      <c r="BJ5" s="33">
        <f>BF5-BH5+'Catch up Fee'!E5+BG5</f>
        <v>7241.7214178714494</v>
      </c>
      <c r="BK5" s="167">
        <f t="shared" si="31"/>
        <v>398.29467798292973</v>
      </c>
      <c r="BL5" s="185">
        <f t="shared" si="32"/>
        <v>0</v>
      </c>
    </row>
    <row r="6" spans="1:64" s="41" customFormat="1">
      <c r="A6" s="10" t="s">
        <v>577</v>
      </c>
      <c r="B6" s="121" t="s">
        <v>110</v>
      </c>
      <c r="C6" s="79">
        <v>0</v>
      </c>
      <c r="D6" s="79">
        <f t="shared" si="0"/>
        <v>2400</v>
      </c>
      <c r="E6" s="79">
        <f>' 2018-2019'!J6</f>
        <v>-100</v>
      </c>
      <c r="F6" s="139">
        <f>' 2018-2019'!F6</f>
        <v>0</v>
      </c>
      <c r="G6" s="78">
        <f t="shared" si="1"/>
        <v>2400</v>
      </c>
      <c r="H6" s="159">
        <f t="shared" si="2"/>
        <v>1850</v>
      </c>
      <c r="I6" s="78">
        <f t="shared" si="3"/>
        <v>550</v>
      </c>
      <c r="J6" s="78">
        <f t="shared" si="33"/>
        <v>459.86650311879976</v>
      </c>
      <c r="K6" s="157">
        <f t="shared" si="4"/>
        <v>18.314999999999998</v>
      </c>
      <c r="L6" s="157">
        <f t="shared" ref="L6:L13" si="34">(H6-K6-C6)*5.5%</f>
        <v>100.74267499999999</v>
      </c>
      <c r="M6" s="78">
        <f t="shared" si="5"/>
        <v>9.8665031187997645</v>
      </c>
      <c r="N6" s="194">
        <f t="shared" si="6"/>
        <v>9.8665031187997645</v>
      </c>
      <c r="O6" s="78">
        <f t="shared" si="7"/>
        <v>1922.5611718812002</v>
      </c>
      <c r="P6" s="165">
        <v>0</v>
      </c>
      <c r="Q6" s="166">
        <f t="shared" si="8"/>
        <v>0</v>
      </c>
      <c r="R6" s="119">
        <f>E6+'Catch up Fee'!E6</f>
        <v>100</v>
      </c>
      <c r="S6" s="167">
        <f t="shared" si="9"/>
        <v>5.5</v>
      </c>
      <c r="T6" s="165">
        <v>0</v>
      </c>
      <c r="U6" s="166">
        <f t="shared" si="10"/>
        <v>0</v>
      </c>
      <c r="V6" s="33">
        <f>R6-T6+'Catch up Fee'!E6+S6</f>
        <v>305.5</v>
      </c>
      <c r="W6" s="167">
        <f t="shared" si="11"/>
        <v>16.802499999999998</v>
      </c>
      <c r="X6" s="165">
        <f>'2018-2019 B STATEMENT '!B382</f>
        <v>400</v>
      </c>
      <c r="Y6" s="166">
        <f t="shared" si="12"/>
        <v>3.9599999999999995</v>
      </c>
      <c r="Z6" s="33">
        <f>V6-X6+'Catch up Fee'!E6+W6</f>
        <v>122.30249999999999</v>
      </c>
      <c r="AA6" s="167">
        <f t="shared" si="13"/>
        <v>-15.273362499999999</v>
      </c>
      <c r="AB6" s="165">
        <f>'2018-2019 B STATEMENT '!B416</f>
        <v>200</v>
      </c>
      <c r="AC6" s="166">
        <f t="shared" si="14"/>
        <v>1.9799999999999998</v>
      </c>
      <c r="AD6" s="33">
        <f>Z6-AB6+'Catch up Fee'!E6+AA6</f>
        <v>107.02913749999999</v>
      </c>
      <c r="AE6" s="167">
        <f t="shared" si="15"/>
        <v>-5.1133974375000006</v>
      </c>
      <c r="AF6" s="165">
        <f>'2018-2019 B STATEMENT '!B429</f>
        <v>200</v>
      </c>
      <c r="AG6" s="166">
        <f t="shared" si="16"/>
        <v>1.9799999999999998</v>
      </c>
      <c r="AH6" s="33">
        <f>AD6-AF6+'Catch up Fee'!E6+AE6</f>
        <v>101.91574006249999</v>
      </c>
      <c r="AI6" s="167">
        <f t="shared" si="17"/>
        <v>-5.3946342965625007</v>
      </c>
      <c r="AJ6" s="165">
        <v>0</v>
      </c>
      <c r="AK6" s="166">
        <f t="shared" si="18"/>
        <v>0</v>
      </c>
      <c r="AL6" s="33">
        <f>AH6-AJ6+'Catch up Fee'!E6+AI6</f>
        <v>296.52110576593748</v>
      </c>
      <c r="AM6" s="167">
        <f t="shared" si="19"/>
        <v>16.308660817126562</v>
      </c>
      <c r="AN6" s="165">
        <f>'2018-2019 B STATEMENT '!B483</f>
        <v>400</v>
      </c>
      <c r="AO6" s="166">
        <f t="shared" si="20"/>
        <v>3.9599999999999995</v>
      </c>
      <c r="AP6" s="33">
        <f>AL6-AN6+'Catch up Fee'!E6+AM6</f>
        <v>112.82976658306404</v>
      </c>
      <c r="AQ6" s="167">
        <f t="shared" si="21"/>
        <v>-15.794362837931478</v>
      </c>
      <c r="AR6" s="165">
        <f>'2018-2019 B STATEMENT '!B501</f>
        <v>200</v>
      </c>
      <c r="AS6" s="166">
        <f t="shared" si="22"/>
        <v>1.9799999999999998</v>
      </c>
      <c r="AT6" s="33">
        <f>AP6-AR6+'Catch up Fee'!E6+AQ6</f>
        <v>97.035403745132569</v>
      </c>
      <c r="AU6" s="167">
        <f t="shared" si="23"/>
        <v>-5.6630527940177089</v>
      </c>
      <c r="AV6" s="165">
        <f>'2018-2019 B STATEMENT '!B518</f>
        <v>200</v>
      </c>
      <c r="AW6" s="166">
        <f t="shared" si="24"/>
        <v>1.9799999999999998</v>
      </c>
      <c r="AX6" s="33">
        <f>AT6-AV6+'Catch up Fee'!E6+AU6</f>
        <v>91.372350951114868</v>
      </c>
      <c r="AY6" s="167">
        <f t="shared" si="25"/>
        <v>-5.974520697688682</v>
      </c>
      <c r="AZ6" s="165">
        <f>'2018-2019 B STATEMENT '!B536</f>
        <v>250</v>
      </c>
      <c r="BA6" s="166">
        <f t="shared" si="26"/>
        <v>2.4749999999999996</v>
      </c>
      <c r="BB6" s="33">
        <f>AX6-AZ6+'Catch up Fee'!E6+AY6</f>
        <v>35.397830253426186</v>
      </c>
      <c r="BC6" s="167">
        <f t="shared" si="27"/>
        <v>-11.80311933606156</v>
      </c>
      <c r="BD6" s="165">
        <v>0</v>
      </c>
      <c r="BE6" s="166">
        <f t="shared" si="28"/>
        <v>0</v>
      </c>
      <c r="BF6" s="33">
        <f>BB6-BD6+'Catch up Fee'!E6+BC6</f>
        <v>223.59471091736461</v>
      </c>
      <c r="BG6" s="167">
        <f t="shared" si="29"/>
        <v>12.297709100455053</v>
      </c>
      <c r="BH6" s="165">
        <v>0</v>
      </c>
      <c r="BI6" s="166">
        <f t="shared" si="30"/>
        <v>0</v>
      </c>
      <c r="BJ6" s="33">
        <f>BF6-BH6+'Catch up Fee'!E6+BG6</f>
        <v>435.89242001781969</v>
      </c>
      <c r="BK6" s="167">
        <f t="shared" si="31"/>
        <v>23.974083100980081</v>
      </c>
      <c r="BL6" s="185">
        <f t="shared" si="32"/>
        <v>1850</v>
      </c>
    </row>
    <row r="7" spans="1:64">
      <c r="A7" s="10" t="s">
        <v>578</v>
      </c>
      <c r="B7" s="121" t="s">
        <v>137</v>
      </c>
      <c r="C7" s="80">
        <v>0</v>
      </c>
      <c r="D7" s="79">
        <f t="shared" si="0"/>
        <v>2400</v>
      </c>
      <c r="E7" s="79">
        <f>' 2018-2019'!J7</f>
        <v>1400</v>
      </c>
      <c r="F7" s="139">
        <f>' 2018-2019'!F7</f>
        <v>600</v>
      </c>
      <c r="G7" s="78">
        <f t="shared" si="1"/>
        <v>2400</v>
      </c>
      <c r="H7" s="159">
        <f t="shared" si="2"/>
        <v>0</v>
      </c>
      <c r="I7" s="78">
        <f t="shared" si="3"/>
        <v>2400</v>
      </c>
      <c r="J7" s="78">
        <f>I7+M7+E7</f>
        <v>6119.0501072471725</v>
      </c>
      <c r="K7" s="157">
        <f t="shared" si="4"/>
        <v>0</v>
      </c>
      <c r="L7" s="157">
        <f t="shared" si="34"/>
        <v>0</v>
      </c>
      <c r="M7" s="78">
        <f t="shared" si="5"/>
        <v>2319.050107247172</v>
      </c>
      <c r="N7" s="194">
        <f t="shared" si="6"/>
        <v>2319.050107247172</v>
      </c>
      <c r="O7" s="78">
        <f t="shared" si="7"/>
        <v>-2319.050107247172</v>
      </c>
      <c r="P7" s="165">
        <v>0</v>
      </c>
      <c r="Q7" s="166">
        <f t="shared" si="8"/>
        <v>0</v>
      </c>
      <c r="R7" s="119">
        <f>E7+'Catch up Fee'!E7</f>
        <v>1600</v>
      </c>
      <c r="S7" s="167">
        <f t="shared" si="9"/>
        <v>88</v>
      </c>
      <c r="T7" s="165">
        <v>0</v>
      </c>
      <c r="U7" s="166">
        <f t="shared" si="10"/>
        <v>0</v>
      </c>
      <c r="V7" s="33">
        <f>R7-T7+'Catch up Fee'!E7+S7</f>
        <v>1888</v>
      </c>
      <c r="W7" s="167">
        <f t="shared" si="11"/>
        <v>103.84</v>
      </c>
      <c r="X7" s="165">
        <v>0</v>
      </c>
      <c r="Y7" s="166">
        <f t="shared" si="12"/>
        <v>0</v>
      </c>
      <c r="Z7" s="33">
        <f>V7-X7+'Catch up Fee'!E7+W7</f>
        <v>2191.84</v>
      </c>
      <c r="AA7" s="167">
        <f t="shared" si="13"/>
        <v>120.55120000000001</v>
      </c>
      <c r="AB7" s="165">
        <v>0</v>
      </c>
      <c r="AC7" s="166">
        <f t="shared" si="14"/>
        <v>0</v>
      </c>
      <c r="AD7" s="33">
        <f>Z7-AB7+'Catch up Fee'!E7+AA7</f>
        <v>2512.3912</v>
      </c>
      <c r="AE7" s="167">
        <f t="shared" si="15"/>
        <v>138.18151600000002</v>
      </c>
      <c r="AF7" s="165">
        <v>0</v>
      </c>
      <c r="AG7" s="166">
        <f t="shared" si="16"/>
        <v>0</v>
      </c>
      <c r="AH7" s="33">
        <f>AD7-AF7+'Catch up Fee'!E7+AE7</f>
        <v>2850.5727160000001</v>
      </c>
      <c r="AI7" s="167">
        <f t="shared" si="17"/>
        <v>156.78149938000001</v>
      </c>
      <c r="AJ7" s="165">
        <v>0</v>
      </c>
      <c r="AK7" s="166">
        <f t="shared" si="18"/>
        <v>0</v>
      </c>
      <c r="AL7" s="33">
        <f>AH7-AJ7+'Catch up Fee'!E7+AI7</f>
        <v>3207.3542153799999</v>
      </c>
      <c r="AM7" s="167">
        <f t="shared" si="19"/>
        <v>176.40448184589999</v>
      </c>
      <c r="AN7" s="165">
        <v>0</v>
      </c>
      <c r="AO7" s="166">
        <f t="shared" si="20"/>
        <v>0</v>
      </c>
      <c r="AP7" s="33">
        <f>AL7-AN7+'Catch up Fee'!E7+AM7</f>
        <v>3583.7586972259001</v>
      </c>
      <c r="AQ7" s="167">
        <f t="shared" si="21"/>
        <v>197.10672834742451</v>
      </c>
      <c r="AR7" s="165">
        <v>0</v>
      </c>
      <c r="AS7" s="166">
        <f t="shared" si="22"/>
        <v>0</v>
      </c>
      <c r="AT7" s="33">
        <f>AP7-AR7+'Catch up Fee'!E7+AQ7</f>
        <v>3980.8654255733245</v>
      </c>
      <c r="AU7" s="167">
        <f t="shared" si="23"/>
        <v>218.94759840653285</v>
      </c>
      <c r="AV7" s="165">
        <v>0</v>
      </c>
      <c r="AW7" s="166">
        <f t="shared" si="24"/>
        <v>0</v>
      </c>
      <c r="AX7" s="33">
        <f>AT7-AV7+'Catch up Fee'!E7+AU7</f>
        <v>4399.8130239798575</v>
      </c>
      <c r="AY7" s="167">
        <f t="shared" si="25"/>
        <v>241.98971631889216</v>
      </c>
      <c r="AZ7" s="165">
        <v>0</v>
      </c>
      <c r="BA7" s="166">
        <f t="shared" si="26"/>
        <v>0</v>
      </c>
      <c r="BB7" s="33">
        <f>AX7-AZ7+'Catch up Fee'!E7+AY7</f>
        <v>4841.80274029875</v>
      </c>
      <c r="BC7" s="167">
        <f t="shared" si="27"/>
        <v>266.29915071643126</v>
      </c>
      <c r="BD7" s="165">
        <v>0</v>
      </c>
      <c r="BE7" s="166">
        <f t="shared" si="28"/>
        <v>0</v>
      </c>
      <c r="BF7" s="33">
        <f>BB7-BD7+'Catch up Fee'!E7+BC7</f>
        <v>5308.1018910151815</v>
      </c>
      <c r="BG7" s="167">
        <f t="shared" si="29"/>
        <v>291.94560400583498</v>
      </c>
      <c r="BH7" s="165">
        <v>0</v>
      </c>
      <c r="BI7" s="166">
        <f t="shared" si="30"/>
        <v>0</v>
      </c>
      <c r="BJ7" s="33">
        <f>BF7-BH7+'Catch up Fee'!E7+BG7</f>
        <v>5800.0474950210164</v>
      </c>
      <c r="BK7" s="167">
        <f t="shared" si="31"/>
        <v>319.00261222615592</v>
      </c>
      <c r="BL7" s="185">
        <f t="shared" si="32"/>
        <v>0</v>
      </c>
    </row>
    <row r="8" spans="1:64" s="41" customFormat="1">
      <c r="A8" s="10" t="s">
        <v>579</v>
      </c>
      <c r="B8" s="10" t="s">
        <v>175</v>
      </c>
      <c r="C8" s="80">
        <v>0</v>
      </c>
      <c r="D8" s="79">
        <f>200*12</f>
        <v>2400</v>
      </c>
      <c r="E8" s="79">
        <f>' 2018-2019'!J90</f>
        <v>-300</v>
      </c>
      <c r="F8" s="139">
        <f>' 2018-2019'!F8</f>
        <v>7800</v>
      </c>
      <c r="G8" s="78">
        <f>C8+D8</f>
        <v>2400</v>
      </c>
      <c r="H8" s="159">
        <f>BL8</f>
        <v>0</v>
      </c>
      <c r="I8" s="78">
        <f>G8-H8-C8</f>
        <v>2400</v>
      </c>
      <c r="J8" s="78">
        <f>I8+M8+E8</f>
        <v>2886.9973814568571</v>
      </c>
      <c r="K8" s="157">
        <f t="shared" si="4"/>
        <v>0</v>
      </c>
      <c r="L8" s="157">
        <f t="shared" si="34"/>
        <v>0</v>
      </c>
      <c r="M8" s="78">
        <f>S8+W8+AA8+AE8+AI8+AM8+AQ8+AU8+AY8+BC8+BG8+BK8</f>
        <v>786.99738145685717</v>
      </c>
      <c r="N8" s="194">
        <f>M8</f>
        <v>786.99738145685717</v>
      </c>
      <c r="O8" s="78">
        <f>H8-K8-M8+L8</f>
        <v>-786.99738145685717</v>
      </c>
      <c r="P8" s="165">
        <v>0</v>
      </c>
      <c r="Q8" s="166">
        <f t="shared" si="8"/>
        <v>0</v>
      </c>
      <c r="R8" s="119">
        <f>E8+'Catch up Fee'!E8</f>
        <v>-100</v>
      </c>
      <c r="S8" s="167">
        <f>(R8-P8)*0.055</f>
        <v>-5.5</v>
      </c>
      <c r="T8" s="165">
        <v>0</v>
      </c>
      <c r="U8" s="166">
        <f t="shared" si="10"/>
        <v>0</v>
      </c>
      <c r="V8" s="33">
        <f>R8-T8+'Catch up Fee'!E8+S8</f>
        <v>94.5</v>
      </c>
      <c r="W8" s="167">
        <f>(V8-T8)*0.055</f>
        <v>5.1974999999999998</v>
      </c>
      <c r="X8" s="165">
        <v>0</v>
      </c>
      <c r="Y8" s="166">
        <f t="shared" si="12"/>
        <v>0</v>
      </c>
      <c r="Z8" s="33">
        <f>V8-X8+'Catch up Fee'!E8+W8</f>
        <v>299.69749999999999</v>
      </c>
      <c r="AA8" s="167">
        <f>(Z8-X8)*0.055</f>
        <v>16.483362499999998</v>
      </c>
      <c r="AB8" s="165">
        <v>0</v>
      </c>
      <c r="AC8" s="166">
        <f t="shared" si="14"/>
        <v>0</v>
      </c>
      <c r="AD8" s="33">
        <f>Z8-AB8+'Catch up Fee'!E8+AA8</f>
        <v>516.18086249999999</v>
      </c>
      <c r="AE8" s="167">
        <f>(AD8-AB8)*0.055</f>
        <v>28.389947437499998</v>
      </c>
      <c r="AF8" s="165">
        <v>0</v>
      </c>
      <c r="AG8" s="166">
        <f t="shared" si="16"/>
        <v>0</v>
      </c>
      <c r="AH8" s="33">
        <f>AD8-AF8+'Catch up Fee'!E8+AE8</f>
        <v>744.57080993750003</v>
      </c>
      <c r="AI8" s="167">
        <f>(AH8-AF8)*0.055</f>
        <v>40.951394546562504</v>
      </c>
      <c r="AJ8" s="165">
        <v>0</v>
      </c>
      <c r="AK8" s="166">
        <f t="shared" si="18"/>
        <v>0</v>
      </c>
      <c r="AL8" s="33">
        <f>AH8-AJ8+'Catch up Fee'!E8+AI8</f>
        <v>985.52220448406251</v>
      </c>
      <c r="AM8" s="167">
        <f>(AL8-AJ8)*0.055</f>
        <v>54.203721246623438</v>
      </c>
      <c r="AN8" s="165">
        <v>0</v>
      </c>
      <c r="AO8" s="166">
        <f t="shared" si="20"/>
        <v>0</v>
      </c>
      <c r="AP8" s="33">
        <f>AL8-AN8+'Catch up Fee'!E8+AM8</f>
        <v>1239.725925730686</v>
      </c>
      <c r="AQ8" s="167">
        <f>(AP8-AN8)*0.055</f>
        <v>68.184925915187733</v>
      </c>
      <c r="AR8" s="165">
        <v>0</v>
      </c>
      <c r="AS8" s="166">
        <f t="shared" si="22"/>
        <v>0</v>
      </c>
      <c r="AT8" s="33">
        <f>AP8-AR8+'Catch up Fee'!E8+AQ8</f>
        <v>1507.9108516458737</v>
      </c>
      <c r="AU8" s="167">
        <f>(AT8-AR8)*0.055</f>
        <v>82.935096840523059</v>
      </c>
      <c r="AV8" s="165">
        <v>0</v>
      </c>
      <c r="AW8" s="166">
        <f t="shared" si="24"/>
        <v>0</v>
      </c>
      <c r="AX8" s="33">
        <f>AT8-AV8+'Catch up Fee'!E8+AU8</f>
        <v>1790.8459484863968</v>
      </c>
      <c r="AY8" s="167">
        <f>(AX8-AV8)*0.055</f>
        <v>98.496527166751818</v>
      </c>
      <c r="AZ8" s="165">
        <v>0</v>
      </c>
      <c r="BA8" s="166">
        <f t="shared" si="26"/>
        <v>0</v>
      </c>
      <c r="BB8" s="33">
        <f>AX8-AZ8+'Catch up Fee'!E8+AY8</f>
        <v>2089.3424756531485</v>
      </c>
      <c r="BC8" s="167">
        <f>(BB8-AZ8)*0.055</f>
        <v>114.91383616092317</v>
      </c>
      <c r="BD8" s="165">
        <v>0</v>
      </c>
      <c r="BE8" s="166">
        <f t="shared" si="28"/>
        <v>0</v>
      </c>
      <c r="BF8" s="33">
        <f>BB8-BD8+'Catch up Fee'!E8+BC8</f>
        <v>2404.2563118140715</v>
      </c>
      <c r="BG8" s="167">
        <f>(BF8-BD8)*0.055</f>
        <v>132.23409714977393</v>
      </c>
      <c r="BH8" s="165">
        <v>0</v>
      </c>
      <c r="BI8" s="166">
        <f t="shared" si="30"/>
        <v>0</v>
      </c>
      <c r="BJ8" s="33">
        <f>BF8-BH8+'Catch up Fee'!E8+BG8</f>
        <v>2736.4904089638453</v>
      </c>
      <c r="BK8" s="167">
        <f>(BJ8-BH8)*0.055</f>
        <v>150.50697249301149</v>
      </c>
      <c r="BL8" s="185">
        <f t="shared" si="32"/>
        <v>0</v>
      </c>
    </row>
    <row r="9" spans="1:64">
      <c r="A9" s="10" t="s">
        <v>580</v>
      </c>
      <c r="B9" s="10" t="s">
        <v>111</v>
      </c>
      <c r="C9" s="80">
        <v>0</v>
      </c>
      <c r="D9" s="79">
        <f t="shared" si="0"/>
        <v>2400</v>
      </c>
      <c r="E9" s="79">
        <f>' 2018-2019'!J8</f>
        <v>2400</v>
      </c>
      <c r="F9" s="139">
        <f>' 2018-2019'!F9</f>
        <v>0</v>
      </c>
      <c r="G9" s="78">
        <f t="shared" si="1"/>
        <v>2400</v>
      </c>
      <c r="H9" s="159">
        <f t="shared" si="2"/>
        <v>500</v>
      </c>
      <c r="I9" s="78">
        <f t="shared" si="3"/>
        <v>1900</v>
      </c>
      <c r="J9" s="78">
        <f t="shared" si="33"/>
        <v>7072.2374186199359</v>
      </c>
      <c r="K9" s="157">
        <f t="shared" si="4"/>
        <v>4.9499999999999993</v>
      </c>
      <c r="L9" s="157">
        <f t="shared" si="34"/>
        <v>27.22775</v>
      </c>
      <c r="M9" s="78">
        <f t="shared" si="5"/>
        <v>2772.2374186199354</v>
      </c>
      <c r="N9" s="194">
        <f t="shared" si="6"/>
        <v>2772.2374186199354</v>
      </c>
      <c r="O9" s="78">
        <f t="shared" si="7"/>
        <v>-2249.9596686199352</v>
      </c>
      <c r="P9" s="165">
        <v>0</v>
      </c>
      <c r="Q9" s="166">
        <f t="shared" si="8"/>
        <v>0</v>
      </c>
      <c r="R9" s="119">
        <f>E9+'Catch up Fee'!E9</f>
        <v>2600</v>
      </c>
      <c r="S9" s="167">
        <f t="shared" si="9"/>
        <v>143</v>
      </c>
      <c r="T9" s="165">
        <f>'2018-2019 B STATEMENT '!B365</f>
        <v>500</v>
      </c>
      <c r="U9" s="166">
        <f t="shared" si="10"/>
        <v>4.9499999999999993</v>
      </c>
      <c r="V9" s="33">
        <f>R9-T9+'Catch up Fee'!E9+S9</f>
        <v>2443</v>
      </c>
      <c r="W9" s="167">
        <f t="shared" si="11"/>
        <v>106.86499999999999</v>
      </c>
      <c r="X9" s="165">
        <v>0</v>
      </c>
      <c r="Y9" s="166">
        <f t="shared" si="12"/>
        <v>0</v>
      </c>
      <c r="Z9" s="33">
        <f>V9-X9+'Catch up Fee'!E9+W9</f>
        <v>2749.8649999999998</v>
      </c>
      <c r="AA9" s="167">
        <f t="shared" si="13"/>
        <v>151.24257499999999</v>
      </c>
      <c r="AB9" s="165"/>
      <c r="AC9" s="166">
        <f t="shared" si="14"/>
        <v>0</v>
      </c>
      <c r="AD9" s="33">
        <f>Z9-AB9+'Catch up Fee'!E9+AA9</f>
        <v>3101.107575</v>
      </c>
      <c r="AE9" s="167">
        <f t="shared" si="15"/>
        <v>170.560916625</v>
      </c>
      <c r="AF9" s="165"/>
      <c r="AG9" s="166">
        <f t="shared" si="16"/>
        <v>0</v>
      </c>
      <c r="AH9" s="33">
        <f>AD9-AF9+'Catch up Fee'!E9+AE9</f>
        <v>3471.6684916250001</v>
      </c>
      <c r="AI9" s="167">
        <f t="shared" si="17"/>
        <v>190.94176703937501</v>
      </c>
      <c r="AJ9" s="165"/>
      <c r="AK9" s="166">
        <f t="shared" si="18"/>
        <v>0</v>
      </c>
      <c r="AL9" s="33">
        <f>AH9-AJ9+'Catch up Fee'!E9+AI9</f>
        <v>3862.6102586643751</v>
      </c>
      <c r="AM9" s="167">
        <f t="shared" si="19"/>
        <v>212.44356422654064</v>
      </c>
      <c r="AN9" s="165"/>
      <c r="AO9" s="166">
        <f t="shared" si="20"/>
        <v>0</v>
      </c>
      <c r="AP9" s="33">
        <f>AL9-AN9+'Catch up Fee'!E9+AM9</f>
        <v>4275.0538228909154</v>
      </c>
      <c r="AQ9" s="167">
        <f t="shared" si="21"/>
        <v>235.12796025900036</v>
      </c>
      <c r="AR9" s="165"/>
      <c r="AS9" s="166">
        <f t="shared" si="22"/>
        <v>0</v>
      </c>
      <c r="AT9" s="33">
        <f>AP9-AR9+'Catch up Fee'!E9+AQ9</f>
        <v>4710.1817831499156</v>
      </c>
      <c r="AU9" s="167">
        <f t="shared" si="23"/>
        <v>259.05999807324537</v>
      </c>
      <c r="AV9" s="165"/>
      <c r="AW9" s="166">
        <f t="shared" si="24"/>
        <v>0</v>
      </c>
      <c r="AX9" s="33">
        <f>AT9-AV9+'Catch up Fee'!E9+AU9</f>
        <v>5169.2417812231606</v>
      </c>
      <c r="AY9" s="167">
        <f t="shared" si="25"/>
        <v>284.30829796727386</v>
      </c>
      <c r="AZ9" s="165"/>
      <c r="BA9" s="166">
        <f t="shared" si="26"/>
        <v>0</v>
      </c>
      <c r="BB9" s="33">
        <f>AX9-AZ9+'Catch up Fee'!E9+AY9</f>
        <v>5653.5500791904342</v>
      </c>
      <c r="BC9" s="167">
        <f t="shared" si="27"/>
        <v>310.94525435547388</v>
      </c>
      <c r="BD9" s="165"/>
      <c r="BE9" s="166">
        <f t="shared" si="28"/>
        <v>0</v>
      </c>
      <c r="BF9" s="33">
        <f>BB9-BD9+'Catch up Fee'!E9+BC9</f>
        <v>6164.4953335459077</v>
      </c>
      <c r="BG9" s="167">
        <f t="shared" si="29"/>
        <v>339.04724334502492</v>
      </c>
      <c r="BH9" s="165"/>
      <c r="BI9" s="166">
        <f t="shared" si="30"/>
        <v>0</v>
      </c>
      <c r="BJ9" s="33">
        <f>BF9-BH9+'Catch up Fee'!E9+BG9</f>
        <v>6703.5425768909327</v>
      </c>
      <c r="BK9" s="167">
        <f t="shared" si="31"/>
        <v>368.69484172900133</v>
      </c>
      <c r="BL9" s="185">
        <f t="shared" si="32"/>
        <v>500</v>
      </c>
    </row>
    <row r="10" spans="1:64">
      <c r="A10" s="10" t="s">
        <v>581</v>
      </c>
      <c r="B10" s="10" t="s">
        <v>112</v>
      </c>
      <c r="C10" s="80">
        <v>0</v>
      </c>
      <c r="D10" s="79">
        <f t="shared" si="0"/>
        <v>2400</v>
      </c>
      <c r="E10" s="79">
        <f>' 2018-2019'!J9</f>
        <v>1100</v>
      </c>
      <c r="F10" s="139">
        <f>' 2018-2019'!F10</f>
        <v>0</v>
      </c>
      <c r="G10" s="78">
        <f t="shared" si="1"/>
        <v>2400</v>
      </c>
      <c r="H10" s="159">
        <f t="shared" si="2"/>
        <v>1800</v>
      </c>
      <c r="I10" s="78">
        <f t="shared" si="3"/>
        <v>600</v>
      </c>
      <c r="J10" s="78">
        <f t="shared" si="33"/>
        <v>2898.5232384465407</v>
      </c>
      <c r="K10" s="157">
        <f t="shared" si="4"/>
        <v>17.819999999999997</v>
      </c>
      <c r="L10" s="157">
        <f t="shared" si="34"/>
        <v>98.019900000000007</v>
      </c>
      <c r="M10" s="78">
        <f t="shared" si="5"/>
        <v>1198.5232384465405</v>
      </c>
      <c r="N10" s="194">
        <f t="shared" si="6"/>
        <v>1198.5232384465405</v>
      </c>
      <c r="O10" s="78">
        <f t="shared" si="7"/>
        <v>681.67666155345955</v>
      </c>
      <c r="P10" s="165">
        <f>'2018-2019 B STATEMENT '!B325</f>
        <v>200</v>
      </c>
      <c r="Q10" s="166">
        <f t="shared" si="8"/>
        <v>1.9799999999999998</v>
      </c>
      <c r="R10" s="119">
        <f>E10+'Catch up Fee'!E10</f>
        <v>1300</v>
      </c>
      <c r="S10" s="167">
        <f t="shared" si="9"/>
        <v>60.5</v>
      </c>
      <c r="T10" s="165">
        <f>'2018-2019 B STATEMENT '!B356</f>
        <v>200</v>
      </c>
      <c r="U10" s="166">
        <f t="shared" si="10"/>
        <v>1.9799999999999998</v>
      </c>
      <c r="V10" s="33">
        <f>R10-T10+'Catch up Fee'!E10+S10</f>
        <v>1360.5</v>
      </c>
      <c r="W10" s="167">
        <f t="shared" si="11"/>
        <v>63.827500000000001</v>
      </c>
      <c r="X10" s="165">
        <f>'2018-2019 B STATEMENT '!B389</f>
        <v>200</v>
      </c>
      <c r="Y10" s="166">
        <f t="shared" si="12"/>
        <v>1.9799999999999998</v>
      </c>
      <c r="Z10" s="33">
        <f>V10-X10+'Catch up Fee'!E10+W10</f>
        <v>1424.3275000000001</v>
      </c>
      <c r="AA10" s="167">
        <f t="shared" si="13"/>
        <v>67.338012500000005</v>
      </c>
      <c r="AB10" s="165">
        <f>'2018-2019 B STATEMENT '!B412</f>
        <v>200</v>
      </c>
      <c r="AC10" s="166">
        <f t="shared" si="14"/>
        <v>1.9799999999999998</v>
      </c>
      <c r="AD10" s="33">
        <f>Z10-AB10+'Catch up Fee'!E10+AA10</f>
        <v>1491.6655125000002</v>
      </c>
      <c r="AE10" s="167">
        <f t="shared" si="15"/>
        <v>71.041603187500016</v>
      </c>
      <c r="AF10" s="165">
        <f>'2018-2019 B STATEMENT '!B435</f>
        <v>200</v>
      </c>
      <c r="AG10" s="166">
        <f t="shared" si="16"/>
        <v>1.9799999999999998</v>
      </c>
      <c r="AH10" s="33">
        <f>AD10-AF10+'Catch up Fee'!E10+AE10</f>
        <v>1562.7071156875002</v>
      </c>
      <c r="AI10" s="167">
        <f t="shared" si="17"/>
        <v>74.948891362812503</v>
      </c>
      <c r="AJ10" s="165">
        <f>'2018-2019 B STATEMENT '!B453</f>
        <v>200</v>
      </c>
      <c r="AK10" s="166">
        <f t="shared" si="18"/>
        <v>1.9799999999999998</v>
      </c>
      <c r="AL10" s="33">
        <f>AH10-AJ10+'Catch up Fee'!E10+AI10</f>
        <v>1637.6560070503126</v>
      </c>
      <c r="AM10" s="167">
        <f t="shared" si="19"/>
        <v>79.071080387767196</v>
      </c>
      <c r="AN10" s="165">
        <v>0</v>
      </c>
      <c r="AO10" s="166">
        <f t="shared" si="20"/>
        <v>0</v>
      </c>
      <c r="AP10" s="33">
        <f>AL10-AN10+'Catch up Fee'!E10+AM10</f>
        <v>1916.7270874380797</v>
      </c>
      <c r="AQ10" s="167">
        <f t="shared" si="21"/>
        <v>105.41998980909439</v>
      </c>
      <c r="AR10" s="165">
        <v>0</v>
      </c>
      <c r="AS10" s="166">
        <f t="shared" si="22"/>
        <v>0</v>
      </c>
      <c r="AT10" s="33">
        <f>AP10-AR10+'Catch up Fee'!E10+AQ10</f>
        <v>2222.1470772471739</v>
      </c>
      <c r="AU10" s="167">
        <f t="shared" si="23"/>
        <v>122.21808924859457</v>
      </c>
      <c r="AV10" s="165">
        <v>0</v>
      </c>
      <c r="AW10" s="166">
        <f t="shared" si="24"/>
        <v>0</v>
      </c>
      <c r="AX10" s="33">
        <f>AT10-AV10+'Catch up Fee'!E10+AU10</f>
        <v>2544.3651664957683</v>
      </c>
      <c r="AY10" s="167">
        <f t="shared" si="25"/>
        <v>139.94008415726725</v>
      </c>
      <c r="AZ10" s="165">
        <f>'2018-2019 B STATEMENT '!B540</f>
        <v>300</v>
      </c>
      <c r="BA10" s="166">
        <f t="shared" si="26"/>
        <v>2.9699999999999998</v>
      </c>
      <c r="BB10" s="33">
        <f>AX10-AZ10+'Catch up Fee'!E10+AY10</f>
        <v>2584.3052506530357</v>
      </c>
      <c r="BC10" s="167">
        <f t="shared" si="27"/>
        <v>125.63678878591696</v>
      </c>
      <c r="BD10" s="165">
        <f>'2018-2019 B STATEMENT '!B557</f>
        <v>300</v>
      </c>
      <c r="BE10" s="166">
        <f t="shared" si="28"/>
        <v>2.9699999999999998</v>
      </c>
      <c r="BF10" s="33">
        <f>BB10-BD10+'Catch up Fee'!E10+BC10</f>
        <v>2609.9420394389526</v>
      </c>
      <c r="BG10" s="167">
        <f t="shared" si="29"/>
        <v>127.0468121691424</v>
      </c>
      <c r="BH10" s="165">
        <v>0</v>
      </c>
      <c r="BI10" s="166">
        <f t="shared" si="30"/>
        <v>0</v>
      </c>
      <c r="BJ10" s="33">
        <f>BF10-BH10+'Catch up Fee'!E10+BG10</f>
        <v>2936.988851608095</v>
      </c>
      <c r="BK10" s="167">
        <f t="shared" si="31"/>
        <v>161.53438683844522</v>
      </c>
      <c r="BL10" s="185">
        <f t="shared" si="32"/>
        <v>1800</v>
      </c>
    </row>
    <row r="11" spans="1:64">
      <c r="A11" s="10" t="s">
        <v>582</v>
      </c>
      <c r="B11" s="10" t="s">
        <v>138</v>
      </c>
      <c r="C11" s="79">
        <v>100</v>
      </c>
      <c r="D11" s="79">
        <f t="shared" si="0"/>
        <v>2400</v>
      </c>
      <c r="E11" s="79">
        <f>' 2018-2019'!J10</f>
        <v>300</v>
      </c>
      <c r="F11" s="139">
        <f>' 2018-2019'!F11</f>
        <v>2400</v>
      </c>
      <c r="G11" s="78">
        <f t="shared" si="1"/>
        <v>2500</v>
      </c>
      <c r="H11" s="159">
        <f t="shared" si="2"/>
        <v>0</v>
      </c>
      <c r="I11" s="78">
        <f t="shared" si="3"/>
        <v>2400</v>
      </c>
      <c r="J11" s="78">
        <f>I11+M11+E11</f>
        <v>3847.4803757604604</v>
      </c>
      <c r="K11" s="157">
        <f t="shared" si="4"/>
        <v>0</v>
      </c>
      <c r="L11" s="157">
        <f t="shared" si="34"/>
        <v>-5.5</v>
      </c>
      <c r="M11" s="78">
        <f t="shared" si="5"/>
        <v>1147.4803757604607</v>
      </c>
      <c r="N11" s="194">
        <f t="shared" si="6"/>
        <v>1147.4803757604607</v>
      </c>
      <c r="O11" s="78">
        <f t="shared" si="7"/>
        <v>-1152.9803757604607</v>
      </c>
      <c r="P11" s="165">
        <v>0</v>
      </c>
      <c r="Q11" s="166">
        <f t="shared" si="8"/>
        <v>0</v>
      </c>
      <c r="R11" s="119">
        <f>C11+'Catch up Fee'!E11</f>
        <v>300</v>
      </c>
      <c r="S11" s="167">
        <f t="shared" si="9"/>
        <v>16.5</v>
      </c>
      <c r="T11" s="165">
        <v>0</v>
      </c>
      <c r="U11" s="166">
        <f t="shared" si="10"/>
        <v>0</v>
      </c>
      <c r="V11" s="33">
        <f>R11-T11+'Catch up Fee'!E11+S11</f>
        <v>516.5</v>
      </c>
      <c r="W11" s="167">
        <f t="shared" si="11"/>
        <v>28.407499999999999</v>
      </c>
      <c r="X11" s="165">
        <v>0</v>
      </c>
      <c r="Y11" s="166">
        <f t="shared" si="12"/>
        <v>0</v>
      </c>
      <c r="Z11" s="33">
        <f>V11-X11+'Catch up Fee'!E11+W11</f>
        <v>744.90750000000003</v>
      </c>
      <c r="AA11" s="167">
        <f t="shared" si="13"/>
        <v>40.9699125</v>
      </c>
      <c r="AB11" s="165">
        <v>0</v>
      </c>
      <c r="AC11" s="166">
        <f t="shared" si="14"/>
        <v>0</v>
      </c>
      <c r="AD11" s="33">
        <f>Z11-AB11+'Catch up Fee'!E11+AA11</f>
        <v>985.87741249999999</v>
      </c>
      <c r="AE11" s="167">
        <f t="shared" si="15"/>
        <v>54.223257687500002</v>
      </c>
      <c r="AF11" s="165">
        <v>0</v>
      </c>
      <c r="AG11" s="166">
        <f t="shared" si="16"/>
        <v>0</v>
      </c>
      <c r="AH11" s="33">
        <f>AD11-AF11+'Catch up Fee'!E11+AE11</f>
        <v>1240.1006701875001</v>
      </c>
      <c r="AI11" s="167">
        <f t="shared" si="17"/>
        <v>68.205536860312506</v>
      </c>
      <c r="AJ11" s="165">
        <v>0</v>
      </c>
      <c r="AK11" s="166">
        <f t="shared" si="18"/>
        <v>0</v>
      </c>
      <c r="AL11" s="33">
        <f>AH11-AJ11+'Catch up Fee'!E11+AI11</f>
        <v>1508.3062070478127</v>
      </c>
      <c r="AM11" s="167">
        <f t="shared" si="19"/>
        <v>82.956841387629694</v>
      </c>
      <c r="AN11" s="165">
        <v>0</v>
      </c>
      <c r="AO11" s="166">
        <f t="shared" si="20"/>
        <v>0</v>
      </c>
      <c r="AP11" s="33">
        <f>AL11-AN11+'Catch up Fee'!E11+AM11</f>
        <v>1791.2630484354424</v>
      </c>
      <c r="AQ11" s="167">
        <f t="shared" si="21"/>
        <v>98.519467663949328</v>
      </c>
      <c r="AR11" s="165">
        <v>0</v>
      </c>
      <c r="AS11" s="166">
        <f t="shared" si="22"/>
        <v>0</v>
      </c>
      <c r="AT11" s="33">
        <f>AP11-AR11+'Catch up Fee'!E11+AQ11</f>
        <v>2089.7825160993916</v>
      </c>
      <c r="AU11" s="167">
        <f t="shared" si="23"/>
        <v>114.93803838546654</v>
      </c>
      <c r="AV11" s="165">
        <v>0</v>
      </c>
      <c r="AW11" s="166">
        <f t="shared" si="24"/>
        <v>0</v>
      </c>
      <c r="AX11" s="33">
        <f>AT11-AV11+'Catch up Fee'!E11+AU11</f>
        <v>2404.720554484858</v>
      </c>
      <c r="AY11" s="167">
        <f t="shared" si="25"/>
        <v>132.2596304966672</v>
      </c>
      <c r="AZ11" s="165">
        <v>0</v>
      </c>
      <c r="BA11" s="166">
        <f t="shared" si="26"/>
        <v>0</v>
      </c>
      <c r="BB11" s="33">
        <f>AX11-AZ11+'Catch up Fee'!E11+AY11</f>
        <v>2736.9801849815253</v>
      </c>
      <c r="BC11" s="167">
        <f t="shared" si="27"/>
        <v>150.53391017398388</v>
      </c>
      <c r="BD11" s="165">
        <v>0</v>
      </c>
      <c r="BE11" s="166">
        <f t="shared" si="28"/>
        <v>0</v>
      </c>
      <c r="BF11" s="33">
        <f>BB11-BD11+'Catch up Fee'!E11+BC11</f>
        <v>3087.514095155509</v>
      </c>
      <c r="BG11" s="167">
        <f t="shared" si="29"/>
        <v>169.81327523355299</v>
      </c>
      <c r="BH11" s="165">
        <v>0</v>
      </c>
      <c r="BI11" s="166">
        <f t="shared" si="30"/>
        <v>0</v>
      </c>
      <c r="BJ11" s="33">
        <f>BF11-BH11+'Catch up Fee'!E11+BG11</f>
        <v>3457.3273703890618</v>
      </c>
      <c r="BK11" s="167">
        <f t="shared" si="31"/>
        <v>190.15300537139839</v>
      </c>
      <c r="BL11" s="185">
        <f t="shared" si="32"/>
        <v>0</v>
      </c>
    </row>
    <row r="12" spans="1:64">
      <c r="A12" s="10" t="s">
        <v>583</v>
      </c>
      <c r="B12" s="10" t="s">
        <v>113</v>
      </c>
      <c r="C12" s="80">
        <v>0</v>
      </c>
      <c r="D12" s="79">
        <f t="shared" si="0"/>
        <v>2400</v>
      </c>
      <c r="E12" s="79">
        <f>' 2018-2019'!J11</f>
        <v>2400</v>
      </c>
      <c r="F12" s="139">
        <f>' 2018-2019'!F12</f>
        <v>200</v>
      </c>
      <c r="G12" s="78">
        <f t="shared" si="1"/>
        <v>2400</v>
      </c>
      <c r="H12" s="159">
        <f t="shared" si="2"/>
        <v>2400</v>
      </c>
      <c r="I12" s="78">
        <f t="shared" si="3"/>
        <v>0</v>
      </c>
      <c r="J12" s="78">
        <f>I12+M12+E12</f>
        <v>4328.290584633558</v>
      </c>
      <c r="K12" s="157">
        <f t="shared" si="4"/>
        <v>23.759999999999994</v>
      </c>
      <c r="L12" s="157">
        <f t="shared" si="34"/>
        <v>130.69319999999999</v>
      </c>
      <c r="M12" s="78">
        <f t="shared" si="5"/>
        <v>1928.2905846335584</v>
      </c>
      <c r="N12" s="194">
        <f t="shared" si="6"/>
        <v>1928.2905846335584</v>
      </c>
      <c r="O12" s="78">
        <f t="shared" si="7"/>
        <v>578.64261536644131</v>
      </c>
      <c r="P12" s="165">
        <v>0</v>
      </c>
      <c r="Q12" s="166">
        <f t="shared" si="8"/>
        <v>0</v>
      </c>
      <c r="R12" s="119">
        <f>E12+'Catch up Fee'!E12</f>
        <v>2600</v>
      </c>
      <c r="S12" s="167">
        <f t="shared" si="9"/>
        <v>143</v>
      </c>
      <c r="T12" s="165">
        <v>0</v>
      </c>
      <c r="U12" s="166">
        <f t="shared" si="10"/>
        <v>0</v>
      </c>
      <c r="V12" s="33">
        <f>R12-T12+'Catch up Fee'!E12+S12</f>
        <v>2943</v>
      </c>
      <c r="W12" s="167">
        <f t="shared" si="11"/>
        <v>161.86500000000001</v>
      </c>
      <c r="X12" s="165">
        <f>'2018-2019 B STATEMENT '!B372</f>
        <v>900</v>
      </c>
      <c r="Y12" s="166">
        <f t="shared" si="12"/>
        <v>8.9099999999999984</v>
      </c>
      <c r="Z12" s="33">
        <f>V12-X12+'Catch up Fee'!E12+W12</f>
        <v>2404.8649999999998</v>
      </c>
      <c r="AA12" s="167">
        <f t="shared" si="13"/>
        <v>82.767574999999994</v>
      </c>
      <c r="AB12" s="165">
        <v>0</v>
      </c>
      <c r="AC12" s="166">
        <f t="shared" si="14"/>
        <v>0</v>
      </c>
      <c r="AD12" s="33">
        <f>Z12-AB12+'Catch up Fee'!E12+AA12</f>
        <v>2687.6325749999996</v>
      </c>
      <c r="AE12" s="167">
        <f t="shared" si="15"/>
        <v>147.81979162499999</v>
      </c>
      <c r="AF12" s="165">
        <f>'2018-2019 B STATEMENT '!B425</f>
        <v>300</v>
      </c>
      <c r="AG12" s="166">
        <f t="shared" si="16"/>
        <v>2.9699999999999998</v>
      </c>
      <c r="AH12" s="33">
        <f>AD12-AF12+'Catch up Fee'!E12+AE12</f>
        <v>2735.4523666249997</v>
      </c>
      <c r="AI12" s="167">
        <f t="shared" si="17"/>
        <v>133.94988016437497</v>
      </c>
      <c r="AJ12" s="165">
        <v>0</v>
      </c>
      <c r="AK12" s="166">
        <f t="shared" si="18"/>
        <v>0</v>
      </c>
      <c r="AL12" s="33">
        <f>AH12-AJ12+'Catch up Fee'!E12+AI12</f>
        <v>3069.4022467893747</v>
      </c>
      <c r="AM12" s="167">
        <f t="shared" si="19"/>
        <v>168.81712357341561</v>
      </c>
      <c r="AN12" s="165">
        <f>'2018-2019 B STATEMENT '!B478</f>
        <v>300</v>
      </c>
      <c r="AO12" s="166">
        <f t="shared" si="20"/>
        <v>2.9699999999999998</v>
      </c>
      <c r="AP12" s="33">
        <f>AL12-AN12+'Catch up Fee'!E12+AM12</f>
        <v>3138.2193703627904</v>
      </c>
      <c r="AQ12" s="167">
        <f t="shared" si="21"/>
        <v>156.10206536995346</v>
      </c>
      <c r="AR12" s="165">
        <f>'2018-2019 B STATEMENT '!B499</f>
        <v>300</v>
      </c>
      <c r="AS12" s="166">
        <f t="shared" si="22"/>
        <v>2.9699999999999998</v>
      </c>
      <c r="AT12" s="33">
        <f>AP12-AR12+'Catch up Fee'!E12+AQ12</f>
        <v>3194.3214357327438</v>
      </c>
      <c r="AU12" s="167">
        <f t="shared" si="23"/>
        <v>159.1876789653009</v>
      </c>
      <c r="AV12" s="165">
        <f>'2018-2019 B STATEMENT '!B515</f>
        <v>300</v>
      </c>
      <c r="AW12" s="166">
        <f t="shared" si="24"/>
        <v>2.9699999999999998</v>
      </c>
      <c r="AX12" s="33">
        <f>AT12-AV12+'Catch up Fee'!E12+AU12</f>
        <v>3253.5091146980449</v>
      </c>
      <c r="AY12" s="167">
        <f t="shared" si="25"/>
        <v>162.44300130839247</v>
      </c>
      <c r="AZ12" s="165"/>
      <c r="BA12" s="166">
        <f t="shared" si="26"/>
        <v>0</v>
      </c>
      <c r="BB12" s="33">
        <f>AX12-AZ12+'Catch up Fee'!E12+AY12</f>
        <v>3615.9521160064373</v>
      </c>
      <c r="BC12" s="167">
        <f t="shared" si="27"/>
        <v>198.87736638035406</v>
      </c>
      <c r="BD12" s="165">
        <f>'2018-2019 B STATEMENT '!B552</f>
        <v>300</v>
      </c>
      <c r="BE12" s="166">
        <f t="shared" si="28"/>
        <v>2.9699999999999998</v>
      </c>
      <c r="BF12" s="33">
        <f>BB12-BD12+'Catch up Fee'!E12+BC12</f>
        <v>3714.8294823867914</v>
      </c>
      <c r="BG12" s="167">
        <f t="shared" si="29"/>
        <v>187.81562153127354</v>
      </c>
      <c r="BH12" s="165">
        <v>0</v>
      </c>
      <c r="BI12" s="166">
        <f t="shared" si="30"/>
        <v>0</v>
      </c>
      <c r="BJ12" s="33">
        <f>BF12-BH12+'Catch up Fee'!E12+BG12</f>
        <v>4102.6451039180647</v>
      </c>
      <c r="BK12" s="167">
        <f t="shared" si="31"/>
        <v>225.64548071549356</v>
      </c>
      <c r="BL12" s="185">
        <f t="shared" si="32"/>
        <v>2400</v>
      </c>
    </row>
    <row r="13" spans="1:64">
      <c r="A13" s="10" t="s">
        <v>584</v>
      </c>
      <c r="B13" s="10" t="s">
        <v>114</v>
      </c>
      <c r="C13" s="80">
        <v>0</v>
      </c>
      <c r="D13" s="79">
        <f t="shared" si="0"/>
        <v>2400</v>
      </c>
      <c r="E13" s="79">
        <f>' 2018-2019'!J12</f>
        <v>-500</v>
      </c>
      <c r="F13" s="139">
        <f>' 2018-2019'!F13</f>
        <v>0</v>
      </c>
      <c r="G13" s="78">
        <f t="shared" si="1"/>
        <v>2400</v>
      </c>
      <c r="H13" s="159">
        <f t="shared" si="2"/>
        <v>2300</v>
      </c>
      <c r="I13" s="78">
        <f t="shared" si="3"/>
        <v>100</v>
      </c>
      <c r="J13" s="78">
        <f t="shared" si="33"/>
        <v>-700.7595759593471</v>
      </c>
      <c r="K13" s="157">
        <f t="shared" si="4"/>
        <v>22.77</v>
      </c>
      <c r="L13" s="157">
        <f t="shared" si="34"/>
        <v>125.24765000000001</v>
      </c>
      <c r="M13" s="78">
        <f t="shared" si="5"/>
        <v>-300.7595759593471</v>
      </c>
      <c r="N13" s="194">
        <f t="shared" si="6"/>
        <v>-300.7595759593471</v>
      </c>
      <c r="O13" s="78">
        <f t="shared" si="7"/>
        <v>2703.2372259593471</v>
      </c>
      <c r="P13" s="165">
        <f>'2018-2019 B STATEMENT '!B324</f>
        <v>200</v>
      </c>
      <c r="Q13" s="166">
        <f t="shared" si="8"/>
        <v>1.9799999999999998</v>
      </c>
      <c r="R13" s="119">
        <f>E13+'Catch up Fee'!E13</f>
        <v>-300</v>
      </c>
      <c r="S13" s="167">
        <f t="shared" si="9"/>
        <v>-27.5</v>
      </c>
      <c r="T13" s="165">
        <v>0</v>
      </c>
      <c r="U13" s="166">
        <f t="shared" si="10"/>
        <v>0</v>
      </c>
      <c r="V13" s="33">
        <f>R13-T13+'Catch up Fee'!E13+S13</f>
        <v>-127.5</v>
      </c>
      <c r="W13" s="167">
        <f t="shared" si="11"/>
        <v>-7.0125000000000002</v>
      </c>
      <c r="X13" s="165">
        <v>0</v>
      </c>
      <c r="Y13" s="166">
        <f t="shared" si="12"/>
        <v>0</v>
      </c>
      <c r="Z13" s="33">
        <f>V13-X13+'Catch up Fee'!E13+W13</f>
        <v>65.487499999999997</v>
      </c>
      <c r="AA13" s="167">
        <f t="shared" si="13"/>
        <v>3.6018124999999999</v>
      </c>
      <c r="AB13" s="165">
        <f>'2018-2019 B STATEMENT '!B404+'2018-2019 B STATEMENT '!B420</f>
        <v>600</v>
      </c>
      <c r="AC13" s="166">
        <f t="shared" si="14"/>
        <v>5.9399999999999995</v>
      </c>
      <c r="AD13" s="33">
        <f>Z13-AB13+'Catch up Fee'!E13+AA13</f>
        <v>-330.91068750000005</v>
      </c>
      <c r="AE13" s="167">
        <f t="shared" si="15"/>
        <v>-51.200087812500001</v>
      </c>
      <c r="AF13" s="165">
        <v>0</v>
      </c>
      <c r="AG13" s="166">
        <f t="shared" si="16"/>
        <v>0</v>
      </c>
      <c r="AH13" s="33">
        <f>AD13-AF13+'Catch up Fee'!E13+AE13</f>
        <v>-182.11077531250004</v>
      </c>
      <c r="AI13" s="167">
        <f t="shared" si="17"/>
        <v>-10.016092642187502</v>
      </c>
      <c r="AJ13" s="165">
        <f>'2018-2019 B STATEMENT '!B450</f>
        <v>200</v>
      </c>
      <c r="AK13" s="166">
        <f t="shared" si="18"/>
        <v>1.9799999999999998</v>
      </c>
      <c r="AL13" s="33">
        <f>AH13-AJ13+'Catch up Fee'!E13+AI13</f>
        <v>-192.12686795468755</v>
      </c>
      <c r="AM13" s="167">
        <f t="shared" si="19"/>
        <v>-21.566977737507816</v>
      </c>
      <c r="AN13" s="165">
        <f>'2018-2019 B STATEMENT '!B491</f>
        <v>200</v>
      </c>
      <c r="AO13" s="166">
        <f t="shared" si="20"/>
        <v>1.9799999999999998</v>
      </c>
      <c r="AP13" s="33">
        <f>AL13-AN13+'Catch up Fee'!E13+AM13</f>
        <v>-213.69384569219537</v>
      </c>
      <c r="AQ13" s="167">
        <f t="shared" si="21"/>
        <v>-22.753161513070747</v>
      </c>
      <c r="AR13" s="165">
        <f>'2018-2019 B STATEMENT '!B497</f>
        <v>200</v>
      </c>
      <c r="AS13" s="166">
        <f t="shared" si="22"/>
        <v>1.9799999999999998</v>
      </c>
      <c r="AT13" s="33">
        <f>AP13-AR13+'Catch up Fee'!E13+AQ13</f>
        <v>-236.44700720526615</v>
      </c>
      <c r="AU13" s="167">
        <f t="shared" si="23"/>
        <v>-24.004585396289638</v>
      </c>
      <c r="AV13" s="165">
        <f>'2018-2019 B STATEMENT '!B529</f>
        <v>300</v>
      </c>
      <c r="AW13" s="166">
        <f t="shared" si="24"/>
        <v>2.9699999999999998</v>
      </c>
      <c r="AX13" s="33">
        <f>AT13-AV13+'Catch up Fee'!E13+AU13</f>
        <v>-360.45159260155577</v>
      </c>
      <c r="AY13" s="167">
        <f t="shared" si="25"/>
        <v>-36.324837593085569</v>
      </c>
      <c r="AZ13" s="165">
        <f>'2018-2019 B STATEMENT '!B546</f>
        <v>200</v>
      </c>
      <c r="BA13" s="166">
        <f t="shared" si="26"/>
        <v>1.9799999999999998</v>
      </c>
      <c r="BB13" s="33">
        <f>AX13-AZ13+'Catch up Fee'!E13+AY13</f>
        <v>-396.77643019464142</v>
      </c>
      <c r="BC13" s="167">
        <f t="shared" si="27"/>
        <v>-32.82270366070528</v>
      </c>
      <c r="BD13" s="165">
        <f>'2018-2019 B STATEMENT '!B554</f>
        <v>200</v>
      </c>
      <c r="BE13" s="166">
        <f t="shared" si="28"/>
        <v>1.9799999999999998</v>
      </c>
      <c r="BF13" s="33">
        <f>BB13-BD13+'Catch up Fee'!E13+BC13</f>
        <v>-429.59913385534668</v>
      </c>
      <c r="BG13" s="167">
        <f t="shared" si="29"/>
        <v>-34.62795236204407</v>
      </c>
      <c r="BH13" s="165">
        <f>'2018-2019 B STATEMENT '!B574</f>
        <v>200</v>
      </c>
      <c r="BI13" s="166">
        <f t="shared" si="30"/>
        <v>1.9799999999999998</v>
      </c>
      <c r="BJ13" s="33">
        <f>BF13-BH13+'Catch up Fee'!E13+BG13</f>
        <v>-464.22708621739082</v>
      </c>
      <c r="BK13" s="167">
        <f t="shared" si="31"/>
        <v>-36.532489741956496</v>
      </c>
      <c r="BL13" s="185">
        <f t="shared" si="32"/>
        <v>2300</v>
      </c>
    </row>
    <row r="14" spans="1:64">
      <c r="A14" s="10" t="s">
        <v>585</v>
      </c>
      <c r="B14" s="10" t="s">
        <v>115</v>
      </c>
      <c r="C14" s="80">
        <v>0</v>
      </c>
      <c r="D14" s="79">
        <f t="shared" si="0"/>
        <v>2400</v>
      </c>
      <c r="E14" s="79">
        <f>' 2018-2019'!J13</f>
        <v>100</v>
      </c>
      <c r="F14" s="139">
        <f>' 2018-2019'!F14</f>
        <v>0</v>
      </c>
      <c r="G14" s="78">
        <f t="shared" si="1"/>
        <v>2400</v>
      </c>
      <c r="H14" s="159">
        <f t="shared" si="2"/>
        <v>2400</v>
      </c>
      <c r="I14" s="78">
        <f t="shared" si="3"/>
        <v>0</v>
      </c>
      <c r="J14" s="78">
        <f t="shared" si="33"/>
        <v>175.4437540924084</v>
      </c>
      <c r="K14" s="157">
        <f t="shared" si="4"/>
        <v>23.759999999999998</v>
      </c>
      <c r="L14" s="157">
        <f>(H14-K14-C14)*5.5%</f>
        <v>130.69319999999999</v>
      </c>
      <c r="M14" s="78">
        <f t="shared" si="5"/>
        <v>75.443754092408398</v>
      </c>
      <c r="N14" s="194">
        <f t="shared" si="6"/>
        <v>75.443754092408398</v>
      </c>
      <c r="O14" s="78">
        <f t="shared" si="7"/>
        <v>2431.4894459075917</v>
      </c>
      <c r="P14" s="165">
        <v>0</v>
      </c>
      <c r="Q14" s="166">
        <f t="shared" si="8"/>
        <v>0</v>
      </c>
      <c r="R14" s="119">
        <f>E14+'Catch up Fee'!E14</f>
        <v>300</v>
      </c>
      <c r="S14" s="167">
        <f t="shared" si="9"/>
        <v>16.5</v>
      </c>
      <c r="T14" s="165">
        <f>'2018-2019 B STATEMENT '!B367</f>
        <v>600</v>
      </c>
      <c r="U14" s="166">
        <f t="shared" si="10"/>
        <v>5.9399999999999995</v>
      </c>
      <c r="V14" s="33">
        <f>R14-T14+'Catch up Fee'!E14+S14</f>
        <v>-83.5</v>
      </c>
      <c r="W14" s="167">
        <f t="shared" si="11"/>
        <v>-37.592500000000001</v>
      </c>
      <c r="X14" s="165">
        <v>0</v>
      </c>
      <c r="Y14" s="166">
        <f t="shared" si="12"/>
        <v>0</v>
      </c>
      <c r="Z14" s="33">
        <f>V14-X14+'Catch up Fee'!E14+W14</f>
        <v>78.907499999999999</v>
      </c>
      <c r="AA14" s="167">
        <f t="shared" si="13"/>
        <v>4.3399124999999996</v>
      </c>
      <c r="AB14" s="165">
        <v>0</v>
      </c>
      <c r="AC14" s="166">
        <f t="shared" si="14"/>
        <v>0</v>
      </c>
      <c r="AD14" s="33">
        <f>Z14-AB14+'Catch up Fee'!E14+AA14</f>
        <v>283.24741250000005</v>
      </c>
      <c r="AE14" s="167">
        <f t="shared" si="15"/>
        <v>15.578607687500003</v>
      </c>
      <c r="AF14" s="165">
        <v>0</v>
      </c>
      <c r="AG14" s="166">
        <f t="shared" si="16"/>
        <v>0</v>
      </c>
      <c r="AH14" s="33">
        <f>AD14-AF14+'Catch up Fee'!E14+AE14</f>
        <v>498.82602018750003</v>
      </c>
      <c r="AI14" s="167">
        <f t="shared" si="17"/>
        <v>27.435431110312503</v>
      </c>
      <c r="AJ14" s="165">
        <f>'2018-2019 B STATEMENT '!B447</f>
        <v>800</v>
      </c>
      <c r="AK14" s="166">
        <f t="shared" si="18"/>
        <v>7.919999999999999</v>
      </c>
      <c r="AL14" s="33">
        <f>AH14-AJ14+'Catch up Fee'!E14+AI14</f>
        <v>-73.738548702187458</v>
      </c>
      <c r="AM14" s="167">
        <f t="shared" si="19"/>
        <v>-48.055620178620309</v>
      </c>
      <c r="AN14" s="165">
        <v>0</v>
      </c>
      <c r="AO14" s="166">
        <f t="shared" si="20"/>
        <v>0</v>
      </c>
      <c r="AP14" s="33">
        <f>AL14-AN14+'Catch up Fee'!E14+AM14</f>
        <v>78.205831119192226</v>
      </c>
      <c r="AQ14" s="167">
        <f t="shared" si="21"/>
        <v>4.3013207115555723</v>
      </c>
      <c r="AR14" s="165">
        <v>0</v>
      </c>
      <c r="AS14" s="166">
        <f t="shared" si="22"/>
        <v>0</v>
      </c>
      <c r="AT14" s="33">
        <f>AP14-AR14+'Catch up Fee'!E14+AQ14</f>
        <v>282.50715183074777</v>
      </c>
      <c r="AU14" s="167">
        <f t="shared" si="23"/>
        <v>15.537893350691128</v>
      </c>
      <c r="AV14" s="165">
        <v>0</v>
      </c>
      <c r="AW14" s="166">
        <f t="shared" si="24"/>
        <v>0</v>
      </c>
      <c r="AX14" s="33">
        <f>AT14-AV14+'Catch up Fee'!E14+AU14</f>
        <v>498.04504518143892</v>
      </c>
      <c r="AY14" s="167">
        <f t="shared" si="25"/>
        <v>27.392477484979143</v>
      </c>
      <c r="AZ14" s="165">
        <v>0</v>
      </c>
      <c r="BA14" s="166">
        <f t="shared" si="26"/>
        <v>0</v>
      </c>
      <c r="BB14" s="33">
        <f>AX14-AZ14+'Catch up Fee'!E14+AY14</f>
        <v>725.43752266641809</v>
      </c>
      <c r="BC14" s="167">
        <f t="shared" si="27"/>
        <v>39.899063746652992</v>
      </c>
      <c r="BD14" s="165">
        <v>0</v>
      </c>
      <c r="BE14" s="166">
        <f t="shared" si="28"/>
        <v>0</v>
      </c>
      <c r="BF14" s="33">
        <f>BB14-BD14+'Catch up Fee'!E14+BC14</f>
        <v>965.33658641307113</v>
      </c>
      <c r="BG14" s="167">
        <f t="shared" si="29"/>
        <v>53.093512252718909</v>
      </c>
      <c r="BH14" s="165">
        <f>'2018-2019 B STATEMENT '!B575</f>
        <v>1000</v>
      </c>
      <c r="BI14" s="166">
        <f t="shared" si="30"/>
        <v>9.8999999999999986</v>
      </c>
      <c r="BJ14" s="33">
        <f>BF14-BH14+'Catch up Fee'!E14+BG14</f>
        <v>218.43009866579004</v>
      </c>
      <c r="BK14" s="167">
        <f t="shared" si="31"/>
        <v>-42.986344573381544</v>
      </c>
      <c r="BL14" s="185">
        <f t="shared" si="32"/>
        <v>2400</v>
      </c>
    </row>
    <row r="15" spans="1:64">
      <c r="A15" s="10" t="s">
        <v>586</v>
      </c>
      <c r="B15" s="10" t="s">
        <v>116</v>
      </c>
      <c r="C15" s="80">
        <v>0</v>
      </c>
      <c r="D15" s="79">
        <f t="shared" si="0"/>
        <v>2400</v>
      </c>
      <c r="E15" s="79">
        <f>' 2018-2019'!J14</f>
        <v>300</v>
      </c>
      <c r="F15" s="139">
        <f>' 2018-2019'!F15</f>
        <v>0</v>
      </c>
      <c r="G15" s="78">
        <f t="shared" si="1"/>
        <v>2400</v>
      </c>
      <c r="H15" s="159">
        <f t="shared" si="2"/>
        <v>0</v>
      </c>
      <c r="I15" s="78">
        <f t="shared" si="3"/>
        <v>2400</v>
      </c>
      <c r="J15" s="78">
        <f t="shared" si="33"/>
        <v>4027.7218729122624</v>
      </c>
      <c r="K15" s="157">
        <f t="shared" si="4"/>
        <v>0</v>
      </c>
      <c r="L15" s="157">
        <f t="shared" ref="L15:L78" si="35">(H15-K15-C15)*5.5%</f>
        <v>0</v>
      </c>
      <c r="M15" s="78">
        <f t="shared" si="5"/>
        <v>1327.7218729122621</v>
      </c>
      <c r="N15" s="194">
        <f t="shared" si="6"/>
        <v>1327.7218729122621</v>
      </c>
      <c r="O15" s="78">
        <f t="shared" si="7"/>
        <v>-1327.7218729122621</v>
      </c>
      <c r="P15" s="165">
        <v>0</v>
      </c>
      <c r="Q15" s="166">
        <f t="shared" si="8"/>
        <v>0</v>
      </c>
      <c r="R15" s="119">
        <f>E15+'Catch up Fee'!E15</f>
        <v>500</v>
      </c>
      <c r="S15" s="167">
        <f t="shared" si="9"/>
        <v>27.5</v>
      </c>
      <c r="T15" s="165">
        <v>0</v>
      </c>
      <c r="U15" s="166">
        <f t="shared" si="10"/>
        <v>0</v>
      </c>
      <c r="V15" s="33">
        <f>R15-T15+'Catch up Fee'!E15+S15</f>
        <v>727.5</v>
      </c>
      <c r="W15" s="167">
        <f t="shared" si="11"/>
        <v>40.012500000000003</v>
      </c>
      <c r="X15" s="165">
        <v>0</v>
      </c>
      <c r="Y15" s="166">
        <f t="shared" si="12"/>
        <v>0</v>
      </c>
      <c r="Z15" s="33">
        <f>V15-X15+'Catch up Fee'!E15+W15</f>
        <v>967.51250000000005</v>
      </c>
      <c r="AA15" s="167">
        <f t="shared" si="13"/>
        <v>53.213187500000004</v>
      </c>
      <c r="AB15" s="165">
        <v>0</v>
      </c>
      <c r="AC15" s="166">
        <f t="shared" si="14"/>
        <v>0</v>
      </c>
      <c r="AD15" s="33">
        <f>Z15-AB15+'Catch up Fee'!E15+AA15</f>
        <v>1220.7256875</v>
      </c>
      <c r="AE15" s="167">
        <f t="shared" si="15"/>
        <v>67.1399128125</v>
      </c>
      <c r="AF15" s="165">
        <v>0</v>
      </c>
      <c r="AG15" s="166">
        <f t="shared" si="16"/>
        <v>0</v>
      </c>
      <c r="AH15" s="33">
        <f>AD15-AF15+'Catch up Fee'!E15+AE15</f>
        <v>1487.8656003125</v>
      </c>
      <c r="AI15" s="167">
        <f t="shared" si="17"/>
        <v>81.832608017187496</v>
      </c>
      <c r="AJ15" s="165">
        <v>0</v>
      </c>
      <c r="AK15" s="166">
        <f t="shared" si="18"/>
        <v>0</v>
      </c>
      <c r="AL15" s="33">
        <f>AH15-AJ15+'Catch up Fee'!E15+AI15</f>
        <v>1769.6982083296875</v>
      </c>
      <c r="AM15" s="167">
        <f t="shared" si="19"/>
        <v>97.333401458132812</v>
      </c>
      <c r="AN15" s="165">
        <v>0</v>
      </c>
      <c r="AO15" s="166">
        <f t="shared" si="20"/>
        <v>0</v>
      </c>
      <c r="AP15" s="33">
        <f>AL15-AN15+'Catch up Fee'!E15+AM15</f>
        <v>2067.0316097878203</v>
      </c>
      <c r="AQ15" s="167">
        <f t="shared" si="21"/>
        <v>113.68673853833012</v>
      </c>
      <c r="AR15" s="165">
        <v>0</v>
      </c>
      <c r="AS15" s="166">
        <f t="shared" si="22"/>
        <v>0</v>
      </c>
      <c r="AT15" s="33">
        <f>AP15-AR15+'Catch up Fee'!E15+AQ15</f>
        <v>2380.7183483261506</v>
      </c>
      <c r="AU15" s="167">
        <f t="shared" si="23"/>
        <v>130.93950915793829</v>
      </c>
      <c r="AV15" s="165">
        <v>0</v>
      </c>
      <c r="AW15" s="166">
        <f t="shared" si="24"/>
        <v>0</v>
      </c>
      <c r="AX15" s="33">
        <f>AT15-AV15+'Catch up Fee'!E15+AU15</f>
        <v>2711.6578574840887</v>
      </c>
      <c r="AY15" s="167">
        <f t="shared" si="25"/>
        <v>149.14118216162487</v>
      </c>
      <c r="AZ15" s="165">
        <v>0</v>
      </c>
      <c r="BA15" s="166">
        <f t="shared" si="26"/>
        <v>0</v>
      </c>
      <c r="BB15" s="33">
        <f>AX15-AZ15+'Catch up Fee'!E15+AY15</f>
        <v>3060.7990396457135</v>
      </c>
      <c r="BC15" s="167">
        <f t="shared" si="27"/>
        <v>168.34394718051425</v>
      </c>
      <c r="BD15" s="165">
        <v>0</v>
      </c>
      <c r="BE15" s="166">
        <f t="shared" si="28"/>
        <v>0</v>
      </c>
      <c r="BF15" s="33">
        <f>BB15-BD15+'Catch up Fee'!E15+BC15</f>
        <v>3429.1429868262276</v>
      </c>
      <c r="BG15" s="167">
        <f t="shared" si="29"/>
        <v>188.60286427544253</v>
      </c>
      <c r="BH15" s="165">
        <v>0</v>
      </c>
      <c r="BI15" s="166">
        <f t="shared" si="30"/>
        <v>0</v>
      </c>
      <c r="BJ15" s="33">
        <f>BF15-BH15+'Catch up Fee'!E15+BG15</f>
        <v>3817.7458511016703</v>
      </c>
      <c r="BK15" s="167">
        <f t="shared" si="31"/>
        <v>209.97602181059187</v>
      </c>
      <c r="BL15" s="185">
        <f t="shared" si="32"/>
        <v>0</v>
      </c>
    </row>
    <row r="16" spans="1:64">
      <c r="A16" s="10" t="s">
        <v>587</v>
      </c>
      <c r="B16" s="10"/>
      <c r="C16" s="80">
        <v>0</v>
      </c>
      <c r="D16" s="79">
        <f t="shared" si="0"/>
        <v>2400</v>
      </c>
      <c r="E16" s="79">
        <f>' 2018-2019'!J15</f>
        <v>2300</v>
      </c>
      <c r="F16" s="139">
        <f>' 2018-2019'!F16</f>
        <v>0</v>
      </c>
      <c r="G16" s="78">
        <f t="shared" si="1"/>
        <v>2400</v>
      </c>
      <c r="H16" s="159">
        <f t="shared" si="2"/>
        <v>2100</v>
      </c>
      <c r="I16" s="78">
        <f t="shared" si="3"/>
        <v>300</v>
      </c>
      <c r="J16" s="78">
        <f t="shared" si="33"/>
        <v>4056.0280933191639</v>
      </c>
      <c r="K16" s="157">
        <f t="shared" si="4"/>
        <v>20.79</v>
      </c>
      <c r="L16" s="157">
        <f t="shared" si="35"/>
        <v>114.35655</v>
      </c>
      <c r="M16" s="78">
        <f t="shared" si="5"/>
        <v>1456.0280933191639</v>
      </c>
      <c r="N16" s="194">
        <f t="shared" si="6"/>
        <v>1456.0280933191639</v>
      </c>
      <c r="O16" s="78">
        <f t="shared" si="7"/>
        <v>737.53845668083613</v>
      </c>
      <c r="P16" s="165">
        <v>0</v>
      </c>
      <c r="Q16" s="166">
        <f t="shared" si="8"/>
        <v>0</v>
      </c>
      <c r="R16" s="119">
        <f>E16+'Catch up Fee'!E16</f>
        <v>2500</v>
      </c>
      <c r="S16" s="167">
        <f t="shared" si="9"/>
        <v>137.5</v>
      </c>
      <c r="T16" s="165">
        <v>0</v>
      </c>
      <c r="U16" s="166">
        <f t="shared" si="10"/>
        <v>0</v>
      </c>
      <c r="V16" s="33">
        <f>R16-T16+'Catch up Fee'!E16+S16</f>
        <v>2837.5</v>
      </c>
      <c r="W16" s="167">
        <f t="shared" si="11"/>
        <v>156.0625</v>
      </c>
      <c r="X16" s="165">
        <f>'2018-2019 B STATEMENT '!B378</f>
        <v>2100</v>
      </c>
      <c r="Y16" s="166">
        <f t="shared" si="12"/>
        <v>20.79</v>
      </c>
      <c r="Z16" s="33">
        <f>V16-X16+'Catch up Fee'!E16+W16</f>
        <v>1093.5625</v>
      </c>
      <c r="AA16" s="167">
        <f t="shared" si="13"/>
        <v>-55.354062499999998</v>
      </c>
      <c r="AB16" s="165">
        <v>0</v>
      </c>
      <c r="AC16" s="166">
        <f t="shared" si="14"/>
        <v>0</v>
      </c>
      <c r="AD16" s="33">
        <f>Z16-AB16+'Catch up Fee'!E16+AA16</f>
        <v>1238.2084374999999</v>
      </c>
      <c r="AE16" s="167">
        <f t="shared" si="15"/>
        <v>68.1014640625</v>
      </c>
      <c r="AF16" s="165">
        <v>0</v>
      </c>
      <c r="AG16" s="166">
        <f t="shared" si="16"/>
        <v>0</v>
      </c>
      <c r="AH16" s="33">
        <f>AD16-AF16+'Catch up Fee'!E16+AE16</f>
        <v>1506.3099015625</v>
      </c>
      <c r="AI16" s="167">
        <f t="shared" si="17"/>
        <v>82.847044585937496</v>
      </c>
      <c r="AJ16" s="165">
        <v>0</v>
      </c>
      <c r="AK16" s="166">
        <f t="shared" si="18"/>
        <v>0</v>
      </c>
      <c r="AL16" s="33">
        <f>AH16-AJ16+'Catch up Fee'!E16+AI16</f>
        <v>1789.1569461484376</v>
      </c>
      <c r="AM16" s="167">
        <f t="shared" si="19"/>
        <v>98.403632038164062</v>
      </c>
      <c r="AN16" s="165">
        <v>0</v>
      </c>
      <c r="AO16" s="166">
        <f t="shared" si="20"/>
        <v>0</v>
      </c>
      <c r="AP16" s="33">
        <f>AL16-AN16+'Catch up Fee'!E16+AM16</f>
        <v>2087.5605781866016</v>
      </c>
      <c r="AQ16" s="167">
        <f t="shared" si="21"/>
        <v>114.81583180026308</v>
      </c>
      <c r="AR16" s="165">
        <v>0</v>
      </c>
      <c r="AS16" s="166">
        <f t="shared" si="22"/>
        <v>0</v>
      </c>
      <c r="AT16" s="33">
        <f>AP16-AR16+'Catch up Fee'!E16+AQ16</f>
        <v>2402.3764099868645</v>
      </c>
      <c r="AU16" s="167">
        <f t="shared" si="23"/>
        <v>132.13070254927754</v>
      </c>
      <c r="AV16" s="165">
        <v>0</v>
      </c>
      <c r="AW16" s="166">
        <f t="shared" si="24"/>
        <v>0</v>
      </c>
      <c r="AX16" s="33">
        <f>AT16-AV16+'Catch up Fee'!E16+AU16</f>
        <v>2734.5071125361419</v>
      </c>
      <c r="AY16" s="167">
        <f t="shared" si="25"/>
        <v>150.39789118948781</v>
      </c>
      <c r="AZ16" s="165">
        <v>0</v>
      </c>
      <c r="BA16" s="166">
        <f t="shared" si="26"/>
        <v>0</v>
      </c>
      <c r="BB16" s="33">
        <f>AX16-AZ16+'Catch up Fee'!E16+AY16</f>
        <v>3084.9050037256297</v>
      </c>
      <c r="BC16" s="167">
        <f t="shared" si="27"/>
        <v>169.66977520490963</v>
      </c>
      <c r="BD16" s="165">
        <v>0</v>
      </c>
      <c r="BE16" s="166">
        <f t="shared" si="28"/>
        <v>0</v>
      </c>
      <c r="BF16" s="33">
        <f>BB16-BD16+'Catch up Fee'!E16+BC16</f>
        <v>3454.5747789305392</v>
      </c>
      <c r="BG16" s="167">
        <f t="shared" si="29"/>
        <v>190.00161284117965</v>
      </c>
      <c r="BH16" s="165">
        <v>0</v>
      </c>
      <c r="BI16" s="166">
        <f t="shared" si="30"/>
        <v>0</v>
      </c>
      <c r="BJ16" s="33">
        <f>BF16-BH16+'Catch up Fee'!E16+BG16</f>
        <v>3844.576391771719</v>
      </c>
      <c r="BK16" s="167">
        <f t="shared" si="31"/>
        <v>211.45170154744454</v>
      </c>
      <c r="BL16" s="185">
        <f t="shared" si="32"/>
        <v>2100</v>
      </c>
    </row>
    <row r="17" spans="1:64">
      <c r="A17" s="10" t="s">
        <v>588</v>
      </c>
      <c r="B17" s="10" t="s">
        <v>115</v>
      </c>
      <c r="C17" s="80">
        <v>0</v>
      </c>
      <c r="D17" s="79">
        <f t="shared" si="0"/>
        <v>2400</v>
      </c>
      <c r="E17" s="79">
        <f>' 2018-2019'!J16</f>
        <v>2400</v>
      </c>
      <c r="F17" s="139">
        <f>' 2018-2019'!F17</f>
        <v>0</v>
      </c>
      <c r="G17" s="78">
        <f t="shared" si="1"/>
        <v>2400</v>
      </c>
      <c r="H17" s="159">
        <f t="shared" si="2"/>
        <v>0</v>
      </c>
      <c r="I17" s="78">
        <f t="shared" si="3"/>
        <v>2400</v>
      </c>
      <c r="J17" s="78">
        <f t="shared" si="33"/>
        <v>8020.2575930061794</v>
      </c>
      <c r="K17" s="157">
        <f t="shared" si="4"/>
        <v>0</v>
      </c>
      <c r="L17" s="157">
        <f t="shared" si="35"/>
        <v>0</v>
      </c>
      <c r="M17" s="78">
        <f t="shared" si="5"/>
        <v>3220.2575930061794</v>
      </c>
      <c r="N17" s="194">
        <f t="shared" si="6"/>
        <v>3220.2575930061794</v>
      </c>
      <c r="O17" s="78">
        <f t="shared" si="7"/>
        <v>-3220.2575930061794</v>
      </c>
      <c r="P17" s="165">
        <v>0</v>
      </c>
      <c r="Q17" s="166">
        <f t="shared" si="8"/>
        <v>0</v>
      </c>
      <c r="R17" s="119">
        <f>E17+'Catch up Fee'!E17</f>
        <v>2600</v>
      </c>
      <c r="S17" s="167">
        <f t="shared" si="9"/>
        <v>143</v>
      </c>
      <c r="T17" s="165">
        <v>0</v>
      </c>
      <c r="U17" s="166">
        <f t="shared" si="10"/>
        <v>0</v>
      </c>
      <c r="V17" s="33">
        <f>R17-T17+'Catch up Fee'!E17+S17</f>
        <v>2943</v>
      </c>
      <c r="W17" s="167">
        <f t="shared" si="11"/>
        <v>161.86500000000001</v>
      </c>
      <c r="X17" s="165">
        <v>0</v>
      </c>
      <c r="Y17" s="166">
        <f t="shared" si="12"/>
        <v>0</v>
      </c>
      <c r="Z17" s="33">
        <f>V17-X17+'Catch up Fee'!E17+W17</f>
        <v>3304.8649999999998</v>
      </c>
      <c r="AA17" s="167">
        <f t="shared" si="13"/>
        <v>181.76757499999999</v>
      </c>
      <c r="AB17" s="165">
        <v>0</v>
      </c>
      <c r="AC17" s="166">
        <f t="shared" si="14"/>
        <v>0</v>
      </c>
      <c r="AD17" s="33">
        <f>Z17-AB17+'Catch up Fee'!E17+AA17</f>
        <v>3686.6325749999996</v>
      </c>
      <c r="AE17" s="167">
        <f t="shared" si="15"/>
        <v>202.76479162499999</v>
      </c>
      <c r="AF17" s="165">
        <v>0</v>
      </c>
      <c r="AG17" s="166">
        <f t="shared" si="16"/>
        <v>0</v>
      </c>
      <c r="AH17" s="33">
        <f>AD17-AF17+'Catch up Fee'!E17+AE17</f>
        <v>4089.3973666249994</v>
      </c>
      <c r="AI17" s="167">
        <f t="shared" si="17"/>
        <v>224.91685516437497</v>
      </c>
      <c r="AJ17" s="165">
        <v>0</v>
      </c>
      <c r="AK17" s="166">
        <f t="shared" si="18"/>
        <v>0</v>
      </c>
      <c r="AL17" s="33">
        <f>AH17-AJ17+'Catch up Fee'!E17+AI17</f>
        <v>4514.3142217893746</v>
      </c>
      <c r="AM17" s="167">
        <f t="shared" si="19"/>
        <v>248.2872821984156</v>
      </c>
      <c r="AN17" s="165">
        <v>0</v>
      </c>
      <c r="AO17" s="166">
        <f t="shared" si="20"/>
        <v>0</v>
      </c>
      <c r="AP17" s="33">
        <f>AL17-AN17+'Catch up Fee'!E17+AM17</f>
        <v>4962.6015039877902</v>
      </c>
      <c r="AQ17" s="167">
        <f t="shared" si="21"/>
        <v>272.94308271932846</v>
      </c>
      <c r="AR17" s="165">
        <v>0</v>
      </c>
      <c r="AS17" s="166">
        <f t="shared" si="22"/>
        <v>0</v>
      </c>
      <c r="AT17" s="33">
        <f>AP17-AR17+'Catch up Fee'!E17+AQ17</f>
        <v>5435.5445867071185</v>
      </c>
      <c r="AU17" s="167">
        <f t="shared" si="23"/>
        <v>298.95495226889153</v>
      </c>
      <c r="AV17" s="165">
        <v>0</v>
      </c>
      <c r="AW17" s="166">
        <f t="shared" si="24"/>
        <v>0</v>
      </c>
      <c r="AX17" s="33">
        <f>AT17-AV17+'Catch up Fee'!E17+AU17</f>
        <v>5934.4995389760097</v>
      </c>
      <c r="AY17" s="167">
        <f t="shared" si="25"/>
        <v>326.39747464368054</v>
      </c>
      <c r="AZ17" s="165">
        <v>0</v>
      </c>
      <c r="BA17" s="166">
        <f t="shared" si="26"/>
        <v>0</v>
      </c>
      <c r="BB17" s="33">
        <f>AX17-AZ17+'Catch up Fee'!E17+AY17</f>
        <v>6460.8970136196904</v>
      </c>
      <c r="BC17" s="167">
        <f t="shared" si="27"/>
        <v>355.34933574908297</v>
      </c>
      <c r="BD17" s="165">
        <v>0</v>
      </c>
      <c r="BE17" s="166">
        <f t="shared" si="28"/>
        <v>0</v>
      </c>
      <c r="BF17" s="33">
        <f>BB17-BD17+'Catch up Fee'!E17+BC17</f>
        <v>7016.2463493687737</v>
      </c>
      <c r="BG17" s="167">
        <f t="shared" si="29"/>
        <v>385.89354921528258</v>
      </c>
      <c r="BH17" s="165">
        <v>0</v>
      </c>
      <c r="BI17" s="166">
        <f t="shared" si="30"/>
        <v>0</v>
      </c>
      <c r="BJ17" s="33">
        <f>BF17-BH17+'Catch up Fee'!E17+BG17</f>
        <v>7602.139898584056</v>
      </c>
      <c r="BK17" s="167">
        <f t="shared" si="31"/>
        <v>418.11769442212307</v>
      </c>
      <c r="BL17" s="185">
        <f t="shared" si="32"/>
        <v>0</v>
      </c>
    </row>
    <row r="18" spans="1:64">
      <c r="A18" s="10" t="s">
        <v>589</v>
      </c>
      <c r="B18" s="10" t="s">
        <v>139</v>
      </c>
      <c r="C18" s="80">
        <v>0</v>
      </c>
      <c r="D18" s="79">
        <f t="shared" si="0"/>
        <v>2400</v>
      </c>
      <c r="E18" s="79">
        <f>' 2018-2019'!J17</f>
        <v>1100</v>
      </c>
      <c r="F18" s="139">
        <f>' 2018-2019'!F18</f>
        <v>1200</v>
      </c>
      <c r="G18" s="78">
        <f t="shared" si="1"/>
        <v>2400</v>
      </c>
      <c r="H18" s="159">
        <f t="shared" si="2"/>
        <v>2450</v>
      </c>
      <c r="I18" s="78">
        <f t="shared" si="3"/>
        <v>-50</v>
      </c>
      <c r="J18" s="78">
        <f>I18+M18+E18</f>
        <v>2031.3907882792023</v>
      </c>
      <c r="K18" s="157">
        <f t="shared" si="4"/>
        <v>24.254999999999995</v>
      </c>
      <c r="L18" s="157">
        <f t="shared" si="35"/>
        <v>133.415975</v>
      </c>
      <c r="M18" s="78">
        <f t="shared" si="5"/>
        <v>981.39078827920241</v>
      </c>
      <c r="N18" s="194">
        <f t="shared" si="6"/>
        <v>981.39078827920241</v>
      </c>
      <c r="O18" s="78">
        <f t="shared" si="7"/>
        <v>1577.7701867207975</v>
      </c>
      <c r="P18" s="165">
        <f>'2018-2019 B STATEMENT '!B318</f>
        <v>1000</v>
      </c>
      <c r="Q18" s="166">
        <f t="shared" si="8"/>
        <v>9.8999999999999986</v>
      </c>
      <c r="R18" s="119">
        <f>E18+'Catch up Fee'!E18</f>
        <v>1300</v>
      </c>
      <c r="S18" s="167">
        <f t="shared" si="9"/>
        <v>16.5</v>
      </c>
      <c r="T18" s="165">
        <v>0</v>
      </c>
      <c r="U18" s="166">
        <f t="shared" si="10"/>
        <v>0</v>
      </c>
      <c r="V18" s="33">
        <f>R18-T18+'Catch up Fee'!E18+S18</f>
        <v>1516.5</v>
      </c>
      <c r="W18" s="167">
        <f t="shared" si="11"/>
        <v>83.407499999999999</v>
      </c>
      <c r="X18" s="165">
        <v>0</v>
      </c>
      <c r="Y18" s="166">
        <f t="shared" si="12"/>
        <v>0</v>
      </c>
      <c r="Z18" s="33">
        <f>V18-X18+'Catch up Fee'!E18+W18</f>
        <v>1799.9075</v>
      </c>
      <c r="AA18" s="167">
        <f t="shared" si="13"/>
        <v>98.994912499999998</v>
      </c>
      <c r="AB18" s="165">
        <f>'2018-2019 B STATEMENT '!B402</f>
        <v>1150</v>
      </c>
      <c r="AC18" s="166">
        <f t="shared" si="14"/>
        <v>11.385</v>
      </c>
      <c r="AD18" s="33">
        <f>Z18-AB18+'Catch up Fee'!E18+AA18</f>
        <v>948.90241250000008</v>
      </c>
      <c r="AE18" s="167">
        <f t="shared" si="15"/>
        <v>-11.060367312499995</v>
      </c>
      <c r="AF18" s="165">
        <v>0</v>
      </c>
      <c r="AG18" s="166">
        <f t="shared" si="16"/>
        <v>0</v>
      </c>
      <c r="AH18" s="33">
        <f>AD18-AF18+'Catch up Fee'!E18+AE18</f>
        <v>1137.8420451875002</v>
      </c>
      <c r="AI18" s="167">
        <f t="shared" si="17"/>
        <v>62.581312485312509</v>
      </c>
      <c r="AJ18" s="165">
        <f>'2018-2019 B STATEMENT '!B451</f>
        <v>300</v>
      </c>
      <c r="AK18" s="166">
        <f t="shared" si="18"/>
        <v>2.9699999999999998</v>
      </c>
      <c r="AL18" s="33">
        <f>AH18-AJ18+'Catch up Fee'!E18+AI18</f>
        <v>1100.4233576728127</v>
      </c>
      <c r="AM18" s="167">
        <f t="shared" si="19"/>
        <v>44.023284672004699</v>
      </c>
      <c r="AN18" s="165">
        <v>0</v>
      </c>
      <c r="AO18" s="166">
        <f t="shared" si="20"/>
        <v>0</v>
      </c>
      <c r="AP18" s="33">
        <f>AL18-AN18+'Catch up Fee'!E18+AM18</f>
        <v>1344.4466423448173</v>
      </c>
      <c r="AQ18" s="167">
        <f t="shared" si="21"/>
        <v>73.944565328964956</v>
      </c>
      <c r="AR18" s="165">
        <v>0</v>
      </c>
      <c r="AS18" s="166">
        <f t="shared" si="22"/>
        <v>0</v>
      </c>
      <c r="AT18" s="33">
        <f>AP18-AR18+'Catch up Fee'!E18+AQ18</f>
        <v>1618.3912076737822</v>
      </c>
      <c r="AU18" s="167">
        <f t="shared" si="23"/>
        <v>89.011516422058023</v>
      </c>
      <c r="AV18" s="165">
        <v>0</v>
      </c>
      <c r="AW18" s="166">
        <f t="shared" si="24"/>
        <v>0</v>
      </c>
      <c r="AX18" s="33">
        <f>AT18-AV18+'Catch up Fee'!E18+AU18</f>
        <v>1907.4027240958403</v>
      </c>
      <c r="AY18" s="167">
        <f t="shared" si="25"/>
        <v>104.90714982527122</v>
      </c>
      <c r="AZ18" s="165">
        <v>0</v>
      </c>
      <c r="BA18" s="166">
        <f t="shared" si="26"/>
        <v>0</v>
      </c>
      <c r="BB18" s="33">
        <f>AX18-AZ18+'Catch up Fee'!E18+AY18</f>
        <v>2212.3098739211114</v>
      </c>
      <c r="BC18" s="167">
        <f t="shared" si="27"/>
        <v>121.67704306566112</v>
      </c>
      <c r="BD18" s="165">
        <v>0</v>
      </c>
      <c r="BE18" s="166">
        <f t="shared" si="28"/>
        <v>0</v>
      </c>
      <c r="BF18" s="33">
        <f>BB18-BD18+'Catch up Fee'!E18+BC18</f>
        <v>2533.9869169867725</v>
      </c>
      <c r="BG18" s="167">
        <f t="shared" si="29"/>
        <v>139.3692804342725</v>
      </c>
      <c r="BH18" s="165">
        <v>0</v>
      </c>
      <c r="BI18" s="166">
        <f t="shared" si="30"/>
        <v>0</v>
      </c>
      <c r="BJ18" s="33">
        <f>BF18-BH18+'Catch up Fee'!E18+BG18</f>
        <v>2873.3561974210452</v>
      </c>
      <c r="BK18" s="167">
        <f t="shared" si="31"/>
        <v>158.03459085815749</v>
      </c>
      <c r="BL18" s="185">
        <f t="shared" si="32"/>
        <v>2450</v>
      </c>
    </row>
    <row r="19" spans="1:64">
      <c r="A19" s="10" t="s">
        <v>590</v>
      </c>
      <c r="B19" s="10" t="s">
        <v>116</v>
      </c>
      <c r="C19" s="80">
        <v>0</v>
      </c>
      <c r="D19" s="79">
        <f t="shared" si="0"/>
        <v>2400</v>
      </c>
      <c r="E19" s="79">
        <f>' 2018-2019'!J18</f>
        <v>150</v>
      </c>
      <c r="F19" s="139">
        <f>' 2018-2019'!F19</f>
        <v>0</v>
      </c>
      <c r="G19" s="78">
        <f t="shared" si="1"/>
        <v>2400</v>
      </c>
      <c r="H19" s="159">
        <f t="shared" si="2"/>
        <v>2400</v>
      </c>
      <c r="I19" s="78">
        <f t="shared" si="3"/>
        <v>0</v>
      </c>
      <c r="J19" s="78">
        <f t="shared" si="33"/>
        <v>285.18112286385127</v>
      </c>
      <c r="K19" s="157">
        <f t="shared" si="4"/>
        <v>23.76</v>
      </c>
      <c r="L19" s="157">
        <f t="shared" si="35"/>
        <v>130.69319999999999</v>
      </c>
      <c r="M19" s="78">
        <f t="shared" si="5"/>
        <v>135.18112286385127</v>
      </c>
      <c r="N19" s="194">
        <f t="shared" si="6"/>
        <v>135.18112286385127</v>
      </c>
      <c r="O19" s="78">
        <f t="shared" si="7"/>
        <v>2371.7520771361487</v>
      </c>
      <c r="P19" s="165">
        <f>'2018-2019 B STATEMENT '!B322</f>
        <v>200</v>
      </c>
      <c r="Q19" s="166">
        <f t="shared" si="8"/>
        <v>1.9799999999999998</v>
      </c>
      <c r="R19" s="119">
        <f>E19+'Catch up Fee'!E19</f>
        <v>350</v>
      </c>
      <c r="S19" s="167">
        <f t="shared" si="9"/>
        <v>8.25</v>
      </c>
      <c r="T19" s="165">
        <f>'2018-2019 B STATEMENT '!B351</f>
        <v>200</v>
      </c>
      <c r="U19" s="166">
        <f t="shared" si="10"/>
        <v>1.9799999999999998</v>
      </c>
      <c r="V19" s="33">
        <f>R19-T19+'Catch up Fee'!E19+S19</f>
        <v>358.25</v>
      </c>
      <c r="W19" s="167">
        <f t="shared" si="11"/>
        <v>8.7037499999999994</v>
      </c>
      <c r="X19" s="165">
        <f>'2018-2019 B STATEMENT '!B383</f>
        <v>200</v>
      </c>
      <c r="Y19" s="166">
        <f t="shared" si="12"/>
        <v>1.9799999999999998</v>
      </c>
      <c r="Z19" s="33">
        <f>V19-X19+'Catch up Fee'!E19+W19</f>
        <v>366.95375000000001</v>
      </c>
      <c r="AA19" s="167">
        <f t="shared" si="13"/>
        <v>9.1824562500000013</v>
      </c>
      <c r="AB19" s="165">
        <f>'2018-2019 B STATEMENT '!B408</f>
        <v>200</v>
      </c>
      <c r="AC19" s="166">
        <f t="shared" si="14"/>
        <v>1.9799999999999998</v>
      </c>
      <c r="AD19" s="33">
        <f>Z19-AB19+'Catch up Fee'!E19+AA19</f>
        <v>376.13620624999999</v>
      </c>
      <c r="AE19" s="167">
        <f t="shared" si="15"/>
        <v>9.6874913437499988</v>
      </c>
      <c r="AF19" s="165">
        <f>'2018-2019 B STATEMENT '!B428</f>
        <v>200</v>
      </c>
      <c r="AG19" s="166">
        <f t="shared" si="16"/>
        <v>1.9799999999999998</v>
      </c>
      <c r="AH19" s="33">
        <f>AD19-AF19+'Catch up Fee'!E19+AE19</f>
        <v>385.82369759375001</v>
      </c>
      <c r="AI19" s="167">
        <f t="shared" si="17"/>
        <v>10.220303367656252</v>
      </c>
      <c r="AJ19" s="165">
        <f>'2018-2019 B STATEMENT '!B452</f>
        <v>200</v>
      </c>
      <c r="AK19" s="166">
        <f t="shared" si="18"/>
        <v>1.9799999999999998</v>
      </c>
      <c r="AL19" s="33">
        <f>AH19-AJ19+'Catch up Fee'!E19+AI19</f>
        <v>396.04400096140625</v>
      </c>
      <c r="AM19" s="167">
        <f t="shared" si="19"/>
        <v>10.782420052877344</v>
      </c>
      <c r="AN19" s="165">
        <f>'2018-2019 B STATEMENT '!B487</f>
        <v>200</v>
      </c>
      <c r="AO19" s="166">
        <f t="shared" si="20"/>
        <v>1.9799999999999998</v>
      </c>
      <c r="AP19" s="33">
        <f>AL19-AN19+'Catch up Fee'!E19+AM19</f>
        <v>406.8264210142836</v>
      </c>
      <c r="AQ19" s="167">
        <f t="shared" si="21"/>
        <v>11.375453155785598</v>
      </c>
      <c r="AR19" s="165">
        <f>'2018-2019 B STATEMENT '!B521</f>
        <v>200</v>
      </c>
      <c r="AS19" s="166">
        <f t="shared" si="22"/>
        <v>1.9799999999999998</v>
      </c>
      <c r="AT19" s="33">
        <f>AP19-AR19+'Catch up Fee'!E19+AQ19</f>
        <v>418.20187417006917</v>
      </c>
      <c r="AU19" s="167">
        <f t="shared" si="23"/>
        <v>12.001103079353804</v>
      </c>
      <c r="AV19" s="165">
        <f>'2018-2019 B STATEMENT '!B521</f>
        <v>200</v>
      </c>
      <c r="AW19" s="166">
        <f t="shared" si="24"/>
        <v>1.9799999999999998</v>
      </c>
      <c r="AX19" s="33">
        <f>AT19-AV19+'Catch up Fee'!E19+AU19</f>
        <v>430.20297724942299</v>
      </c>
      <c r="AY19" s="167">
        <f t="shared" si="25"/>
        <v>12.661163748718264</v>
      </c>
      <c r="AZ19" s="165">
        <f>'2018-2019 B STATEMENT '!B539</f>
        <v>200</v>
      </c>
      <c r="BA19" s="166">
        <f t="shared" si="26"/>
        <v>1.9799999999999998</v>
      </c>
      <c r="BB19" s="33">
        <f>AX19-AZ19+'Catch up Fee'!E19+AY19</f>
        <v>442.86414099814124</v>
      </c>
      <c r="BC19" s="167">
        <f t="shared" si="27"/>
        <v>13.357527754897768</v>
      </c>
      <c r="BD19" s="165">
        <f>'2018-2019 B STATEMENT '!B558</f>
        <v>200</v>
      </c>
      <c r="BE19" s="166">
        <f t="shared" si="28"/>
        <v>1.9799999999999998</v>
      </c>
      <c r="BF19" s="33">
        <f>BB19-BD19+'Catch up Fee'!E19+BC19</f>
        <v>456.22166875303901</v>
      </c>
      <c r="BG19" s="167">
        <f t="shared" si="29"/>
        <v>14.092191781417146</v>
      </c>
      <c r="BH19" s="165">
        <f>'2018-2019 B STATEMENT '!B578</f>
        <v>200</v>
      </c>
      <c r="BI19" s="166">
        <f t="shared" si="30"/>
        <v>1.9799999999999998</v>
      </c>
      <c r="BJ19" s="33">
        <f>BF19-BH19+'Catch up Fee'!E19+BG19</f>
        <v>470.31386053445618</v>
      </c>
      <c r="BK19" s="167">
        <f t="shared" si="31"/>
        <v>14.867262329395091</v>
      </c>
      <c r="BL19" s="185">
        <f t="shared" si="32"/>
        <v>2400</v>
      </c>
    </row>
    <row r="20" spans="1:64">
      <c r="A20" s="10" t="s">
        <v>591</v>
      </c>
      <c r="B20" s="10" t="s">
        <v>140</v>
      </c>
      <c r="C20" s="79">
        <v>100</v>
      </c>
      <c r="D20" s="79">
        <f>200*12</f>
        <v>2400</v>
      </c>
      <c r="E20" s="79">
        <f>' 2018-2019'!J19</f>
        <v>100</v>
      </c>
      <c r="F20" s="139">
        <f>' 2018-2019'!F20</f>
        <v>2400</v>
      </c>
      <c r="G20" s="78">
        <f t="shared" si="1"/>
        <v>2500</v>
      </c>
      <c r="H20" s="159">
        <f t="shared" si="2"/>
        <v>500</v>
      </c>
      <c r="I20" s="78">
        <f t="shared" si="3"/>
        <v>1900</v>
      </c>
      <c r="J20" s="78">
        <f>I20+M20+E20</f>
        <v>2719.2293424514646</v>
      </c>
      <c r="K20" s="157">
        <f t="shared" si="4"/>
        <v>4.9499999999999993</v>
      </c>
      <c r="L20" s="157">
        <f t="shared" si="35"/>
        <v>21.72775</v>
      </c>
      <c r="M20" s="78">
        <f t="shared" si="5"/>
        <v>719.22934245146484</v>
      </c>
      <c r="N20" s="194">
        <f t="shared" si="6"/>
        <v>719.22934245146484</v>
      </c>
      <c r="O20" s="78">
        <f t="shared" si="7"/>
        <v>-202.45159245146482</v>
      </c>
      <c r="P20" s="165">
        <v>0</v>
      </c>
      <c r="Q20" s="166">
        <f t="shared" si="8"/>
        <v>0</v>
      </c>
      <c r="R20" s="119">
        <f>E20+'Catch up Fee'!E20</f>
        <v>300</v>
      </c>
      <c r="S20" s="167">
        <f t="shared" si="9"/>
        <v>16.5</v>
      </c>
      <c r="T20" s="165">
        <f>'2018-2019 B STATEMENT '!B348+'2018-2019 B STATEMENT '!B352</f>
        <v>300</v>
      </c>
      <c r="U20" s="166">
        <f t="shared" si="10"/>
        <v>2.9699999999999998</v>
      </c>
      <c r="V20" s="33">
        <f>R20-T20+'Catch up Fee'!E20+S20</f>
        <v>216.5</v>
      </c>
      <c r="W20" s="167">
        <f t="shared" si="11"/>
        <v>-4.5925000000000002</v>
      </c>
      <c r="X20" s="165">
        <f>'2018-2019 B STATEMENT '!B384</f>
        <v>200</v>
      </c>
      <c r="Y20" s="166">
        <f t="shared" si="12"/>
        <v>1.9799999999999998</v>
      </c>
      <c r="Z20" s="33">
        <f>V20-X20+'Catch up Fee'!E20+W20</f>
        <v>211.9075</v>
      </c>
      <c r="AA20" s="167">
        <f t="shared" si="13"/>
        <v>0.6549124999999999</v>
      </c>
      <c r="AB20" s="165">
        <v>0</v>
      </c>
      <c r="AC20" s="166">
        <f t="shared" si="14"/>
        <v>0</v>
      </c>
      <c r="AD20" s="33">
        <f>Z20-AB20+'Catch up Fee'!E20+AA20</f>
        <v>412.56241250000005</v>
      </c>
      <c r="AE20" s="167">
        <f t="shared" si="15"/>
        <v>22.690932687500002</v>
      </c>
      <c r="AF20" s="165">
        <v>0</v>
      </c>
      <c r="AG20" s="166">
        <f t="shared" si="16"/>
        <v>0</v>
      </c>
      <c r="AH20" s="33">
        <f>AD20-AF20+'Catch up Fee'!E20+AE20</f>
        <v>635.25334518750003</v>
      </c>
      <c r="AI20" s="167">
        <f t="shared" si="17"/>
        <v>34.938933985312502</v>
      </c>
      <c r="AJ20" s="165">
        <v>0</v>
      </c>
      <c r="AK20" s="166">
        <f t="shared" si="18"/>
        <v>0</v>
      </c>
      <c r="AL20" s="33">
        <f>AH20-AJ20+'Catch up Fee'!E20+AI20</f>
        <v>870.1922791728125</v>
      </c>
      <c r="AM20" s="167">
        <f t="shared" si="19"/>
        <v>47.860575354504689</v>
      </c>
      <c r="AN20" s="165">
        <v>0</v>
      </c>
      <c r="AO20" s="166">
        <f t="shared" si="20"/>
        <v>0</v>
      </c>
      <c r="AP20" s="33">
        <f>AL20-AN20+'Catch up Fee'!E20+AM20</f>
        <v>1118.0528545273171</v>
      </c>
      <c r="AQ20" s="167">
        <f t="shared" si="21"/>
        <v>61.492906999002443</v>
      </c>
      <c r="AR20" s="165">
        <v>0</v>
      </c>
      <c r="AS20" s="166">
        <f t="shared" si="22"/>
        <v>0</v>
      </c>
      <c r="AT20" s="33">
        <f>AP20-AR20+'Catch up Fee'!E20+AQ20</f>
        <v>1379.5457615263194</v>
      </c>
      <c r="AU20" s="167">
        <f t="shared" si="23"/>
        <v>75.875016883947566</v>
      </c>
      <c r="AV20" s="165">
        <v>0</v>
      </c>
      <c r="AW20" s="166">
        <f t="shared" si="24"/>
        <v>0</v>
      </c>
      <c r="AX20" s="33">
        <f>AT20-AV20+'Catch up Fee'!E20+AU20</f>
        <v>1655.4207784102671</v>
      </c>
      <c r="AY20" s="167">
        <f t="shared" si="25"/>
        <v>91.048142812564691</v>
      </c>
      <c r="AZ20" s="165">
        <v>0</v>
      </c>
      <c r="BA20" s="166">
        <f t="shared" si="26"/>
        <v>0</v>
      </c>
      <c r="BB20" s="33">
        <f>AX20-AZ20+'Catch up Fee'!E20+AY20</f>
        <v>1946.4689212228318</v>
      </c>
      <c r="BC20" s="167">
        <f t="shared" si="27"/>
        <v>107.05579066725575</v>
      </c>
      <c r="BD20" s="165">
        <v>0</v>
      </c>
      <c r="BE20" s="166">
        <f t="shared" si="28"/>
        <v>0</v>
      </c>
      <c r="BF20" s="33">
        <f>BB20-BD20+'Catch up Fee'!E20+BC20</f>
        <v>2253.5247118900875</v>
      </c>
      <c r="BG20" s="167">
        <f t="shared" si="29"/>
        <v>123.94385915395482</v>
      </c>
      <c r="BH20" s="165">
        <v>0</v>
      </c>
      <c r="BI20" s="166">
        <f t="shared" si="30"/>
        <v>0</v>
      </c>
      <c r="BJ20" s="33">
        <f>BF20-BH20+'Catch up Fee'!E20+BG20</f>
        <v>2577.4685710440422</v>
      </c>
      <c r="BK20" s="167">
        <f t="shared" si="31"/>
        <v>141.76077140742231</v>
      </c>
      <c r="BL20" s="185">
        <f t="shared" si="32"/>
        <v>500</v>
      </c>
    </row>
    <row r="21" spans="1:64">
      <c r="A21" s="10" t="s">
        <v>592</v>
      </c>
      <c r="B21" s="10" t="s">
        <v>117</v>
      </c>
      <c r="C21" s="80">
        <v>0</v>
      </c>
      <c r="D21" s="79">
        <f t="shared" si="0"/>
        <v>2400</v>
      </c>
      <c r="E21" s="79">
        <f>' 2018-2019'!J20</f>
        <v>2400</v>
      </c>
      <c r="F21" s="139">
        <f>' 2018-2019'!F21</f>
        <v>0</v>
      </c>
      <c r="G21" s="78">
        <f t="shared" si="1"/>
        <v>2400</v>
      </c>
      <c r="H21" s="159">
        <f t="shared" si="2"/>
        <v>2470</v>
      </c>
      <c r="I21" s="78">
        <f t="shared" si="3"/>
        <v>-70</v>
      </c>
      <c r="J21" s="78">
        <f t="shared" si="33"/>
        <v>5100.6656511886003</v>
      </c>
      <c r="K21" s="157">
        <f t="shared" si="4"/>
        <v>24.452999999999999</v>
      </c>
      <c r="L21" s="157">
        <f t="shared" si="35"/>
        <v>134.50508500000001</v>
      </c>
      <c r="M21" s="78">
        <f t="shared" si="5"/>
        <v>2770.6656511886003</v>
      </c>
      <c r="N21" s="194">
        <f t="shared" si="6"/>
        <v>2770.6656511886003</v>
      </c>
      <c r="O21" s="78">
        <f t="shared" si="7"/>
        <v>-190.61356618860032</v>
      </c>
      <c r="P21" s="165">
        <f>'2018-2019 B STATEMENT '!B321</f>
        <v>600</v>
      </c>
      <c r="Q21" s="166">
        <f t="shared" si="8"/>
        <v>5.9399999999999995</v>
      </c>
      <c r="R21" s="119">
        <f>E21+'Catch up Fee'!E21</f>
        <v>2600</v>
      </c>
      <c r="S21" s="167">
        <f t="shared" si="9"/>
        <v>110</v>
      </c>
      <c r="T21" s="165">
        <v>0</v>
      </c>
      <c r="U21" s="166">
        <f t="shared" si="10"/>
        <v>0</v>
      </c>
      <c r="V21" s="33">
        <f>R21-T21+'Catch up Fee'!E21+S21</f>
        <v>2910</v>
      </c>
      <c r="W21" s="167">
        <f t="shared" si="11"/>
        <v>160.05000000000001</v>
      </c>
      <c r="X21" s="165">
        <v>0</v>
      </c>
      <c r="Y21" s="166">
        <f t="shared" si="12"/>
        <v>0</v>
      </c>
      <c r="Z21" s="33">
        <f>V21-X21+'Catch up Fee'!E21+W21</f>
        <v>3270.05</v>
      </c>
      <c r="AA21" s="167">
        <f t="shared" si="13"/>
        <v>179.85275000000001</v>
      </c>
      <c r="AB21" s="165">
        <v>0</v>
      </c>
      <c r="AC21" s="166">
        <f t="shared" si="14"/>
        <v>0</v>
      </c>
      <c r="AD21" s="33">
        <f>Z21-AB21+'Catch up Fee'!E21+AA21</f>
        <v>3649.9027500000002</v>
      </c>
      <c r="AE21" s="167">
        <f t="shared" si="15"/>
        <v>200.74465125</v>
      </c>
      <c r="AF21" s="165">
        <v>0</v>
      </c>
      <c r="AG21" s="166">
        <f t="shared" si="16"/>
        <v>0</v>
      </c>
      <c r="AH21" s="33">
        <f>AD21-AF21+'Catch up Fee'!E21+AE21</f>
        <v>4050.6474012500003</v>
      </c>
      <c r="AI21" s="167">
        <f t="shared" si="17"/>
        <v>222.78560706875001</v>
      </c>
      <c r="AJ21" s="165">
        <v>0</v>
      </c>
      <c r="AK21" s="166">
        <f t="shared" si="18"/>
        <v>0</v>
      </c>
      <c r="AL21" s="33">
        <f>AH21-AJ21+'Catch up Fee'!E21+AI21</f>
        <v>4473.4330083187506</v>
      </c>
      <c r="AM21" s="167">
        <f t="shared" si="19"/>
        <v>246.03881545753129</v>
      </c>
      <c r="AN21" s="165">
        <v>0</v>
      </c>
      <c r="AO21" s="166">
        <f t="shared" si="20"/>
        <v>0</v>
      </c>
      <c r="AP21" s="33">
        <f>AL21-AN21+'Catch up Fee'!E21+AM21</f>
        <v>4919.4718237762818</v>
      </c>
      <c r="AQ21" s="167">
        <f t="shared" si="21"/>
        <v>270.57095030769551</v>
      </c>
      <c r="AR21" s="165">
        <v>0</v>
      </c>
      <c r="AS21" s="166">
        <f t="shared" si="22"/>
        <v>0</v>
      </c>
      <c r="AT21" s="33">
        <f>AP21-AR21+'Catch up Fee'!E21+AQ21</f>
        <v>5390.0427740839768</v>
      </c>
      <c r="AU21" s="167">
        <f t="shared" si="23"/>
        <v>296.45235257461871</v>
      </c>
      <c r="AV21" s="165">
        <v>0</v>
      </c>
      <c r="AW21" s="166">
        <f t="shared" si="24"/>
        <v>0</v>
      </c>
      <c r="AX21" s="33">
        <f>AT21-AV21+'Catch up Fee'!E21+AU21</f>
        <v>5886.4951266585958</v>
      </c>
      <c r="AY21" s="167">
        <f t="shared" si="25"/>
        <v>323.75723196622278</v>
      </c>
      <c r="AZ21" s="165">
        <f>'2018-2019 B STATEMENT '!B548+'2018-2019 B STATEMENT '!B549</f>
        <v>1470</v>
      </c>
      <c r="BA21" s="166">
        <f t="shared" si="26"/>
        <v>14.552999999999999</v>
      </c>
      <c r="BB21" s="33">
        <f>AX21-AZ21+'Catch up Fee'!E21+AY21</f>
        <v>4940.252358624819</v>
      </c>
      <c r="BC21" s="167">
        <f t="shared" si="27"/>
        <v>190.86387972436503</v>
      </c>
      <c r="BD21" s="165">
        <v>0</v>
      </c>
      <c r="BE21" s="166">
        <f t="shared" si="28"/>
        <v>0</v>
      </c>
      <c r="BF21" s="33">
        <f>BB21-BD21+'Catch up Fee'!E21+BC21</f>
        <v>5331.1162383491837</v>
      </c>
      <c r="BG21" s="167">
        <f t="shared" si="29"/>
        <v>293.21139310920512</v>
      </c>
      <c r="BH21" s="165">
        <f>'2018-2019 B STATEMENT '!B577</f>
        <v>400</v>
      </c>
      <c r="BI21" s="166">
        <f t="shared" si="30"/>
        <v>3.9599999999999995</v>
      </c>
      <c r="BJ21" s="33">
        <f>BF21-BH21+'Catch up Fee'!E21+BG21</f>
        <v>5424.3276314583891</v>
      </c>
      <c r="BK21" s="167">
        <f t="shared" si="31"/>
        <v>276.33801973021139</v>
      </c>
      <c r="BL21" s="185">
        <f t="shared" si="32"/>
        <v>2470</v>
      </c>
    </row>
    <row r="22" spans="1:64">
      <c r="A22" s="10" t="s">
        <v>593</v>
      </c>
      <c r="B22" s="10" t="s">
        <v>118</v>
      </c>
      <c r="C22" s="80">
        <v>0</v>
      </c>
      <c r="D22" s="79">
        <f t="shared" si="0"/>
        <v>2400</v>
      </c>
      <c r="E22" s="79">
        <f>' 2018-2019'!J21</f>
        <v>1500</v>
      </c>
      <c r="F22" s="139">
        <f>' 2018-2019'!F22</f>
        <v>200</v>
      </c>
      <c r="G22" s="78">
        <f t="shared" si="1"/>
        <v>2400</v>
      </c>
      <c r="H22" s="159">
        <f t="shared" si="2"/>
        <v>0</v>
      </c>
      <c r="I22" s="78">
        <f t="shared" si="3"/>
        <v>2400</v>
      </c>
      <c r="J22" s="78">
        <f>I22+M22+E22</f>
        <v>6309.1708558230721</v>
      </c>
      <c r="K22" s="157">
        <f t="shared" si="4"/>
        <v>0</v>
      </c>
      <c r="L22" s="157">
        <f t="shared" si="35"/>
        <v>0</v>
      </c>
      <c r="M22" s="78">
        <f t="shared" si="5"/>
        <v>2409.1708558230721</v>
      </c>
      <c r="N22" s="194">
        <f t="shared" si="6"/>
        <v>2409.1708558230721</v>
      </c>
      <c r="O22" s="78">
        <f t="shared" si="7"/>
        <v>-2409.1708558230721</v>
      </c>
      <c r="P22" s="165">
        <v>0</v>
      </c>
      <c r="Q22" s="166">
        <f t="shared" si="8"/>
        <v>0</v>
      </c>
      <c r="R22" s="119">
        <f>E22+'Catch up Fee'!E22</f>
        <v>1700</v>
      </c>
      <c r="S22" s="167">
        <f t="shared" si="9"/>
        <v>93.5</v>
      </c>
      <c r="T22" s="165">
        <v>0</v>
      </c>
      <c r="U22" s="166">
        <f t="shared" si="10"/>
        <v>0</v>
      </c>
      <c r="V22" s="33">
        <f>R22-T22+'Catch up Fee'!E22+S22</f>
        <v>1993.5</v>
      </c>
      <c r="W22" s="167">
        <f t="shared" si="11"/>
        <v>109.6425</v>
      </c>
      <c r="X22" s="165">
        <v>0</v>
      </c>
      <c r="Y22" s="166">
        <f t="shared" si="12"/>
        <v>0</v>
      </c>
      <c r="Z22" s="33">
        <f>V22-X22+'Catch up Fee'!E22+W22</f>
        <v>2303.1424999999999</v>
      </c>
      <c r="AA22" s="167">
        <f t="shared" si="13"/>
        <v>126.6728375</v>
      </c>
      <c r="AB22" s="165">
        <v>0</v>
      </c>
      <c r="AC22" s="166">
        <f t="shared" si="14"/>
        <v>0</v>
      </c>
      <c r="AD22" s="33">
        <f>Z22-AB22+'Catch up Fee'!E22+AA22</f>
        <v>2629.8153374999997</v>
      </c>
      <c r="AE22" s="167">
        <f t="shared" si="15"/>
        <v>144.63984356249998</v>
      </c>
      <c r="AF22" s="165">
        <v>0</v>
      </c>
      <c r="AG22" s="166">
        <f t="shared" si="16"/>
        <v>0</v>
      </c>
      <c r="AH22" s="33">
        <f>AD22-AF22+'Catch up Fee'!E22+AE22</f>
        <v>2974.4551810624998</v>
      </c>
      <c r="AI22" s="167">
        <f t="shared" si="17"/>
        <v>163.59503495843748</v>
      </c>
      <c r="AJ22" s="165">
        <v>0</v>
      </c>
      <c r="AK22" s="166">
        <f t="shared" si="18"/>
        <v>0</v>
      </c>
      <c r="AL22" s="33">
        <f>AH22-AJ22+'Catch up Fee'!E22+AI22</f>
        <v>3338.0502160209371</v>
      </c>
      <c r="AM22" s="167">
        <f t="shared" si="19"/>
        <v>183.59276188115155</v>
      </c>
      <c r="AN22" s="165">
        <v>0</v>
      </c>
      <c r="AO22" s="166">
        <f t="shared" si="20"/>
        <v>0</v>
      </c>
      <c r="AP22" s="33">
        <f>AL22-AN22+'Catch up Fee'!E22+AM22</f>
        <v>3721.6429779020887</v>
      </c>
      <c r="AQ22" s="167">
        <f t="shared" si="21"/>
        <v>204.69036378461487</v>
      </c>
      <c r="AR22" s="165">
        <v>0</v>
      </c>
      <c r="AS22" s="166">
        <f t="shared" si="22"/>
        <v>0</v>
      </c>
      <c r="AT22" s="33">
        <f>AP22-AR22+'Catch up Fee'!E22+AQ22</f>
        <v>4126.3333416867035</v>
      </c>
      <c r="AU22" s="167">
        <f t="shared" si="23"/>
        <v>226.94833379276869</v>
      </c>
      <c r="AV22" s="165">
        <v>0</v>
      </c>
      <c r="AW22" s="166">
        <f t="shared" si="24"/>
        <v>0</v>
      </c>
      <c r="AX22" s="33">
        <f>AT22-AV22+'Catch up Fee'!E22+AU22</f>
        <v>4553.2816754794721</v>
      </c>
      <c r="AY22" s="167">
        <f t="shared" si="25"/>
        <v>250.43049215137097</v>
      </c>
      <c r="AZ22" s="165">
        <v>0</v>
      </c>
      <c r="BA22" s="166">
        <f t="shared" si="26"/>
        <v>0</v>
      </c>
      <c r="BB22" s="33">
        <f>AX22-AZ22+'Catch up Fee'!E22+AY22</f>
        <v>5003.7121676308434</v>
      </c>
      <c r="BC22" s="167">
        <f t="shared" si="27"/>
        <v>275.20416921969638</v>
      </c>
      <c r="BD22" s="165">
        <v>0</v>
      </c>
      <c r="BE22" s="166">
        <f t="shared" si="28"/>
        <v>0</v>
      </c>
      <c r="BF22" s="33">
        <f>BB22-BD22+'Catch up Fee'!E22+BC22</f>
        <v>5478.9163368505397</v>
      </c>
      <c r="BG22" s="167">
        <f t="shared" si="29"/>
        <v>301.34039852677967</v>
      </c>
      <c r="BH22" s="165">
        <v>0</v>
      </c>
      <c r="BI22" s="166">
        <f t="shared" si="30"/>
        <v>0</v>
      </c>
      <c r="BJ22" s="33">
        <f>BF22-BH22+'Catch up Fee'!E22+BG22</f>
        <v>5980.2567353773193</v>
      </c>
      <c r="BK22" s="167">
        <f t="shared" si="31"/>
        <v>328.91412044575259</v>
      </c>
      <c r="BL22" s="185">
        <f t="shared" si="32"/>
        <v>0</v>
      </c>
    </row>
    <row r="23" spans="1:64">
      <c r="A23" s="10" t="s">
        <v>594</v>
      </c>
      <c r="B23" s="10" t="s">
        <v>119</v>
      </c>
      <c r="C23" s="80">
        <v>0</v>
      </c>
      <c r="D23" s="79">
        <f t="shared" si="0"/>
        <v>2400</v>
      </c>
      <c r="E23" s="79">
        <f>' 2018-2019'!J22</f>
        <v>1200</v>
      </c>
      <c r="F23" s="139">
        <f>' 2018-2019'!F23</f>
        <v>200</v>
      </c>
      <c r="G23" s="78">
        <f t="shared" si="1"/>
        <v>2400</v>
      </c>
      <c r="H23" s="159">
        <f t="shared" si="2"/>
        <v>1300</v>
      </c>
      <c r="I23" s="78">
        <f t="shared" si="3"/>
        <v>1100</v>
      </c>
      <c r="J23" s="78">
        <f>I23+M23+E23</f>
        <v>3892.3989610014878</v>
      </c>
      <c r="K23" s="157">
        <f t="shared" si="4"/>
        <v>12.869999999999997</v>
      </c>
      <c r="L23" s="157">
        <f t="shared" si="35"/>
        <v>70.792150000000007</v>
      </c>
      <c r="M23" s="78">
        <f t="shared" si="5"/>
        <v>1592.3989610014878</v>
      </c>
      <c r="N23" s="194">
        <f t="shared" si="6"/>
        <v>1592.3989610014878</v>
      </c>
      <c r="O23" s="78">
        <f t="shared" si="7"/>
        <v>-234.4768110014877</v>
      </c>
      <c r="P23" s="165">
        <f>'2018-2019 B STATEMENT '!B335</f>
        <v>400</v>
      </c>
      <c r="Q23" s="166">
        <f t="shared" si="8"/>
        <v>3.9599999999999995</v>
      </c>
      <c r="R23" s="119">
        <f>E23+'Catch up Fee'!E23</f>
        <v>1400</v>
      </c>
      <c r="S23" s="167">
        <f t="shared" si="9"/>
        <v>55</v>
      </c>
      <c r="T23" s="165">
        <v>0</v>
      </c>
      <c r="U23" s="166">
        <f t="shared" si="10"/>
        <v>0</v>
      </c>
      <c r="V23" s="33">
        <f>R23-T23+'Catch up Fee'!E23+S23</f>
        <v>1655</v>
      </c>
      <c r="W23" s="167">
        <f t="shared" si="11"/>
        <v>91.025000000000006</v>
      </c>
      <c r="X23" s="165">
        <v>0</v>
      </c>
      <c r="Y23" s="166">
        <f t="shared" si="12"/>
        <v>0</v>
      </c>
      <c r="Z23" s="33">
        <f>V23-X23+'Catch up Fee'!E23+W23</f>
        <v>1946.0250000000001</v>
      </c>
      <c r="AA23" s="167">
        <f t="shared" si="13"/>
        <v>107.03137500000001</v>
      </c>
      <c r="AB23" s="165">
        <f>'2018-2019 B STATEMENT '!B401+'2018-2019 B STATEMENT '!B424</f>
        <v>400</v>
      </c>
      <c r="AC23" s="166">
        <f t="shared" si="14"/>
        <v>3.9599999999999995</v>
      </c>
      <c r="AD23" s="33">
        <f>Z23-AB23+'Catch up Fee'!E23+AA23</f>
        <v>1853.0563750000001</v>
      </c>
      <c r="AE23" s="167">
        <f t="shared" si="15"/>
        <v>79.918100625000008</v>
      </c>
      <c r="AF23" s="165">
        <v>0</v>
      </c>
      <c r="AG23" s="166">
        <f t="shared" si="16"/>
        <v>0</v>
      </c>
      <c r="AH23" s="33">
        <f>AD23-AF23+'Catch up Fee'!E23+AE23</f>
        <v>2132.9744756250002</v>
      </c>
      <c r="AI23" s="167">
        <f t="shared" si="17"/>
        <v>117.31359615937501</v>
      </c>
      <c r="AJ23" s="165">
        <v>0</v>
      </c>
      <c r="AK23" s="166">
        <f t="shared" si="18"/>
        <v>0</v>
      </c>
      <c r="AL23" s="33">
        <f>AH23-AJ23+'Catch up Fee'!E23+AI23</f>
        <v>2450.288071784375</v>
      </c>
      <c r="AM23" s="167">
        <f t="shared" si="19"/>
        <v>134.76584394814063</v>
      </c>
      <c r="AN23" s="165">
        <f>'2018-2019 B STATEMENT '!B482</f>
        <v>500</v>
      </c>
      <c r="AO23" s="166">
        <f t="shared" si="20"/>
        <v>4.9499999999999993</v>
      </c>
      <c r="AP23" s="33">
        <f>AL23-AN23+'Catch up Fee'!E23+AM23</f>
        <v>2285.0539157325156</v>
      </c>
      <c r="AQ23" s="167">
        <f t="shared" si="21"/>
        <v>98.177965365288358</v>
      </c>
      <c r="AR23" s="165">
        <v>0</v>
      </c>
      <c r="AS23" s="166">
        <f t="shared" si="22"/>
        <v>0</v>
      </c>
      <c r="AT23" s="33">
        <f>AP23-AR23+'Catch up Fee'!E23+AQ23</f>
        <v>2583.231881097804</v>
      </c>
      <c r="AU23" s="167">
        <f t="shared" si="23"/>
        <v>142.07775346037923</v>
      </c>
      <c r="AV23" s="165">
        <v>0</v>
      </c>
      <c r="AW23" s="166">
        <f t="shared" si="24"/>
        <v>0</v>
      </c>
      <c r="AX23" s="33">
        <f>AT23-AV23+'Catch up Fee'!E23+AU23</f>
        <v>2925.3096345581835</v>
      </c>
      <c r="AY23" s="167">
        <f t="shared" si="25"/>
        <v>160.89202990070009</v>
      </c>
      <c r="AZ23" s="165">
        <v>0</v>
      </c>
      <c r="BA23" s="166">
        <f t="shared" si="26"/>
        <v>0</v>
      </c>
      <c r="BB23" s="33">
        <f>AX23-AZ23+'Catch up Fee'!E23+AY23</f>
        <v>3286.2016644588834</v>
      </c>
      <c r="BC23" s="167">
        <f t="shared" si="27"/>
        <v>180.74109154523859</v>
      </c>
      <c r="BD23" s="165">
        <v>0</v>
      </c>
      <c r="BE23" s="166">
        <f t="shared" si="28"/>
        <v>0</v>
      </c>
      <c r="BF23" s="33">
        <f>BB23-BD23+'Catch up Fee'!E23+BC23</f>
        <v>3666.9427560041222</v>
      </c>
      <c r="BG23" s="167">
        <f t="shared" si="29"/>
        <v>201.68185158022672</v>
      </c>
      <c r="BH23" s="165">
        <v>0</v>
      </c>
      <c r="BI23" s="166">
        <f t="shared" si="30"/>
        <v>0</v>
      </c>
      <c r="BJ23" s="33">
        <f>BF23-BH23+'Catch up Fee'!E23+BG23</f>
        <v>4068.6246075843487</v>
      </c>
      <c r="BK23" s="167">
        <f t="shared" si="31"/>
        <v>223.77435341713917</v>
      </c>
      <c r="BL23" s="185">
        <f t="shared" si="32"/>
        <v>1300</v>
      </c>
    </row>
    <row r="24" spans="1:64">
      <c r="A24" s="10" t="s">
        <v>595</v>
      </c>
      <c r="B24" s="10" t="s">
        <v>116</v>
      </c>
      <c r="C24" s="80">
        <v>0</v>
      </c>
      <c r="D24" s="79">
        <f t="shared" si="0"/>
        <v>2400</v>
      </c>
      <c r="E24" s="79">
        <f>' 2018-2019'!J23</f>
        <v>-300</v>
      </c>
      <c r="F24" s="139">
        <f>' 2018-2019'!F24</f>
        <v>0</v>
      </c>
      <c r="G24" s="78">
        <f t="shared" si="1"/>
        <v>2400</v>
      </c>
      <c r="H24" s="159">
        <f t="shared" si="2"/>
        <v>0</v>
      </c>
      <c r="I24" s="78">
        <f t="shared" si="3"/>
        <v>2400</v>
      </c>
      <c r="J24" s="78">
        <f t="shared" si="33"/>
        <v>2886.9973814568571</v>
      </c>
      <c r="K24" s="157">
        <f t="shared" si="4"/>
        <v>0</v>
      </c>
      <c r="L24" s="157">
        <f t="shared" si="35"/>
        <v>0</v>
      </c>
      <c r="M24" s="78">
        <f t="shared" si="5"/>
        <v>786.99738145685717</v>
      </c>
      <c r="N24" s="194">
        <f t="shared" si="6"/>
        <v>786.99738145685717</v>
      </c>
      <c r="O24" s="78">
        <f t="shared" si="7"/>
        <v>-786.99738145685717</v>
      </c>
      <c r="P24" s="165">
        <v>0</v>
      </c>
      <c r="Q24" s="166">
        <f t="shared" si="8"/>
        <v>0</v>
      </c>
      <c r="R24" s="119">
        <f>E24+'Catch up Fee'!E24</f>
        <v>-100</v>
      </c>
      <c r="S24" s="167">
        <f t="shared" si="9"/>
        <v>-5.5</v>
      </c>
      <c r="T24" s="165">
        <v>0</v>
      </c>
      <c r="U24" s="166">
        <f t="shared" si="10"/>
        <v>0</v>
      </c>
      <c r="V24" s="33">
        <f>R24-T24+'Catch up Fee'!E24+S24</f>
        <v>94.5</v>
      </c>
      <c r="W24" s="167">
        <f t="shared" si="11"/>
        <v>5.1974999999999998</v>
      </c>
      <c r="X24" s="165">
        <v>0</v>
      </c>
      <c r="Y24" s="166">
        <f t="shared" si="12"/>
        <v>0</v>
      </c>
      <c r="Z24" s="33">
        <f>V24-X24+'Catch up Fee'!E24+W24</f>
        <v>299.69749999999999</v>
      </c>
      <c r="AA24" s="167">
        <f t="shared" si="13"/>
        <v>16.483362499999998</v>
      </c>
      <c r="AB24" s="165">
        <v>0</v>
      </c>
      <c r="AC24" s="166">
        <f t="shared" si="14"/>
        <v>0</v>
      </c>
      <c r="AD24" s="33">
        <f>Z24-AB24+'Catch up Fee'!E24+AA24</f>
        <v>516.18086249999999</v>
      </c>
      <c r="AE24" s="167">
        <f t="shared" si="15"/>
        <v>28.389947437499998</v>
      </c>
      <c r="AF24" s="165">
        <v>0</v>
      </c>
      <c r="AG24" s="166">
        <f t="shared" si="16"/>
        <v>0</v>
      </c>
      <c r="AH24" s="33">
        <f>AD24-AF24+'Catch up Fee'!E24+AE24</f>
        <v>744.57080993750003</v>
      </c>
      <c r="AI24" s="167">
        <f t="shared" si="17"/>
        <v>40.951394546562504</v>
      </c>
      <c r="AJ24" s="165">
        <v>0</v>
      </c>
      <c r="AK24" s="166">
        <f t="shared" si="18"/>
        <v>0</v>
      </c>
      <c r="AL24" s="33">
        <f>AH24-AJ24+'Catch up Fee'!E24+AI24</f>
        <v>985.52220448406251</v>
      </c>
      <c r="AM24" s="167">
        <f t="shared" si="19"/>
        <v>54.203721246623438</v>
      </c>
      <c r="AN24" s="165">
        <v>0</v>
      </c>
      <c r="AO24" s="166">
        <f t="shared" si="20"/>
        <v>0</v>
      </c>
      <c r="AP24" s="33">
        <f>AL24-AN24+'Catch up Fee'!E24+AM24</f>
        <v>1239.725925730686</v>
      </c>
      <c r="AQ24" s="167">
        <f t="shared" si="21"/>
        <v>68.184925915187733</v>
      </c>
      <c r="AR24" s="165">
        <v>0</v>
      </c>
      <c r="AS24" s="166">
        <f t="shared" si="22"/>
        <v>0</v>
      </c>
      <c r="AT24" s="33">
        <f>AP24-AR24+'Catch up Fee'!E24+AQ24</f>
        <v>1507.9108516458737</v>
      </c>
      <c r="AU24" s="167">
        <f t="shared" si="23"/>
        <v>82.935096840523059</v>
      </c>
      <c r="AV24" s="165">
        <v>0</v>
      </c>
      <c r="AW24" s="166">
        <f t="shared" si="24"/>
        <v>0</v>
      </c>
      <c r="AX24" s="33">
        <f>AT24-AV24+'Catch up Fee'!E24+AU24</f>
        <v>1790.8459484863968</v>
      </c>
      <c r="AY24" s="167">
        <f t="shared" si="25"/>
        <v>98.496527166751818</v>
      </c>
      <c r="AZ24" s="165">
        <v>0</v>
      </c>
      <c r="BA24" s="166">
        <f t="shared" si="26"/>
        <v>0</v>
      </c>
      <c r="BB24" s="33">
        <f>AX24-AZ24+'Catch up Fee'!E24+AY24</f>
        <v>2089.3424756531485</v>
      </c>
      <c r="BC24" s="167">
        <f t="shared" si="27"/>
        <v>114.91383616092317</v>
      </c>
      <c r="BD24" s="165">
        <v>0</v>
      </c>
      <c r="BE24" s="166">
        <f t="shared" si="28"/>
        <v>0</v>
      </c>
      <c r="BF24" s="33">
        <f>BB24-BD24+'Catch up Fee'!E24+BC24</f>
        <v>2404.2563118140715</v>
      </c>
      <c r="BG24" s="167">
        <f t="shared" si="29"/>
        <v>132.23409714977393</v>
      </c>
      <c r="BH24" s="165">
        <v>0</v>
      </c>
      <c r="BI24" s="166">
        <f t="shared" si="30"/>
        <v>0</v>
      </c>
      <c r="BJ24" s="33">
        <f>BF24-BH24+'Catch up Fee'!E24+BG24</f>
        <v>2736.4904089638453</v>
      </c>
      <c r="BK24" s="167">
        <f t="shared" si="31"/>
        <v>150.50697249301149</v>
      </c>
      <c r="BL24" s="185">
        <f t="shared" si="32"/>
        <v>0</v>
      </c>
    </row>
    <row r="25" spans="1:64">
      <c r="A25" s="10" t="s">
        <v>596</v>
      </c>
      <c r="B25" s="10" t="s">
        <v>120</v>
      </c>
      <c r="C25" s="80">
        <v>0</v>
      </c>
      <c r="D25" s="79">
        <f t="shared" si="0"/>
        <v>2400</v>
      </c>
      <c r="E25" s="79">
        <f>' 2018-2019'!J25</f>
        <v>2500</v>
      </c>
      <c r="F25" s="139">
        <f>' 2018-2019'!F25</f>
        <v>200</v>
      </c>
      <c r="G25" s="78">
        <f>C25+D25</f>
        <v>2400</v>
      </c>
      <c r="H25" s="159">
        <f>BL25</f>
        <v>3000</v>
      </c>
      <c r="I25" s="78">
        <f>G25-H25-C25</f>
        <v>-600</v>
      </c>
      <c r="J25" s="78">
        <f>I25+M25+E25</f>
        <v>3922.8855300957784</v>
      </c>
      <c r="K25" s="157">
        <f t="shared" si="4"/>
        <v>29.699999999999992</v>
      </c>
      <c r="L25" s="157">
        <f t="shared" si="35"/>
        <v>163.3665</v>
      </c>
      <c r="M25" s="78">
        <f>S25+W25+AA25+AE25+AI25+AM25+AQ25+AU25+AY25+BC25+BG25+BK25</f>
        <v>2022.8855300957782</v>
      </c>
      <c r="N25" s="194">
        <f>M25</f>
        <v>2022.8855300957782</v>
      </c>
      <c r="O25" s="78">
        <f>H25-K25-M25+L25</f>
        <v>1110.780969904222</v>
      </c>
      <c r="P25" s="165">
        <v>0</v>
      </c>
      <c r="Q25" s="166">
        <f t="shared" si="8"/>
        <v>0</v>
      </c>
      <c r="R25" s="119">
        <f>E25+'Catch up Fee'!E25</f>
        <v>2700</v>
      </c>
      <c r="S25" s="167">
        <f>(R25-P25)*0.055</f>
        <v>148.5</v>
      </c>
      <c r="T25" s="165">
        <v>0</v>
      </c>
      <c r="U25" s="166">
        <f t="shared" si="10"/>
        <v>0</v>
      </c>
      <c r="V25" s="33">
        <f>R25-T25+'Catch up Fee'!E25+S25</f>
        <v>3048.5</v>
      </c>
      <c r="W25" s="167">
        <f>(V25-T25)*0.055</f>
        <v>167.66749999999999</v>
      </c>
      <c r="X25" s="165">
        <f>'2018-2019 B STATEMENT '!B98</f>
        <v>300</v>
      </c>
      <c r="Y25" s="166">
        <f t="shared" si="12"/>
        <v>2.9699999999999998</v>
      </c>
      <c r="Z25" s="33">
        <f>V25-X25+'Catch up Fee'!E25+W25</f>
        <v>3116.1675</v>
      </c>
      <c r="AA25" s="167">
        <f>(Z25-X25)*0.055</f>
        <v>154.88921250000001</v>
      </c>
      <c r="AB25" s="165">
        <f>'2018-2019 B STATEMENT '!B373</f>
        <v>300</v>
      </c>
      <c r="AC25" s="166">
        <f t="shared" si="14"/>
        <v>2.9699999999999998</v>
      </c>
      <c r="AD25" s="33">
        <f>Z25-AB25+'Catch up Fee'!E25+AA25</f>
        <v>3171.0567125000002</v>
      </c>
      <c r="AE25" s="167">
        <f t="shared" si="15"/>
        <v>157.90811918750001</v>
      </c>
      <c r="AF25" s="165">
        <f>'2018-2019 B STATEMENT '!B403</f>
        <v>300</v>
      </c>
      <c r="AG25" s="166">
        <f t="shared" si="16"/>
        <v>2.9699999999999998</v>
      </c>
      <c r="AH25" s="33">
        <f>AD25-AF25+'Catch up Fee'!E25+AE25</f>
        <v>3228.9648316875</v>
      </c>
      <c r="AI25" s="167">
        <f t="shared" si="17"/>
        <v>161.09306574281251</v>
      </c>
      <c r="AJ25" s="165">
        <f>'2018-2019 B STATEMENT '!B427</f>
        <v>300</v>
      </c>
      <c r="AK25" s="166">
        <f t="shared" si="18"/>
        <v>2.9699999999999998</v>
      </c>
      <c r="AL25" s="33">
        <f>AH25-AJ25+'Catch up Fee'!E25+AI25</f>
        <v>3290.0578974303126</v>
      </c>
      <c r="AM25" s="167">
        <f t="shared" si="19"/>
        <v>164.45318435866719</v>
      </c>
      <c r="AN25" s="165">
        <f>'2018-2019 B STATEMENT '!B449</f>
        <v>300</v>
      </c>
      <c r="AO25" s="166">
        <f t="shared" si="20"/>
        <v>2.9699999999999998</v>
      </c>
      <c r="AP25" s="33">
        <f>AL25-AN25+'Catch up Fee'!E25+AM25</f>
        <v>3354.5110817889799</v>
      </c>
      <c r="AQ25" s="167">
        <f t="shared" si="21"/>
        <v>167.99810949839389</v>
      </c>
      <c r="AR25" s="165">
        <f>'2018-2019 B STATEMENT '!B479</f>
        <v>300</v>
      </c>
      <c r="AS25" s="166">
        <f t="shared" si="22"/>
        <v>2.9699999999999998</v>
      </c>
      <c r="AT25" s="33">
        <f>AP25-AR25+'Catch up Fee'!E25+AQ25</f>
        <v>3422.5091912873741</v>
      </c>
      <c r="AU25" s="167">
        <f t="shared" si="23"/>
        <v>171.73800552080559</v>
      </c>
      <c r="AV25" s="165">
        <f>'2018-2019 B STATEMENT '!B496</f>
        <v>300</v>
      </c>
      <c r="AW25" s="166">
        <f t="shared" si="24"/>
        <v>2.9699999999999998</v>
      </c>
      <c r="AX25" s="33">
        <f>AT25-AV25+'Catch up Fee'!E25+AU25</f>
        <v>3494.2471968081795</v>
      </c>
      <c r="AY25" s="167">
        <f t="shared" si="25"/>
        <v>175.68359582444987</v>
      </c>
      <c r="AZ25" s="165">
        <f>'2018-2019 B STATEMENT '!B514</f>
        <v>300</v>
      </c>
      <c r="BA25" s="166">
        <f t="shared" si="26"/>
        <v>2.9699999999999998</v>
      </c>
      <c r="BB25" s="33">
        <f>AX25-AZ25+'Catch up Fee'!E25+AY25</f>
        <v>3569.9307926326292</v>
      </c>
      <c r="BC25" s="167">
        <f t="shared" si="27"/>
        <v>179.84619359479461</v>
      </c>
      <c r="BD25" s="165">
        <f>'2018-2019 B STATEMENT '!B517</f>
        <v>300</v>
      </c>
      <c r="BE25" s="166">
        <f t="shared" si="28"/>
        <v>2.9699999999999998</v>
      </c>
      <c r="BF25" s="33">
        <f>BB25-BD25+'Catch up Fee'!E25+BC25</f>
        <v>3649.7769862274235</v>
      </c>
      <c r="BG25" s="167">
        <f t="shared" si="29"/>
        <v>184.23773424250831</v>
      </c>
      <c r="BH25" s="165">
        <f>'2018-2019 B STATEMENT '!B531</f>
        <v>300</v>
      </c>
      <c r="BI25" s="166">
        <f t="shared" si="30"/>
        <v>2.9699999999999998</v>
      </c>
      <c r="BJ25" s="33">
        <f>BF25-BH25+'Catch up Fee'!E25+BG25</f>
        <v>3734.0147204699319</v>
      </c>
      <c r="BK25" s="167">
        <f t="shared" si="31"/>
        <v>188.87080962584625</v>
      </c>
      <c r="BL25" s="185">
        <f t="shared" si="32"/>
        <v>3000</v>
      </c>
    </row>
    <row r="26" spans="1:64">
      <c r="A26" s="10" t="s">
        <v>597</v>
      </c>
      <c r="B26" s="10" t="s">
        <v>121</v>
      </c>
      <c r="C26" s="80">
        <v>0</v>
      </c>
      <c r="D26" s="79">
        <f t="shared" si="0"/>
        <v>2400</v>
      </c>
      <c r="E26" s="79">
        <f>' 2018-2019'!J25</f>
        <v>2500</v>
      </c>
      <c r="F26" s="139">
        <f>' 2018-2019'!F26</f>
        <v>0</v>
      </c>
      <c r="G26" s="78">
        <f t="shared" si="1"/>
        <v>2400</v>
      </c>
      <c r="H26" s="159">
        <f t="shared" si="2"/>
        <v>400</v>
      </c>
      <c r="I26" s="78">
        <f t="shared" si="3"/>
        <v>2000</v>
      </c>
      <c r="J26" s="78">
        <f t="shared" si="33"/>
        <v>7770.7323087036939</v>
      </c>
      <c r="K26" s="157">
        <f t="shared" si="4"/>
        <v>3.9599999999999995</v>
      </c>
      <c r="L26" s="157">
        <f t="shared" si="35"/>
        <v>21.7822</v>
      </c>
      <c r="M26" s="78">
        <f t="shared" si="5"/>
        <v>3270.7323087036939</v>
      </c>
      <c r="N26" s="194">
        <f t="shared" si="6"/>
        <v>3270.7323087036939</v>
      </c>
      <c r="O26" s="78">
        <f t="shared" si="7"/>
        <v>-2852.9101087036938</v>
      </c>
      <c r="P26" s="165">
        <f>'2018-2019 B STATEMENT '!B336</f>
        <v>400</v>
      </c>
      <c r="Q26" s="166">
        <f t="shared" si="8"/>
        <v>3.9599999999999995</v>
      </c>
      <c r="R26" s="119">
        <f>E26+'Catch up Fee'!E26</f>
        <v>2700</v>
      </c>
      <c r="S26" s="167">
        <f t="shared" si="9"/>
        <v>126.5</v>
      </c>
      <c r="T26" s="165">
        <f>'2018-2019 B STATEMENT '!B345</f>
        <v>0</v>
      </c>
      <c r="U26" s="166">
        <f t="shared" si="10"/>
        <v>0</v>
      </c>
      <c r="V26" s="33">
        <f>R26-T26+'Catch up Fee'!E26+S26</f>
        <v>3026.5</v>
      </c>
      <c r="W26" s="167">
        <f t="shared" si="11"/>
        <v>166.45750000000001</v>
      </c>
      <c r="X26" s="165">
        <v>0</v>
      </c>
      <c r="Y26" s="166">
        <f t="shared" si="12"/>
        <v>0</v>
      </c>
      <c r="Z26" s="33">
        <f>V26-X26+'Catch up Fee'!E26+W26</f>
        <v>3392.9575</v>
      </c>
      <c r="AA26" s="167">
        <f t="shared" si="13"/>
        <v>186.6126625</v>
      </c>
      <c r="AB26" s="165">
        <v>0</v>
      </c>
      <c r="AC26" s="166">
        <f t="shared" si="14"/>
        <v>0</v>
      </c>
      <c r="AD26" s="33">
        <f>Z26-AB26+'Catch up Fee'!E26+AA26</f>
        <v>3779.5701625000002</v>
      </c>
      <c r="AE26" s="167">
        <f t="shared" si="15"/>
        <v>207.87635893750002</v>
      </c>
      <c r="AF26" s="165">
        <v>0</v>
      </c>
      <c r="AG26" s="166">
        <f t="shared" si="16"/>
        <v>0</v>
      </c>
      <c r="AH26" s="33">
        <f>AD26-AF26+'Catch up Fee'!E26+AE26</f>
        <v>4187.4465214375005</v>
      </c>
      <c r="AI26" s="167">
        <f t="shared" si="17"/>
        <v>230.30955867906252</v>
      </c>
      <c r="AJ26" s="165">
        <f>'2018-2019 B STATEMENT '!B472</f>
        <v>0</v>
      </c>
      <c r="AK26" s="166">
        <f t="shared" si="18"/>
        <v>0</v>
      </c>
      <c r="AL26" s="33">
        <f>AH26-AJ26+'Catch up Fee'!E26+AI26</f>
        <v>4617.7560801165628</v>
      </c>
      <c r="AM26" s="167">
        <f t="shared" si="19"/>
        <v>253.97658440641095</v>
      </c>
      <c r="AN26" s="165">
        <v>0</v>
      </c>
      <c r="AO26" s="166">
        <f t="shared" si="20"/>
        <v>0</v>
      </c>
      <c r="AP26" s="33">
        <f>AL26-AN26+'Catch up Fee'!E26+AM26</f>
        <v>5071.7326645229741</v>
      </c>
      <c r="AQ26" s="167">
        <f t="shared" si="21"/>
        <v>278.94529654876357</v>
      </c>
      <c r="AR26" s="165">
        <f>'2018-2019 B STATEMENT '!B509</f>
        <v>0</v>
      </c>
      <c r="AS26" s="166">
        <f t="shared" si="22"/>
        <v>0</v>
      </c>
      <c r="AT26" s="33">
        <f>AP26-AR26+'Catch up Fee'!E26+AQ26</f>
        <v>5550.6779610717376</v>
      </c>
      <c r="AU26" s="167">
        <f t="shared" si="23"/>
        <v>305.28728785894555</v>
      </c>
      <c r="AV26" s="165">
        <v>0</v>
      </c>
      <c r="AW26" s="166">
        <f t="shared" si="24"/>
        <v>0</v>
      </c>
      <c r="AX26" s="33">
        <f>AT26-AV26+'Catch up Fee'!E26+AU26</f>
        <v>6055.9652489306827</v>
      </c>
      <c r="AY26" s="167">
        <f t="shared" si="25"/>
        <v>333.07808869118753</v>
      </c>
      <c r="AZ26" s="165">
        <v>0</v>
      </c>
      <c r="BA26" s="166">
        <f t="shared" si="26"/>
        <v>0</v>
      </c>
      <c r="BB26" s="33">
        <f>AX26-AZ26+'Catch up Fee'!E26+AY26</f>
        <v>6589.0433376218698</v>
      </c>
      <c r="BC26" s="167">
        <f t="shared" si="27"/>
        <v>362.39738356920282</v>
      </c>
      <c r="BD26" s="165">
        <v>0</v>
      </c>
      <c r="BE26" s="166">
        <f t="shared" si="28"/>
        <v>0</v>
      </c>
      <c r="BF26" s="33">
        <f>BB26-BD26+'Catch up Fee'!E26+BC26</f>
        <v>7151.440721191073</v>
      </c>
      <c r="BG26" s="167">
        <f t="shared" si="29"/>
        <v>393.32923966550902</v>
      </c>
      <c r="BH26" s="165">
        <v>0</v>
      </c>
      <c r="BI26" s="166">
        <f t="shared" si="30"/>
        <v>0</v>
      </c>
      <c r="BJ26" s="33">
        <f>BF26-BH26+'Catch up Fee'!E26+BG26</f>
        <v>7744.7699608565817</v>
      </c>
      <c r="BK26" s="167">
        <f t="shared" si="31"/>
        <v>425.96234784711197</v>
      </c>
      <c r="BL26" s="185">
        <f t="shared" si="32"/>
        <v>400</v>
      </c>
    </row>
    <row r="27" spans="1:64">
      <c r="A27" s="10" t="s">
        <v>598</v>
      </c>
      <c r="B27" s="10" t="s">
        <v>110</v>
      </c>
      <c r="C27" s="80">
        <v>0</v>
      </c>
      <c r="D27" s="79">
        <f t="shared" si="0"/>
        <v>2400</v>
      </c>
      <c r="E27" s="79">
        <f>' 2018-2019'!J26</f>
        <v>450</v>
      </c>
      <c r="F27" s="139">
        <f>' 2018-2019'!F27</f>
        <v>0</v>
      </c>
      <c r="G27" s="78">
        <f t="shared" si="1"/>
        <v>2400</v>
      </c>
      <c r="H27" s="159">
        <f t="shared" si="2"/>
        <v>1400</v>
      </c>
      <c r="I27" s="78">
        <f t="shared" si="3"/>
        <v>1000</v>
      </c>
      <c r="J27" s="78">
        <f t="shared" si="33"/>
        <v>2774.141880701759</v>
      </c>
      <c r="K27" s="157">
        <f t="shared" si="4"/>
        <v>13.86</v>
      </c>
      <c r="L27" s="157">
        <f t="shared" si="35"/>
        <v>76.237700000000004</v>
      </c>
      <c r="M27" s="78">
        <f t="shared" si="5"/>
        <v>1324.1418807017592</v>
      </c>
      <c r="N27" s="194">
        <f t="shared" si="6"/>
        <v>1324.1418807017592</v>
      </c>
      <c r="O27" s="78">
        <f t="shared" si="7"/>
        <v>138.23581929824093</v>
      </c>
      <c r="P27" s="165">
        <f>'2018-2019 B STATEMENT '!B320</f>
        <v>1400</v>
      </c>
      <c r="Q27" s="166">
        <f t="shared" si="8"/>
        <v>13.86</v>
      </c>
      <c r="R27" s="119">
        <f>E27+'Catch up Fee'!E27</f>
        <v>650</v>
      </c>
      <c r="S27" s="167">
        <f t="shared" si="9"/>
        <v>-41.25</v>
      </c>
      <c r="T27" s="165">
        <v>0</v>
      </c>
      <c r="U27" s="166">
        <f t="shared" si="10"/>
        <v>0</v>
      </c>
      <c r="V27" s="33">
        <f>R27-T27+'Catch up Fee'!E27+S27</f>
        <v>808.75</v>
      </c>
      <c r="W27" s="167">
        <f t="shared" si="11"/>
        <v>44.481250000000003</v>
      </c>
      <c r="X27" s="165">
        <v>0</v>
      </c>
      <c r="Y27" s="166">
        <f t="shared" si="12"/>
        <v>0</v>
      </c>
      <c r="Z27" s="33">
        <f>V27-X27+'Catch up Fee'!E27+W27</f>
        <v>1053.23125</v>
      </c>
      <c r="AA27" s="167">
        <f t="shared" si="13"/>
        <v>57.927718750000004</v>
      </c>
      <c r="AB27" s="165">
        <v>0</v>
      </c>
      <c r="AC27" s="166">
        <f t="shared" si="14"/>
        <v>0</v>
      </c>
      <c r="AD27" s="33">
        <f>Z27-AB27+'Catch up Fee'!E27+AA27</f>
        <v>1311.15896875</v>
      </c>
      <c r="AE27" s="167">
        <f t="shared" si="15"/>
        <v>72.113743281249995</v>
      </c>
      <c r="AF27" s="165">
        <v>0</v>
      </c>
      <c r="AG27" s="166">
        <f t="shared" si="16"/>
        <v>0</v>
      </c>
      <c r="AH27" s="33">
        <f>AD27-AF27+'Catch up Fee'!E27+AE27</f>
        <v>1583.27271203125</v>
      </c>
      <c r="AI27" s="167">
        <f t="shared" si="17"/>
        <v>87.079999161718746</v>
      </c>
      <c r="AJ27" s="165">
        <v>0</v>
      </c>
      <c r="AK27" s="166">
        <f t="shared" si="18"/>
        <v>0</v>
      </c>
      <c r="AL27" s="33">
        <f>AH27-AJ27+'Catch up Fee'!E27+AI27</f>
        <v>1870.3527111929686</v>
      </c>
      <c r="AM27" s="167">
        <f t="shared" si="19"/>
        <v>102.86939911561328</v>
      </c>
      <c r="AN27" s="165">
        <v>0</v>
      </c>
      <c r="AO27" s="166">
        <f t="shared" si="20"/>
        <v>0</v>
      </c>
      <c r="AP27" s="33">
        <f>AL27-AN27+'Catch up Fee'!E27+AM27</f>
        <v>2173.2221103085822</v>
      </c>
      <c r="AQ27" s="167">
        <f t="shared" si="21"/>
        <v>119.52721606697202</v>
      </c>
      <c r="AR27" s="165">
        <v>0</v>
      </c>
      <c r="AS27" s="166">
        <f t="shared" si="22"/>
        <v>0</v>
      </c>
      <c r="AT27" s="33">
        <f>AP27-AR27+'Catch up Fee'!E27+AQ27</f>
        <v>2492.7493263755541</v>
      </c>
      <c r="AU27" s="167">
        <f t="shared" si="23"/>
        <v>137.10121295065548</v>
      </c>
      <c r="AV27" s="165">
        <v>0</v>
      </c>
      <c r="AW27" s="166">
        <f t="shared" si="24"/>
        <v>0</v>
      </c>
      <c r="AX27" s="33">
        <f>AT27-AV27+'Catch up Fee'!E27+AU27</f>
        <v>2829.8505393262094</v>
      </c>
      <c r="AY27" s="167">
        <f t="shared" si="25"/>
        <v>155.64177966294153</v>
      </c>
      <c r="AZ27" s="165">
        <v>0</v>
      </c>
      <c r="BA27" s="166">
        <f t="shared" si="26"/>
        <v>0</v>
      </c>
      <c r="BB27" s="33">
        <f>AX27-AZ27+'Catch up Fee'!E27+AY27</f>
        <v>3185.492318989151</v>
      </c>
      <c r="BC27" s="167">
        <f t="shared" si="27"/>
        <v>175.20207754440329</v>
      </c>
      <c r="BD27" s="165">
        <v>0</v>
      </c>
      <c r="BE27" s="166">
        <f t="shared" si="28"/>
        <v>0</v>
      </c>
      <c r="BF27" s="33">
        <f>BB27-BD27+'Catch up Fee'!E27+BC27</f>
        <v>3560.6943965335545</v>
      </c>
      <c r="BG27" s="167">
        <f t="shared" si="29"/>
        <v>195.83819180934549</v>
      </c>
      <c r="BH27" s="165">
        <v>0</v>
      </c>
      <c r="BI27" s="166">
        <f t="shared" si="30"/>
        <v>0</v>
      </c>
      <c r="BJ27" s="33">
        <f>BF27-BH27+'Catch up Fee'!E27+BG27</f>
        <v>3956.5325883429</v>
      </c>
      <c r="BK27" s="167">
        <f t="shared" si="31"/>
        <v>217.60929235885951</v>
      </c>
      <c r="BL27" s="185">
        <f t="shared" si="32"/>
        <v>1400</v>
      </c>
    </row>
    <row r="28" spans="1:64">
      <c r="A28" s="10" t="s">
        <v>599</v>
      </c>
      <c r="B28" s="10" t="s">
        <v>116</v>
      </c>
      <c r="C28" s="80">
        <v>0</v>
      </c>
      <c r="D28" s="79">
        <f t="shared" si="0"/>
        <v>2400</v>
      </c>
      <c r="E28" s="79">
        <f>' 2018-2019'!J27</f>
        <v>1700</v>
      </c>
      <c r="F28" s="139">
        <f>' 2018-2019'!F28</f>
        <v>0</v>
      </c>
      <c r="G28" s="78">
        <f t="shared" si="1"/>
        <v>2400</v>
      </c>
      <c r="H28" s="159">
        <f t="shared" si="2"/>
        <v>300</v>
      </c>
      <c r="I28" s="78">
        <f t="shared" si="3"/>
        <v>2100</v>
      </c>
      <c r="J28" s="78">
        <f t="shared" si="33"/>
        <v>6289.3557233323963</v>
      </c>
      <c r="K28" s="157">
        <f t="shared" si="4"/>
        <v>2.9699999999999998</v>
      </c>
      <c r="L28" s="157">
        <f t="shared" si="35"/>
        <v>16.336649999999999</v>
      </c>
      <c r="M28" s="78">
        <f t="shared" si="5"/>
        <v>2489.3557233323963</v>
      </c>
      <c r="N28" s="194">
        <f t="shared" si="6"/>
        <v>2489.3557233323963</v>
      </c>
      <c r="O28" s="78">
        <f t="shared" si="7"/>
        <v>-2175.9890733323964</v>
      </c>
      <c r="P28" s="165">
        <f>'2018-2019 B STATEMENT '!B343</f>
        <v>100</v>
      </c>
      <c r="Q28" s="166">
        <f t="shared" si="8"/>
        <v>0.98999999999999988</v>
      </c>
      <c r="R28" s="119">
        <f>E28+'Catch up Fee'!E28</f>
        <v>1900</v>
      </c>
      <c r="S28" s="167">
        <f t="shared" si="9"/>
        <v>99</v>
      </c>
      <c r="T28" s="165">
        <v>0</v>
      </c>
      <c r="U28" s="166">
        <f t="shared" si="10"/>
        <v>0</v>
      </c>
      <c r="V28" s="33">
        <f>R28-T28+'Catch up Fee'!E28+S28</f>
        <v>2199</v>
      </c>
      <c r="W28" s="167">
        <f t="shared" si="11"/>
        <v>120.94500000000001</v>
      </c>
      <c r="X28" s="165">
        <v>0</v>
      </c>
      <c r="Y28" s="166">
        <f t="shared" si="12"/>
        <v>0</v>
      </c>
      <c r="Z28" s="33">
        <f>V28-X28+'Catch up Fee'!E28+W28</f>
        <v>2519.9450000000002</v>
      </c>
      <c r="AA28" s="167">
        <f t="shared" si="13"/>
        <v>138.59697500000001</v>
      </c>
      <c r="AB28" s="165">
        <v>0</v>
      </c>
      <c r="AC28" s="166">
        <f t="shared" si="14"/>
        <v>0</v>
      </c>
      <c r="AD28" s="33">
        <f>Z28-AB28+'Catch up Fee'!E28+AA28</f>
        <v>2858.5419750000001</v>
      </c>
      <c r="AE28" s="167">
        <f t="shared" si="15"/>
        <v>157.21980862500001</v>
      </c>
      <c r="AF28" s="165">
        <v>0</v>
      </c>
      <c r="AG28" s="166">
        <f t="shared" si="16"/>
        <v>0</v>
      </c>
      <c r="AH28" s="33">
        <f>AD28-AF28+'Catch up Fee'!E28+AE28</f>
        <v>3215.7617836250001</v>
      </c>
      <c r="AI28" s="167">
        <f t="shared" si="17"/>
        <v>176.86689809937502</v>
      </c>
      <c r="AJ28" s="165">
        <v>0</v>
      </c>
      <c r="AK28" s="166">
        <f t="shared" si="18"/>
        <v>0</v>
      </c>
      <c r="AL28" s="33">
        <f>AH28-AJ28+'Catch up Fee'!E28+AI28</f>
        <v>3592.6286817243754</v>
      </c>
      <c r="AM28" s="167">
        <f t="shared" si="19"/>
        <v>197.59457749484065</v>
      </c>
      <c r="AN28" s="165">
        <f>'2018-2019 B STATEMENT '!B480</f>
        <v>200</v>
      </c>
      <c r="AO28" s="166">
        <f t="shared" si="20"/>
        <v>1.9799999999999998</v>
      </c>
      <c r="AP28" s="33">
        <f>AL28-AN28+'Catch up Fee'!E28+AM28</f>
        <v>3790.2232592192158</v>
      </c>
      <c r="AQ28" s="167">
        <f t="shared" si="21"/>
        <v>197.46227925705688</v>
      </c>
      <c r="AR28" s="165">
        <v>0</v>
      </c>
      <c r="AS28" s="166">
        <f t="shared" si="22"/>
        <v>0</v>
      </c>
      <c r="AT28" s="33">
        <f>AP28-AR28+'Catch up Fee'!E28+AQ28</f>
        <v>4187.685538476273</v>
      </c>
      <c r="AU28" s="167">
        <f t="shared" si="23"/>
        <v>230.32270461619501</v>
      </c>
      <c r="AV28" s="165">
        <v>0</v>
      </c>
      <c r="AW28" s="166">
        <f t="shared" si="24"/>
        <v>0</v>
      </c>
      <c r="AX28" s="33">
        <f>AT28-AV28+'Catch up Fee'!E28+AU28</f>
        <v>4618.0082430924676</v>
      </c>
      <c r="AY28" s="167">
        <f t="shared" si="25"/>
        <v>253.99045337008573</v>
      </c>
      <c r="AZ28" s="165">
        <v>0</v>
      </c>
      <c r="BA28" s="166">
        <f t="shared" si="26"/>
        <v>0</v>
      </c>
      <c r="BB28" s="33">
        <f>AX28-AZ28+'Catch up Fee'!E28+AY28</f>
        <v>5071.9986964625532</v>
      </c>
      <c r="BC28" s="167">
        <f t="shared" si="27"/>
        <v>278.95992830544043</v>
      </c>
      <c r="BD28" s="165">
        <v>0</v>
      </c>
      <c r="BE28" s="166">
        <f t="shared" si="28"/>
        <v>0</v>
      </c>
      <c r="BF28" s="33">
        <f>BB28-BD28+'Catch up Fee'!E28+BC28</f>
        <v>5550.9586247679936</v>
      </c>
      <c r="BG28" s="167">
        <f t="shared" si="29"/>
        <v>305.30272436223964</v>
      </c>
      <c r="BH28" s="165">
        <v>0</v>
      </c>
      <c r="BI28" s="166">
        <f t="shared" si="30"/>
        <v>0</v>
      </c>
      <c r="BJ28" s="33">
        <f>BF28-BH28+'Catch up Fee'!E28+BG28</f>
        <v>6056.2613491302336</v>
      </c>
      <c r="BK28" s="167">
        <f t="shared" si="31"/>
        <v>333.09437420216284</v>
      </c>
      <c r="BL28" s="185">
        <f t="shared" si="32"/>
        <v>300</v>
      </c>
    </row>
    <row r="29" spans="1:64">
      <c r="A29" s="10" t="s">
        <v>600</v>
      </c>
      <c r="B29" s="10" t="s">
        <v>141</v>
      </c>
      <c r="C29" s="79">
        <v>100</v>
      </c>
      <c r="D29" s="79">
        <f t="shared" si="0"/>
        <v>2400</v>
      </c>
      <c r="E29" s="79">
        <f>' 2018-2019'!J28</f>
        <v>2400</v>
      </c>
      <c r="F29" s="139">
        <f>' 2018-2019'!F29</f>
        <v>3000</v>
      </c>
      <c r="G29" s="78">
        <f t="shared" si="1"/>
        <v>2500</v>
      </c>
      <c r="H29" s="159">
        <f t="shared" si="2"/>
        <v>0</v>
      </c>
      <c r="I29" s="78">
        <f t="shared" si="3"/>
        <v>2400</v>
      </c>
      <c r="J29" s="78">
        <f>I29+M29+E29</f>
        <v>5947.4803757604604</v>
      </c>
      <c r="K29" s="157">
        <f t="shared" si="4"/>
        <v>0</v>
      </c>
      <c r="L29" s="157">
        <f t="shared" si="35"/>
        <v>-5.5</v>
      </c>
      <c r="M29" s="78">
        <f t="shared" si="5"/>
        <v>1147.4803757604607</v>
      </c>
      <c r="N29" s="194">
        <f t="shared" si="6"/>
        <v>1147.4803757604607</v>
      </c>
      <c r="O29" s="78">
        <f t="shared" si="7"/>
        <v>-1152.9803757604607</v>
      </c>
      <c r="P29" s="165">
        <v>0</v>
      </c>
      <c r="Q29" s="166">
        <f t="shared" si="8"/>
        <v>0</v>
      </c>
      <c r="R29" s="119">
        <f>C29+'Catch up Fee'!E29</f>
        <v>300</v>
      </c>
      <c r="S29" s="167">
        <f t="shared" si="9"/>
        <v>16.5</v>
      </c>
      <c r="T29" s="165">
        <v>0</v>
      </c>
      <c r="U29" s="166">
        <f t="shared" si="10"/>
        <v>0</v>
      </c>
      <c r="V29" s="33">
        <f>R29-T29+'Catch up Fee'!E29+S29</f>
        <v>516.5</v>
      </c>
      <c r="W29" s="167">
        <f t="shared" si="11"/>
        <v>28.407499999999999</v>
      </c>
      <c r="X29" s="165">
        <v>0</v>
      </c>
      <c r="Y29" s="166">
        <f t="shared" si="12"/>
        <v>0</v>
      </c>
      <c r="Z29" s="33">
        <f>V29-X29+'Catch up Fee'!E29+W29</f>
        <v>744.90750000000003</v>
      </c>
      <c r="AA29" s="167">
        <f t="shared" si="13"/>
        <v>40.9699125</v>
      </c>
      <c r="AB29" s="165">
        <v>0</v>
      </c>
      <c r="AC29" s="166">
        <f t="shared" si="14"/>
        <v>0</v>
      </c>
      <c r="AD29" s="33">
        <f>Z29-AB29+'Catch up Fee'!E29+AA29</f>
        <v>985.87741249999999</v>
      </c>
      <c r="AE29" s="167">
        <f t="shared" si="15"/>
        <v>54.223257687500002</v>
      </c>
      <c r="AF29" s="165">
        <v>0</v>
      </c>
      <c r="AG29" s="166">
        <f t="shared" si="16"/>
        <v>0</v>
      </c>
      <c r="AH29" s="33">
        <f>AD29-AF29+'Catch up Fee'!E29+AE29</f>
        <v>1240.1006701875001</v>
      </c>
      <c r="AI29" s="167">
        <f t="shared" si="17"/>
        <v>68.205536860312506</v>
      </c>
      <c r="AJ29" s="165">
        <v>0</v>
      </c>
      <c r="AK29" s="166">
        <f t="shared" si="18"/>
        <v>0</v>
      </c>
      <c r="AL29" s="33">
        <f>AH29-AJ29+'Catch up Fee'!E29+AI29</f>
        <v>1508.3062070478127</v>
      </c>
      <c r="AM29" s="167">
        <f t="shared" si="19"/>
        <v>82.956841387629694</v>
      </c>
      <c r="AN29" s="165">
        <v>0</v>
      </c>
      <c r="AO29" s="166">
        <f t="shared" si="20"/>
        <v>0</v>
      </c>
      <c r="AP29" s="33">
        <f>AL29-AN29+'Catch up Fee'!E29+AM29</f>
        <v>1791.2630484354424</v>
      </c>
      <c r="AQ29" s="167">
        <f t="shared" si="21"/>
        <v>98.519467663949328</v>
      </c>
      <c r="AR29" s="165">
        <v>0</v>
      </c>
      <c r="AS29" s="166">
        <f t="shared" si="22"/>
        <v>0</v>
      </c>
      <c r="AT29" s="33">
        <f>AP29-AR29+'Catch up Fee'!E29+AQ29</f>
        <v>2089.7825160993916</v>
      </c>
      <c r="AU29" s="167">
        <f t="shared" si="23"/>
        <v>114.93803838546654</v>
      </c>
      <c r="AV29" s="165">
        <v>0</v>
      </c>
      <c r="AW29" s="166">
        <f t="shared" si="24"/>
        <v>0</v>
      </c>
      <c r="AX29" s="33">
        <f>AT29-AV29+'Catch up Fee'!E29+AU29</f>
        <v>2404.720554484858</v>
      </c>
      <c r="AY29" s="167">
        <f t="shared" si="25"/>
        <v>132.2596304966672</v>
      </c>
      <c r="AZ29" s="165">
        <v>0</v>
      </c>
      <c r="BA29" s="166">
        <f t="shared" si="26"/>
        <v>0</v>
      </c>
      <c r="BB29" s="33">
        <f>AX29-AZ29+'Catch up Fee'!E29+AY29</f>
        <v>2736.9801849815253</v>
      </c>
      <c r="BC29" s="167">
        <f t="shared" si="27"/>
        <v>150.53391017398388</v>
      </c>
      <c r="BD29" s="165">
        <v>0</v>
      </c>
      <c r="BE29" s="166">
        <f t="shared" si="28"/>
        <v>0</v>
      </c>
      <c r="BF29" s="33">
        <f>BB29-BD29+'Catch up Fee'!E29+BC29</f>
        <v>3087.514095155509</v>
      </c>
      <c r="BG29" s="167">
        <f t="shared" si="29"/>
        <v>169.81327523355299</v>
      </c>
      <c r="BH29" s="165">
        <v>0</v>
      </c>
      <c r="BI29" s="166">
        <f t="shared" si="30"/>
        <v>0</v>
      </c>
      <c r="BJ29" s="33">
        <f>BF29-BH29+'Catch up Fee'!E29+BG29</f>
        <v>3457.3273703890618</v>
      </c>
      <c r="BK29" s="167">
        <f t="shared" si="31"/>
        <v>190.15300537139839</v>
      </c>
      <c r="BL29" s="185">
        <f t="shared" si="32"/>
        <v>0</v>
      </c>
    </row>
    <row r="30" spans="1:64">
      <c r="A30" s="10" t="s">
        <v>601</v>
      </c>
      <c r="B30" s="10" t="s">
        <v>122</v>
      </c>
      <c r="C30" s="80">
        <v>0</v>
      </c>
      <c r="D30" s="79">
        <f t="shared" si="0"/>
        <v>2400</v>
      </c>
      <c r="E30" s="79">
        <f>' 2018-2019'!J29</f>
        <v>1900</v>
      </c>
      <c r="F30" s="139">
        <f>' 2018-2019'!F30</f>
        <v>200</v>
      </c>
      <c r="G30" s="78">
        <f t="shared" si="1"/>
        <v>2400</v>
      </c>
      <c r="H30" s="159">
        <f t="shared" si="2"/>
        <v>1300</v>
      </c>
      <c r="I30" s="78">
        <f t="shared" si="3"/>
        <v>1100</v>
      </c>
      <c r="J30" s="78">
        <f>I30+M30+E30</f>
        <v>4733.3008137245561</v>
      </c>
      <c r="K30" s="157">
        <f t="shared" si="4"/>
        <v>12.87</v>
      </c>
      <c r="L30" s="157">
        <f t="shared" si="35"/>
        <v>70.792150000000007</v>
      </c>
      <c r="M30" s="78">
        <f t="shared" si="5"/>
        <v>1733.3008137245565</v>
      </c>
      <c r="N30" s="194">
        <f t="shared" si="6"/>
        <v>1733.3008137245565</v>
      </c>
      <c r="O30" s="78">
        <f t="shared" si="7"/>
        <v>-375.37866372455642</v>
      </c>
      <c r="P30" s="165">
        <v>0</v>
      </c>
      <c r="Q30" s="166">
        <f t="shared" si="8"/>
        <v>0</v>
      </c>
      <c r="R30" s="119">
        <f>E30+'Catch up Fee'!E30</f>
        <v>2100</v>
      </c>
      <c r="S30" s="167">
        <f t="shared" si="9"/>
        <v>115.5</v>
      </c>
      <c r="T30" s="165">
        <v>0</v>
      </c>
      <c r="U30" s="166">
        <f t="shared" si="10"/>
        <v>0</v>
      </c>
      <c r="V30" s="33">
        <f>R30-T30+'Catch up Fee'!E30+S30</f>
        <v>2415.5</v>
      </c>
      <c r="W30" s="167">
        <f t="shared" si="11"/>
        <v>132.85249999999999</v>
      </c>
      <c r="X30" s="165">
        <f>'2018-2019 B STATEMENT '!B374</f>
        <v>1300</v>
      </c>
      <c r="Y30" s="166">
        <f t="shared" si="12"/>
        <v>12.87</v>
      </c>
      <c r="Z30" s="33">
        <f>V30-X30+'Catch up Fee'!E30+W30</f>
        <v>1448.3525</v>
      </c>
      <c r="AA30" s="167">
        <f t="shared" si="13"/>
        <v>8.1593874999999976</v>
      </c>
      <c r="AB30" s="165">
        <v>0</v>
      </c>
      <c r="AC30" s="166">
        <f t="shared" si="14"/>
        <v>0</v>
      </c>
      <c r="AD30" s="33">
        <f>Z30-AB30+'Catch up Fee'!E30+AA30</f>
        <v>1656.5118875000001</v>
      </c>
      <c r="AE30" s="167">
        <f t="shared" si="15"/>
        <v>91.108153812500007</v>
      </c>
      <c r="AF30" s="165">
        <v>0</v>
      </c>
      <c r="AG30" s="166">
        <f t="shared" si="16"/>
        <v>0</v>
      </c>
      <c r="AH30" s="33">
        <f>AD30-AF30+'Catch up Fee'!E30+AE30</f>
        <v>1947.6200413125</v>
      </c>
      <c r="AI30" s="167">
        <f t="shared" si="17"/>
        <v>107.1191022721875</v>
      </c>
      <c r="AJ30" s="165">
        <v>0</v>
      </c>
      <c r="AK30" s="166">
        <f t="shared" si="18"/>
        <v>0</v>
      </c>
      <c r="AL30" s="33">
        <f>AH30-AJ30+'Catch up Fee'!E30+AI30</f>
        <v>2254.7391435846871</v>
      </c>
      <c r="AM30" s="167">
        <f t="shared" si="19"/>
        <v>124.0106528971578</v>
      </c>
      <c r="AN30" s="165">
        <v>0</v>
      </c>
      <c r="AO30" s="166">
        <f t="shared" si="20"/>
        <v>0</v>
      </c>
      <c r="AP30" s="33">
        <f>AL30-AN30+'Catch up Fee'!E30+AM30</f>
        <v>2578.7497964818449</v>
      </c>
      <c r="AQ30" s="167">
        <f t="shared" si="21"/>
        <v>141.83123880650146</v>
      </c>
      <c r="AR30" s="165">
        <v>0</v>
      </c>
      <c r="AS30" s="166">
        <f t="shared" si="22"/>
        <v>0</v>
      </c>
      <c r="AT30" s="33">
        <f>AP30-AR30+'Catch up Fee'!E30+AQ30</f>
        <v>2920.5810352883464</v>
      </c>
      <c r="AU30" s="167">
        <f t="shared" si="23"/>
        <v>160.63195694085906</v>
      </c>
      <c r="AV30" s="165">
        <v>0</v>
      </c>
      <c r="AW30" s="166">
        <f t="shared" si="24"/>
        <v>0</v>
      </c>
      <c r="AX30" s="33">
        <f>AT30-AV30+'Catch up Fee'!E30+AU30</f>
        <v>3281.2129922292056</v>
      </c>
      <c r="AY30" s="167">
        <f t="shared" si="25"/>
        <v>180.46671457260632</v>
      </c>
      <c r="AZ30" s="165">
        <v>0</v>
      </c>
      <c r="BA30" s="166">
        <f t="shared" si="26"/>
        <v>0</v>
      </c>
      <c r="BB30" s="33">
        <f>AX30-AZ30+'Catch up Fee'!E30+AY30</f>
        <v>3661.6797068018118</v>
      </c>
      <c r="BC30" s="167">
        <f t="shared" si="27"/>
        <v>201.39238387409964</v>
      </c>
      <c r="BD30" s="165">
        <v>0</v>
      </c>
      <c r="BE30" s="166">
        <f t="shared" si="28"/>
        <v>0</v>
      </c>
      <c r="BF30" s="33">
        <f>BB30-BD30+'Catch up Fee'!E30+BC30</f>
        <v>4063.0720906759116</v>
      </c>
      <c r="BG30" s="167">
        <f t="shared" si="29"/>
        <v>223.46896498717513</v>
      </c>
      <c r="BH30" s="165">
        <v>0</v>
      </c>
      <c r="BI30" s="166">
        <f t="shared" si="30"/>
        <v>0</v>
      </c>
      <c r="BJ30" s="33">
        <f>BF30-BH30+'Catch up Fee'!E30+BG30</f>
        <v>4486.5410556630868</v>
      </c>
      <c r="BK30" s="167">
        <f t="shared" si="31"/>
        <v>246.75975806146977</v>
      </c>
      <c r="BL30" s="185">
        <f t="shared" si="32"/>
        <v>1300</v>
      </c>
    </row>
    <row r="31" spans="1:64">
      <c r="A31" s="10" t="s">
        <v>602</v>
      </c>
      <c r="B31" s="10" t="s">
        <v>116</v>
      </c>
      <c r="C31" s="80">
        <v>0</v>
      </c>
      <c r="D31" s="79">
        <f t="shared" si="0"/>
        <v>2400</v>
      </c>
      <c r="E31" s="79">
        <f>' 2018-2019'!J30</f>
        <v>400</v>
      </c>
      <c r="F31" s="139">
        <f>' 2018-2019'!F31</f>
        <v>0</v>
      </c>
      <c r="G31" s="78">
        <f t="shared" si="1"/>
        <v>2400</v>
      </c>
      <c r="H31" s="159">
        <f t="shared" si="2"/>
        <v>1800</v>
      </c>
      <c r="I31" s="78">
        <f t="shared" si="3"/>
        <v>600</v>
      </c>
      <c r="J31" s="78">
        <f t="shared" si="33"/>
        <v>1550.3139986384458</v>
      </c>
      <c r="K31" s="157">
        <f t="shared" si="4"/>
        <v>17.82</v>
      </c>
      <c r="L31" s="157">
        <f t="shared" si="35"/>
        <v>98.019900000000007</v>
      </c>
      <c r="M31" s="78">
        <f t="shared" si="5"/>
        <v>550.3139986384457</v>
      </c>
      <c r="N31" s="194">
        <f t="shared" si="6"/>
        <v>550.3139986384457</v>
      </c>
      <c r="O31" s="78">
        <f t="shared" si="7"/>
        <v>1329.8859013615545</v>
      </c>
      <c r="P31" s="165">
        <f>'2018-2019 B STATEMENT '!B332</f>
        <v>600</v>
      </c>
      <c r="Q31" s="166">
        <f t="shared" si="8"/>
        <v>5.9399999999999995</v>
      </c>
      <c r="R31" s="119">
        <f>E31+'Catch up Fee'!E31</f>
        <v>600</v>
      </c>
      <c r="S31" s="167">
        <f t="shared" si="9"/>
        <v>0</v>
      </c>
      <c r="T31" s="165">
        <f>'2018-2019 B STATEMENT '!B349</f>
        <v>600</v>
      </c>
      <c r="U31" s="166">
        <f t="shared" si="10"/>
        <v>5.9399999999999995</v>
      </c>
      <c r="V31" s="33">
        <f>R31-T31+'Catch up Fee'!E31+S31</f>
        <v>200</v>
      </c>
      <c r="W31" s="167">
        <f t="shared" si="11"/>
        <v>-22</v>
      </c>
      <c r="X31" s="165">
        <v>0</v>
      </c>
      <c r="Y31" s="166">
        <f t="shared" si="12"/>
        <v>0</v>
      </c>
      <c r="Z31" s="33">
        <f>V31-X31+'Catch up Fee'!E31+W31</f>
        <v>378</v>
      </c>
      <c r="AA31" s="167">
        <f t="shared" si="13"/>
        <v>20.79</v>
      </c>
      <c r="AB31" s="165">
        <v>0</v>
      </c>
      <c r="AC31" s="166">
        <f t="shared" si="14"/>
        <v>0</v>
      </c>
      <c r="AD31" s="33">
        <f>Z31-AB31+'Catch up Fee'!E31+AA31</f>
        <v>598.79</v>
      </c>
      <c r="AE31" s="167">
        <f t="shared" si="15"/>
        <v>32.933450000000001</v>
      </c>
      <c r="AF31" s="165">
        <v>0</v>
      </c>
      <c r="AG31" s="166">
        <f t="shared" si="16"/>
        <v>0</v>
      </c>
      <c r="AH31" s="33">
        <f>AD31-AF31+'Catch up Fee'!E31+AE31</f>
        <v>831.72344999999996</v>
      </c>
      <c r="AI31" s="167">
        <f t="shared" si="17"/>
        <v>45.744789749999995</v>
      </c>
      <c r="AJ31" s="165">
        <v>0</v>
      </c>
      <c r="AK31" s="166">
        <f t="shared" si="18"/>
        <v>0</v>
      </c>
      <c r="AL31" s="33">
        <f>AH31-AJ31+'Catch up Fee'!E31+AI31</f>
        <v>1077.4682397500001</v>
      </c>
      <c r="AM31" s="167">
        <f t="shared" si="19"/>
        <v>59.260753186250007</v>
      </c>
      <c r="AN31" s="165">
        <f>'2018-2019 B STATEMENT '!B489</f>
        <v>600</v>
      </c>
      <c r="AO31" s="166">
        <f t="shared" si="20"/>
        <v>5.9399999999999995</v>
      </c>
      <c r="AP31" s="33">
        <f>AL31-AN31+'Catch up Fee'!E31+AM31</f>
        <v>736.72899293625005</v>
      </c>
      <c r="AQ31" s="167">
        <f t="shared" si="21"/>
        <v>7.5200946114937528</v>
      </c>
      <c r="AR31" s="165">
        <v>0</v>
      </c>
      <c r="AS31" s="166">
        <f t="shared" si="22"/>
        <v>0</v>
      </c>
      <c r="AT31" s="33">
        <f>AP31-AR31+'Catch up Fee'!E31+AQ31</f>
        <v>944.24908754774378</v>
      </c>
      <c r="AU31" s="167">
        <f t="shared" si="23"/>
        <v>51.933699815125905</v>
      </c>
      <c r="AV31" s="165">
        <v>0</v>
      </c>
      <c r="AW31" s="166">
        <f t="shared" si="24"/>
        <v>0</v>
      </c>
      <c r="AX31" s="33">
        <f>AT31-AV31+'Catch up Fee'!E31+AU31</f>
        <v>1196.1827873628697</v>
      </c>
      <c r="AY31" s="167">
        <f t="shared" si="25"/>
        <v>65.790053304957837</v>
      </c>
      <c r="AZ31" s="165">
        <v>0</v>
      </c>
      <c r="BA31" s="166">
        <f t="shared" si="26"/>
        <v>0</v>
      </c>
      <c r="BB31" s="33">
        <f>AX31-AZ31+'Catch up Fee'!E31+AY31</f>
        <v>1461.9728406678275</v>
      </c>
      <c r="BC31" s="167">
        <f t="shared" si="27"/>
        <v>80.408506236730517</v>
      </c>
      <c r="BD31" s="165">
        <v>0</v>
      </c>
      <c r="BE31" s="166">
        <f t="shared" si="28"/>
        <v>0</v>
      </c>
      <c r="BF31" s="33">
        <f>BB31-BD31+'Catch up Fee'!E31+BC31</f>
        <v>1742.3813469045581</v>
      </c>
      <c r="BG31" s="167">
        <f t="shared" si="29"/>
        <v>95.830974079750689</v>
      </c>
      <c r="BH31" s="165">
        <v>0</v>
      </c>
      <c r="BI31" s="166">
        <f t="shared" si="30"/>
        <v>0</v>
      </c>
      <c r="BJ31" s="33">
        <f>BF31-BH31+'Catch up Fee'!E31+BG31</f>
        <v>2038.2123209843087</v>
      </c>
      <c r="BK31" s="167">
        <f t="shared" si="31"/>
        <v>112.10167765413698</v>
      </c>
      <c r="BL31" s="185">
        <f t="shared" si="32"/>
        <v>1800</v>
      </c>
    </row>
    <row r="32" spans="1:64">
      <c r="A32" s="10" t="s">
        <v>603</v>
      </c>
      <c r="B32" s="10" t="s">
        <v>115</v>
      </c>
      <c r="C32" s="80">
        <v>0</v>
      </c>
      <c r="D32" s="79">
        <f t="shared" si="0"/>
        <v>2400</v>
      </c>
      <c r="E32" s="79">
        <f>' 2018-2019'!J31</f>
        <v>700</v>
      </c>
      <c r="F32" s="139">
        <f>' 2018-2019'!F32</f>
        <v>0</v>
      </c>
      <c r="G32" s="78">
        <f t="shared" si="1"/>
        <v>2400</v>
      </c>
      <c r="H32" s="159">
        <f t="shared" si="2"/>
        <v>0</v>
      </c>
      <c r="I32" s="78">
        <f t="shared" si="3"/>
        <v>2400</v>
      </c>
      <c r="J32" s="78">
        <f t="shared" si="33"/>
        <v>4788.2048672158653</v>
      </c>
      <c r="K32" s="157">
        <f>Q32+U32+Y32+AC32+AG32+AK32+AO32+AS32+AW32+BA32+BE32+BI32</f>
        <v>0</v>
      </c>
      <c r="L32" s="157">
        <f t="shared" si="35"/>
        <v>0</v>
      </c>
      <c r="M32" s="78">
        <f t="shared" si="5"/>
        <v>1688.2048672158658</v>
      </c>
      <c r="N32" s="194">
        <f t="shared" si="6"/>
        <v>1688.2048672158658</v>
      </c>
      <c r="O32" s="78">
        <f t="shared" si="7"/>
        <v>-1688.2048672158658</v>
      </c>
      <c r="P32" s="165">
        <v>0</v>
      </c>
      <c r="Q32" s="166">
        <f t="shared" si="8"/>
        <v>0</v>
      </c>
      <c r="R32" s="119">
        <f>E32+'Catch up Fee'!E32</f>
        <v>900</v>
      </c>
      <c r="S32" s="167">
        <f t="shared" si="9"/>
        <v>49.5</v>
      </c>
      <c r="T32" s="165">
        <v>0</v>
      </c>
      <c r="U32" s="166">
        <f t="shared" si="10"/>
        <v>0</v>
      </c>
      <c r="V32" s="33">
        <f>R32-T32+'Catch up Fee'!E32+S32</f>
        <v>1149.5</v>
      </c>
      <c r="W32" s="167">
        <f t="shared" si="11"/>
        <v>63.222500000000004</v>
      </c>
      <c r="X32" s="165">
        <v>0</v>
      </c>
      <c r="Y32" s="166">
        <f t="shared" si="12"/>
        <v>0</v>
      </c>
      <c r="Z32" s="33">
        <f>V32-X32+'Catch up Fee'!E32+W32</f>
        <v>1412.7225000000001</v>
      </c>
      <c r="AA32" s="167">
        <f t="shared" si="13"/>
        <v>77.699737500000012</v>
      </c>
      <c r="AB32" s="165">
        <v>0</v>
      </c>
      <c r="AC32" s="166">
        <f t="shared" si="14"/>
        <v>0</v>
      </c>
      <c r="AD32" s="33">
        <f>Z32-AB32+'Catch up Fee'!E32+AA32</f>
        <v>1690.4222375000002</v>
      </c>
      <c r="AE32" s="167">
        <f t="shared" si="15"/>
        <v>92.973223062500011</v>
      </c>
      <c r="AF32" s="165">
        <v>0</v>
      </c>
      <c r="AG32" s="166">
        <f t="shared" si="16"/>
        <v>0</v>
      </c>
      <c r="AH32" s="33">
        <f>AD32-AF32+'Catch up Fee'!E32+AE32</f>
        <v>1983.3954605625001</v>
      </c>
      <c r="AI32" s="167">
        <f t="shared" si="17"/>
        <v>109.08675033093751</v>
      </c>
      <c r="AJ32" s="165">
        <v>0</v>
      </c>
      <c r="AK32" s="166">
        <f t="shared" si="18"/>
        <v>0</v>
      </c>
      <c r="AL32" s="33">
        <f>AH32-AJ32+'Catch up Fee'!E32+AI32</f>
        <v>2292.4822108934377</v>
      </c>
      <c r="AM32" s="167">
        <f t="shared" si="19"/>
        <v>126.08652159913908</v>
      </c>
      <c r="AN32" s="165">
        <v>0</v>
      </c>
      <c r="AO32" s="166">
        <f t="shared" si="20"/>
        <v>0</v>
      </c>
      <c r="AP32" s="33">
        <f>AL32-AN32+'Catch up Fee'!E32+AM32</f>
        <v>2618.5687324925766</v>
      </c>
      <c r="AQ32" s="167">
        <f t="shared" si="21"/>
        <v>144.02128028709171</v>
      </c>
      <c r="AR32" s="165">
        <v>0</v>
      </c>
      <c r="AS32" s="166">
        <f t="shared" si="22"/>
        <v>0</v>
      </c>
      <c r="AT32" s="33">
        <f>AP32-AR32+'Catch up Fee'!E32+AQ32</f>
        <v>2962.5900127796685</v>
      </c>
      <c r="AU32" s="167">
        <f t="shared" si="23"/>
        <v>162.94245070288176</v>
      </c>
      <c r="AV32" s="165">
        <v>0</v>
      </c>
      <c r="AW32" s="166">
        <f t="shared" si="24"/>
        <v>0</v>
      </c>
      <c r="AX32" s="33">
        <f>AT32-AV32+'Catch up Fee'!E32+AU32</f>
        <v>3325.5324634825502</v>
      </c>
      <c r="AY32" s="167">
        <f t="shared" si="25"/>
        <v>182.90428549154026</v>
      </c>
      <c r="AZ32" s="165">
        <v>0</v>
      </c>
      <c r="BA32" s="166">
        <f t="shared" si="26"/>
        <v>0</v>
      </c>
      <c r="BB32" s="33">
        <f>AX32-AZ32+'Catch up Fee'!E32+AY32</f>
        <v>3708.4367489740903</v>
      </c>
      <c r="BC32" s="167">
        <f t="shared" si="27"/>
        <v>203.96402119357498</v>
      </c>
      <c r="BD32" s="165">
        <v>0</v>
      </c>
      <c r="BE32" s="166">
        <f t="shared" si="28"/>
        <v>0</v>
      </c>
      <c r="BF32" s="33">
        <f>BB32-BD32+'Catch up Fee'!E32+BC32</f>
        <v>4112.4007701676655</v>
      </c>
      <c r="BG32" s="167">
        <f t="shared" si="29"/>
        <v>226.18204235922161</v>
      </c>
      <c r="BH32" s="165">
        <v>0</v>
      </c>
      <c r="BI32" s="166">
        <f t="shared" si="30"/>
        <v>0</v>
      </c>
      <c r="BJ32" s="33">
        <f>BF32-BH32+'Catch up Fee'!E32+BG32</f>
        <v>4538.5828125268872</v>
      </c>
      <c r="BK32" s="167">
        <f t="shared" si="31"/>
        <v>249.62205468897881</v>
      </c>
      <c r="BL32" s="185">
        <f t="shared" si="32"/>
        <v>0</v>
      </c>
    </row>
    <row r="33" spans="1:64">
      <c r="A33" s="10" t="s">
        <v>604</v>
      </c>
      <c r="B33" s="10" t="s">
        <v>123</v>
      </c>
      <c r="C33" s="80">
        <v>0</v>
      </c>
      <c r="D33" s="79">
        <f t="shared" si="0"/>
        <v>2400</v>
      </c>
      <c r="E33" s="79">
        <f>' 2018-2019'!J32</f>
        <v>1900</v>
      </c>
      <c r="F33" s="139">
        <f>' 2018-2019'!F33</f>
        <v>200</v>
      </c>
      <c r="G33" s="78">
        <f t="shared" si="1"/>
        <v>2400</v>
      </c>
      <c r="H33" s="159">
        <f t="shared" si="2"/>
        <v>0</v>
      </c>
      <c r="I33" s="78">
        <f t="shared" si="3"/>
        <v>2400</v>
      </c>
      <c r="J33" s="78">
        <f>I33+M33+E33</f>
        <v>7069.653850126675</v>
      </c>
      <c r="K33" s="157">
        <f t="shared" si="4"/>
        <v>0</v>
      </c>
      <c r="L33" s="157">
        <f t="shared" si="35"/>
        <v>0</v>
      </c>
      <c r="M33" s="78">
        <f t="shared" si="5"/>
        <v>2769.6538501266755</v>
      </c>
      <c r="N33" s="194">
        <f t="shared" si="6"/>
        <v>2769.6538501266755</v>
      </c>
      <c r="O33" s="78">
        <f t="shared" si="7"/>
        <v>-2769.6538501266755</v>
      </c>
      <c r="P33" s="165">
        <v>0</v>
      </c>
      <c r="Q33" s="166">
        <f t="shared" si="8"/>
        <v>0</v>
      </c>
      <c r="R33" s="119">
        <f>E33+'Catch up Fee'!E33</f>
        <v>2100</v>
      </c>
      <c r="S33" s="167">
        <f t="shared" si="9"/>
        <v>115.5</v>
      </c>
      <c r="T33" s="165">
        <v>0</v>
      </c>
      <c r="U33" s="166">
        <f t="shared" si="10"/>
        <v>0</v>
      </c>
      <c r="V33" s="33">
        <f>R33-T33+'Catch up Fee'!E33+S33</f>
        <v>2415.5</v>
      </c>
      <c r="W33" s="167">
        <f t="shared" si="11"/>
        <v>132.85249999999999</v>
      </c>
      <c r="X33" s="165">
        <v>0</v>
      </c>
      <c r="Y33" s="166">
        <f t="shared" si="12"/>
        <v>0</v>
      </c>
      <c r="Z33" s="33">
        <f>V33-X33+'Catch up Fee'!E33+W33</f>
        <v>2748.3525</v>
      </c>
      <c r="AA33" s="167">
        <f t="shared" si="13"/>
        <v>151.15938750000001</v>
      </c>
      <c r="AB33" s="165">
        <v>0</v>
      </c>
      <c r="AC33" s="166">
        <f t="shared" si="14"/>
        <v>0</v>
      </c>
      <c r="AD33" s="33">
        <f>Z33-AB33+'Catch up Fee'!E33+AA33</f>
        <v>3099.5118874999998</v>
      </c>
      <c r="AE33" s="167">
        <f t="shared" si="15"/>
        <v>170.47315381249999</v>
      </c>
      <c r="AF33" s="165">
        <v>0</v>
      </c>
      <c r="AG33" s="166">
        <f t="shared" si="16"/>
        <v>0</v>
      </c>
      <c r="AH33" s="33">
        <f>AD33-AF33+'Catch up Fee'!E33+AE33</f>
        <v>3469.9850413125</v>
      </c>
      <c r="AI33" s="167">
        <f t="shared" si="17"/>
        <v>190.84917727218749</v>
      </c>
      <c r="AJ33" s="165">
        <v>0</v>
      </c>
      <c r="AK33" s="166">
        <f t="shared" si="18"/>
        <v>0</v>
      </c>
      <c r="AL33" s="33">
        <f>AH33-AJ33+'Catch up Fee'!E33+AI33</f>
        <v>3860.8342185846877</v>
      </c>
      <c r="AM33" s="167">
        <f t="shared" si="19"/>
        <v>212.34588202215784</v>
      </c>
      <c r="AN33" s="165">
        <v>0</v>
      </c>
      <c r="AO33" s="166">
        <f t="shared" si="20"/>
        <v>0</v>
      </c>
      <c r="AP33" s="33">
        <f>AL33-AN33+'Catch up Fee'!E33+AM33</f>
        <v>4273.1801006068454</v>
      </c>
      <c r="AQ33" s="167">
        <f t="shared" si="21"/>
        <v>235.02490553337648</v>
      </c>
      <c r="AR33" s="165">
        <v>0</v>
      </c>
      <c r="AS33" s="166">
        <f t="shared" si="22"/>
        <v>0</v>
      </c>
      <c r="AT33" s="33">
        <f>AP33-AR33+'Catch up Fee'!E33+AQ33</f>
        <v>4708.2050061402215</v>
      </c>
      <c r="AU33" s="167">
        <f t="shared" si="23"/>
        <v>258.95127533771216</v>
      </c>
      <c r="AV33" s="165">
        <v>0</v>
      </c>
      <c r="AW33" s="166">
        <f t="shared" si="24"/>
        <v>0</v>
      </c>
      <c r="AX33" s="33">
        <f>AT33-AV33+'Catch up Fee'!E33+AU33</f>
        <v>5167.1562814779336</v>
      </c>
      <c r="AY33" s="167">
        <f t="shared" si="25"/>
        <v>284.19359548128637</v>
      </c>
      <c r="AZ33" s="165">
        <v>0</v>
      </c>
      <c r="BA33" s="166">
        <f t="shared" si="26"/>
        <v>0</v>
      </c>
      <c r="BB33" s="33">
        <f>AX33-AZ33+'Catch up Fee'!E33+AY33</f>
        <v>5651.3498769592197</v>
      </c>
      <c r="BC33" s="167">
        <f t="shared" si="27"/>
        <v>310.82424323275711</v>
      </c>
      <c r="BD33" s="165">
        <v>0</v>
      </c>
      <c r="BE33" s="166">
        <f t="shared" si="28"/>
        <v>0</v>
      </c>
      <c r="BF33" s="33">
        <f>BB33-BD33+'Catch up Fee'!E33+BC33</f>
        <v>6162.1741201919767</v>
      </c>
      <c r="BG33" s="167">
        <f t="shared" si="29"/>
        <v>338.91957661055875</v>
      </c>
      <c r="BH33" s="165">
        <v>0</v>
      </c>
      <c r="BI33" s="166">
        <f t="shared" si="30"/>
        <v>0</v>
      </c>
      <c r="BJ33" s="33">
        <f>BF33-BH33+'Catch up Fee'!E33+BG33</f>
        <v>6701.0936968025353</v>
      </c>
      <c r="BK33" s="167">
        <f t="shared" si="31"/>
        <v>368.56015332413943</v>
      </c>
      <c r="BL33" s="185">
        <f t="shared" si="32"/>
        <v>0</v>
      </c>
    </row>
    <row r="34" spans="1:64">
      <c r="A34" s="10" t="s">
        <v>605</v>
      </c>
      <c r="B34" s="10"/>
      <c r="C34" s="80">
        <v>0</v>
      </c>
      <c r="D34" s="79">
        <f t="shared" si="0"/>
        <v>2400</v>
      </c>
      <c r="E34" s="79">
        <f>' 2018-2019'!J33</f>
        <v>1200</v>
      </c>
      <c r="F34" s="139">
        <f>' 2018-2019'!F34</f>
        <v>0</v>
      </c>
      <c r="G34" s="78">
        <f t="shared" si="1"/>
        <v>2400</v>
      </c>
      <c r="H34" s="159">
        <f t="shared" si="2"/>
        <v>0</v>
      </c>
      <c r="I34" s="78">
        <f t="shared" si="3"/>
        <v>2400</v>
      </c>
      <c r="J34" s="78">
        <f t="shared" si="33"/>
        <v>5738.8086100953697</v>
      </c>
      <c r="K34" s="157">
        <f t="shared" si="4"/>
        <v>0</v>
      </c>
      <c r="L34" s="157">
        <f t="shared" si="35"/>
        <v>0</v>
      </c>
      <c r="M34" s="78">
        <f t="shared" si="5"/>
        <v>2138.8086100953697</v>
      </c>
      <c r="N34" s="194">
        <f t="shared" si="6"/>
        <v>2138.8086100953697</v>
      </c>
      <c r="O34" s="78">
        <f t="shared" si="7"/>
        <v>-2138.8086100953697</v>
      </c>
      <c r="P34" s="165">
        <v>0</v>
      </c>
      <c r="Q34" s="166">
        <f t="shared" si="8"/>
        <v>0</v>
      </c>
      <c r="R34" s="119">
        <f>E34+'Catch up Fee'!E34</f>
        <v>1400</v>
      </c>
      <c r="S34" s="167">
        <f t="shared" si="9"/>
        <v>77</v>
      </c>
      <c r="T34" s="165">
        <v>0</v>
      </c>
      <c r="U34" s="166">
        <f t="shared" si="10"/>
        <v>0</v>
      </c>
      <c r="V34" s="33">
        <f>R34-T34+'Catch up Fee'!E34+S34</f>
        <v>1677</v>
      </c>
      <c r="W34" s="167">
        <f t="shared" si="11"/>
        <v>92.234999999999999</v>
      </c>
      <c r="X34" s="165">
        <v>0</v>
      </c>
      <c r="Y34" s="166">
        <f t="shared" si="12"/>
        <v>0</v>
      </c>
      <c r="Z34" s="33">
        <f>V34-X34+'Catch up Fee'!E34+W34</f>
        <v>1969.2349999999999</v>
      </c>
      <c r="AA34" s="167">
        <f t="shared" si="13"/>
        <v>108.307925</v>
      </c>
      <c r="AB34" s="165">
        <v>0</v>
      </c>
      <c r="AC34" s="166">
        <f t="shared" si="14"/>
        <v>0</v>
      </c>
      <c r="AD34" s="33">
        <f>Z34-AB34+'Catch up Fee'!E34+AA34</f>
        <v>2277.5429249999997</v>
      </c>
      <c r="AE34" s="167">
        <f t="shared" si="15"/>
        <v>125.26486087499998</v>
      </c>
      <c r="AF34" s="165">
        <v>0</v>
      </c>
      <c r="AG34" s="166">
        <f t="shared" si="16"/>
        <v>0</v>
      </c>
      <c r="AH34" s="33">
        <f>AD34-AF34+'Catch up Fee'!E34+AE34</f>
        <v>2602.8077858749998</v>
      </c>
      <c r="AI34" s="167">
        <f t="shared" si="17"/>
        <v>143.154428223125</v>
      </c>
      <c r="AJ34" s="165">
        <v>0</v>
      </c>
      <c r="AK34" s="166">
        <f t="shared" si="18"/>
        <v>0</v>
      </c>
      <c r="AL34" s="33">
        <f>AH34-AJ34+'Catch up Fee'!E34+AI34</f>
        <v>2945.9622140981246</v>
      </c>
      <c r="AM34" s="167">
        <f t="shared" si="19"/>
        <v>162.02792177539686</v>
      </c>
      <c r="AN34" s="165">
        <v>0</v>
      </c>
      <c r="AO34" s="166">
        <f t="shared" si="20"/>
        <v>0</v>
      </c>
      <c r="AP34" s="33">
        <f>AL34-AN34+'Catch up Fee'!E34+AM34</f>
        <v>3307.9901358735215</v>
      </c>
      <c r="AQ34" s="167">
        <f t="shared" si="21"/>
        <v>181.93945747304369</v>
      </c>
      <c r="AR34" s="165">
        <v>0</v>
      </c>
      <c r="AS34" s="166">
        <f t="shared" si="22"/>
        <v>0</v>
      </c>
      <c r="AT34" s="33">
        <f>AP34-AR34+'Catch up Fee'!E34+AQ34</f>
        <v>3689.9295933465651</v>
      </c>
      <c r="AU34" s="167">
        <f t="shared" si="23"/>
        <v>202.94612763406107</v>
      </c>
      <c r="AV34" s="165">
        <v>0</v>
      </c>
      <c r="AW34" s="166">
        <f t="shared" si="24"/>
        <v>0</v>
      </c>
      <c r="AX34" s="33">
        <f>AT34-AV34+'Catch up Fee'!E34+AU34</f>
        <v>4092.8757209806263</v>
      </c>
      <c r="AY34" s="167">
        <f t="shared" si="25"/>
        <v>225.10816465393444</v>
      </c>
      <c r="AZ34" s="165">
        <v>0</v>
      </c>
      <c r="BA34" s="166">
        <f t="shared" si="26"/>
        <v>0</v>
      </c>
      <c r="BB34" s="33">
        <f>AX34-AZ34+'Catch up Fee'!E34+AY34</f>
        <v>4517.9838856345605</v>
      </c>
      <c r="BC34" s="167">
        <f t="shared" si="27"/>
        <v>248.48911370990083</v>
      </c>
      <c r="BD34" s="165">
        <v>0</v>
      </c>
      <c r="BE34" s="166">
        <f t="shared" si="28"/>
        <v>0</v>
      </c>
      <c r="BF34" s="33">
        <f>BB34-BD34+'Catch up Fee'!E34+BC34</f>
        <v>4966.4729993444616</v>
      </c>
      <c r="BG34" s="167">
        <f t="shared" si="29"/>
        <v>273.15601496394538</v>
      </c>
      <c r="BH34" s="165">
        <v>0</v>
      </c>
      <c r="BI34" s="166">
        <f t="shared" si="30"/>
        <v>0</v>
      </c>
      <c r="BJ34" s="33">
        <f>BF34-BH34+'Catch up Fee'!E34+BG34</f>
        <v>5439.629014308407</v>
      </c>
      <c r="BK34" s="167">
        <f t="shared" si="31"/>
        <v>299.17959578696241</v>
      </c>
      <c r="BL34" s="185">
        <f t="shared" si="32"/>
        <v>0</v>
      </c>
    </row>
    <row r="35" spans="1:64">
      <c r="A35" s="10" t="s">
        <v>606</v>
      </c>
      <c r="B35" s="10" t="s">
        <v>113</v>
      </c>
      <c r="C35" s="80">
        <v>0</v>
      </c>
      <c r="D35" s="79">
        <f t="shared" si="0"/>
        <v>2400</v>
      </c>
      <c r="E35" s="79">
        <f>' 2018-2019'!J34</f>
        <v>2400</v>
      </c>
      <c r="F35" s="139">
        <f>' 2018-2019'!F35</f>
        <v>200</v>
      </c>
      <c r="G35" s="78">
        <f t="shared" si="1"/>
        <v>2400</v>
      </c>
      <c r="H35" s="159">
        <f t="shared" si="2"/>
        <v>0</v>
      </c>
      <c r="I35" s="78">
        <f t="shared" si="3"/>
        <v>2400</v>
      </c>
      <c r="J35" s="78">
        <f>I35+M35+E35</f>
        <v>8020.2575930061794</v>
      </c>
      <c r="K35" s="157">
        <f t="shared" si="4"/>
        <v>0</v>
      </c>
      <c r="L35" s="157">
        <f t="shared" si="35"/>
        <v>0</v>
      </c>
      <c r="M35" s="78">
        <f t="shared" si="5"/>
        <v>3220.2575930061794</v>
      </c>
      <c r="N35" s="194">
        <f t="shared" si="6"/>
        <v>3220.2575930061794</v>
      </c>
      <c r="O35" s="78">
        <f t="shared" si="7"/>
        <v>-3220.2575930061794</v>
      </c>
      <c r="P35" s="165">
        <v>0</v>
      </c>
      <c r="Q35" s="166">
        <f t="shared" si="8"/>
        <v>0</v>
      </c>
      <c r="R35" s="119">
        <f>E35+'Catch up Fee'!E35</f>
        <v>2600</v>
      </c>
      <c r="S35" s="167">
        <f t="shared" si="9"/>
        <v>143</v>
      </c>
      <c r="T35" s="165">
        <v>0</v>
      </c>
      <c r="U35" s="166">
        <f t="shared" si="10"/>
        <v>0</v>
      </c>
      <c r="V35" s="33">
        <f>R35-T35+'Catch up Fee'!E35+S35</f>
        <v>2943</v>
      </c>
      <c r="W35" s="167">
        <f t="shared" si="11"/>
        <v>161.86500000000001</v>
      </c>
      <c r="X35" s="165"/>
      <c r="Y35" s="166">
        <f t="shared" si="12"/>
        <v>0</v>
      </c>
      <c r="Z35" s="33">
        <f>V35-X35+'Catch up Fee'!E35+W35</f>
        <v>3304.8649999999998</v>
      </c>
      <c r="AA35" s="167">
        <f t="shared" si="13"/>
        <v>181.76757499999999</v>
      </c>
      <c r="AB35" s="165"/>
      <c r="AC35" s="166">
        <f t="shared" si="14"/>
        <v>0</v>
      </c>
      <c r="AD35" s="33">
        <f>Z35-AB35+'Catch up Fee'!E35+AA35</f>
        <v>3686.6325749999996</v>
      </c>
      <c r="AE35" s="167">
        <f t="shared" si="15"/>
        <v>202.76479162499999</v>
      </c>
      <c r="AF35" s="165"/>
      <c r="AG35" s="166">
        <f t="shared" si="16"/>
        <v>0</v>
      </c>
      <c r="AH35" s="33">
        <f>AD35-AF35+'Catch up Fee'!E35+AE35</f>
        <v>4089.3973666249994</v>
      </c>
      <c r="AI35" s="167">
        <f t="shared" si="17"/>
        <v>224.91685516437497</v>
      </c>
      <c r="AJ35" s="165"/>
      <c r="AK35" s="166">
        <f t="shared" si="18"/>
        <v>0</v>
      </c>
      <c r="AL35" s="33">
        <f>AH35-AJ35+'Catch up Fee'!E35+AI35</f>
        <v>4514.3142217893746</v>
      </c>
      <c r="AM35" s="167">
        <f t="shared" si="19"/>
        <v>248.2872821984156</v>
      </c>
      <c r="AN35" s="165"/>
      <c r="AO35" s="166">
        <f t="shared" si="20"/>
        <v>0</v>
      </c>
      <c r="AP35" s="33">
        <f>AL35-AN35+'Catch up Fee'!E35+AM35</f>
        <v>4962.6015039877902</v>
      </c>
      <c r="AQ35" s="167">
        <f t="shared" si="21"/>
        <v>272.94308271932846</v>
      </c>
      <c r="AR35" s="165"/>
      <c r="AS35" s="166">
        <f t="shared" si="22"/>
        <v>0</v>
      </c>
      <c r="AT35" s="33">
        <f>AP35-AR35+'Catch up Fee'!E35+AQ35</f>
        <v>5435.5445867071185</v>
      </c>
      <c r="AU35" s="167">
        <f t="shared" si="23"/>
        <v>298.95495226889153</v>
      </c>
      <c r="AV35" s="165"/>
      <c r="AW35" s="166">
        <f t="shared" si="24"/>
        <v>0</v>
      </c>
      <c r="AX35" s="33">
        <f>AT35-AV35+'Catch up Fee'!E35+AU35</f>
        <v>5934.4995389760097</v>
      </c>
      <c r="AY35" s="167">
        <f t="shared" si="25"/>
        <v>326.39747464368054</v>
      </c>
      <c r="AZ35" s="165"/>
      <c r="BA35" s="166">
        <f t="shared" si="26"/>
        <v>0</v>
      </c>
      <c r="BB35" s="33">
        <f>AX35-AZ35+'Catch up Fee'!E35+AY35</f>
        <v>6460.8970136196904</v>
      </c>
      <c r="BC35" s="167">
        <f t="shared" si="27"/>
        <v>355.34933574908297</v>
      </c>
      <c r="BD35" s="165"/>
      <c r="BE35" s="166">
        <f t="shared" si="28"/>
        <v>0</v>
      </c>
      <c r="BF35" s="33">
        <f>BB35-BD35+'Catch up Fee'!E35+BC35</f>
        <v>7016.2463493687737</v>
      </c>
      <c r="BG35" s="167">
        <f t="shared" si="29"/>
        <v>385.89354921528258</v>
      </c>
      <c r="BH35" s="165"/>
      <c r="BI35" s="166">
        <f t="shared" si="30"/>
        <v>0</v>
      </c>
      <c r="BJ35" s="33">
        <f>BF35-BH35+'Catch up Fee'!E35+BG35</f>
        <v>7602.139898584056</v>
      </c>
      <c r="BK35" s="167">
        <f t="shared" si="31"/>
        <v>418.11769442212307</v>
      </c>
      <c r="BL35" s="185">
        <f t="shared" si="32"/>
        <v>0</v>
      </c>
    </row>
    <row r="36" spans="1:64">
      <c r="A36" s="10" t="s">
        <v>607</v>
      </c>
      <c r="B36" s="10"/>
      <c r="C36" s="80">
        <v>0</v>
      </c>
      <c r="D36" s="79">
        <f t="shared" si="0"/>
        <v>2400</v>
      </c>
      <c r="E36" s="79">
        <f>' 2018-2019'!J35</f>
        <v>2000</v>
      </c>
      <c r="F36" s="139">
        <f>' 2018-2019'!F36</f>
        <v>0</v>
      </c>
      <c r="G36" s="78">
        <f t="shared" si="1"/>
        <v>2400</v>
      </c>
      <c r="H36" s="159">
        <f t="shared" si="2"/>
        <v>0</v>
      </c>
      <c r="I36" s="78">
        <f t="shared" si="3"/>
        <v>2400</v>
      </c>
      <c r="J36" s="78">
        <f t="shared" si="33"/>
        <v>7259.7745987025764</v>
      </c>
      <c r="K36" s="157">
        <f t="shared" si="4"/>
        <v>0</v>
      </c>
      <c r="L36" s="157">
        <f t="shared" si="35"/>
        <v>0</v>
      </c>
      <c r="M36" s="78">
        <f t="shared" si="5"/>
        <v>2859.7745987025764</v>
      </c>
      <c r="N36" s="194">
        <f t="shared" si="6"/>
        <v>2859.7745987025764</v>
      </c>
      <c r="O36" s="78">
        <f t="shared" si="7"/>
        <v>-2859.7745987025764</v>
      </c>
      <c r="P36" s="165">
        <v>0</v>
      </c>
      <c r="Q36" s="166">
        <f t="shared" si="8"/>
        <v>0</v>
      </c>
      <c r="R36" s="119">
        <f>E36+'Catch up Fee'!E36</f>
        <v>2200</v>
      </c>
      <c r="S36" s="167">
        <f t="shared" si="9"/>
        <v>121</v>
      </c>
      <c r="T36" s="165">
        <v>0</v>
      </c>
      <c r="U36" s="166">
        <f t="shared" si="10"/>
        <v>0</v>
      </c>
      <c r="V36" s="33">
        <f>R36-T36+'Catch up Fee'!E36+S36</f>
        <v>2521</v>
      </c>
      <c r="W36" s="167">
        <f t="shared" si="11"/>
        <v>138.655</v>
      </c>
      <c r="X36" s="165">
        <v>0</v>
      </c>
      <c r="Y36" s="166">
        <f t="shared" si="12"/>
        <v>0</v>
      </c>
      <c r="Z36" s="33">
        <f>V36-X36+'Catch up Fee'!E36+W36</f>
        <v>2859.6550000000002</v>
      </c>
      <c r="AA36" s="167">
        <f t="shared" si="13"/>
        <v>157.281025</v>
      </c>
      <c r="AB36" s="165">
        <v>0</v>
      </c>
      <c r="AC36" s="166">
        <f t="shared" si="14"/>
        <v>0</v>
      </c>
      <c r="AD36" s="33">
        <f>Z36-AB36+'Catch up Fee'!E36+AA36</f>
        <v>3216.936025</v>
      </c>
      <c r="AE36" s="167">
        <f t="shared" si="15"/>
        <v>176.931481375</v>
      </c>
      <c r="AF36" s="165">
        <v>0</v>
      </c>
      <c r="AG36" s="166">
        <f t="shared" si="16"/>
        <v>0</v>
      </c>
      <c r="AH36" s="33">
        <f>AD36-AF36+'Catch up Fee'!E36+AE36</f>
        <v>3593.8675063750002</v>
      </c>
      <c r="AI36" s="167">
        <f t="shared" si="17"/>
        <v>197.66271285062501</v>
      </c>
      <c r="AJ36" s="165">
        <v>0</v>
      </c>
      <c r="AK36" s="166">
        <f t="shared" si="18"/>
        <v>0</v>
      </c>
      <c r="AL36" s="33">
        <f>AH36-AJ36+'Catch up Fee'!E36+AI36</f>
        <v>3991.5302192256254</v>
      </c>
      <c r="AM36" s="167">
        <f t="shared" si="19"/>
        <v>219.53416205740939</v>
      </c>
      <c r="AN36" s="165">
        <v>0</v>
      </c>
      <c r="AO36" s="166">
        <f t="shared" si="20"/>
        <v>0</v>
      </c>
      <c r="AP36" s="33">
        <f>AL36-AN36+'Catch up Fee'!E36+AM36</f>
        <v>4411.0643812830349</v>
      </c>
      <c r="AQ36" s="167">
        <f t="shared" si="21"/>
        <v>242.60854097056691</v>
      </c>
      <c r="AR36" s="165">
        <v>0</v>
      </c>
      <c r="AS36" s="166">
        <f t="shared" si="22"/>
        <v>0</v>
      </c>
      <c r="AT36" s="33">
        <f>AP36-AR36+'Catch up Fee'!E36+AQ36</f>
        <v>4853.6729222536014</v>
      </c>
      <c r="AU36" s="167">
        <f t="shared" si="23"/>
        <v>266.95201072394809</v>
      </c>
      <c r="AV36" s="165">
        <v>0</v>
      </c>
      <c r="AW36" s="166">
        <f t="shared" si="24"/>
        <v>0</v>
      </c>
      <c r="AX36" s="33">
        <f>AT36-AV36+'Catch up Fee'!E36+AU36</f>
        <v>5320.6249329775492</v>
      </c>
      <c r="AY36" s="167">
        <f t="shared" si="25"/>
        <v>292.6343713137652</v>
      </c>
      <c r="AZ36" s="165">
        <v>0</v>
      </c>
      <c r="BA36" s="166">
        <f t="shared" si="26"/>
        <v>0</v>
      </c>
      <c r="BB36" s="33">
        <f>AX36-AZ36+'Catch up Fee'!E36+AY36</f>
        <v>5813.259304291314</v>
      </c>
      <c r="BC36" s="167">
        <f t="shared" si="27"/>
        <v>319.72926173602229</v>
      </c>
      <c r="BD36" s="165">
        <v>0</v>
      </c>
      <c r="BE36" s="166">
        <f t="shared" si="28"/>
        <v>0</v>
      </c>
      <c r="BF36" s="33">
        <f>BB36-BD36+'Catch up Fee'!E36+BC36</f>
        <v>6332.9885660273367</v>
      </c>
      <c r="BG36" s="167">
        <f t="shared" si="29"/>
        <v>348.31437113150349</v>
      </c>
      <c r="BH36" s="165">
        <v>0</v>
      </c>
      <c r="BI36" s="166">
        <f t="shared" si="30"/>
        <v>0</v>
      </c>
      <c r="BJ36" s="33">
        <f>BF36-BH36+'Catch up Fee'!E36+BG36</f>
        <v>6881.30293715884</v>
      </c>
      <c r="BK36" s="167">
        <f t="shared" si="31"/>
        <v>378.47166154373622</v>
      </c>
      <c r="BL36" s="185">
        <f t="shared" si="32"/>
        <v>0</v>
      </c>
    </row>
    <row r="37" spans="1:64">
      <c r="A37" s="10" t="s">
        <v>608</v>
      </c>
      <c r="B37" s="10" t="s">
        <v>142</v>
      </c>
      <c r="C37" s="79">
        <v>100</v>
      </c>
      <c r="D37" s="79">
        <f t="shared" si="0"/>
        <v>2400</v>
      </c>
      <c r="E37" s="79">
        <f>' 2018-2019'!J36</f>
        <v>2400</v>
      </c>
      <c r="F37" s="139">
        <f>' 2018-2019'!F37</f>
        <v>2600</v>
      </c>
      <c r="G37" s="78">
        <f t="shared" si="1"/>
        <v>2500</v>
      </c>
      <c r="H37" s="159">
        <f t="shared" si="2"/>
        <v>1700</v>
      </c>
      <c r="I37" s="78">
        <f t="shared" si="3"/>
        <v>700</v>
      </c>
      <c r="J37" s="78">
        <f>I37+M37+E37</f>
        <v>5605.6768493894579</v>
      </c>
      <c r="K37" s="157">
        <f t="shared" si="4"/>
        <v>16.829999999999998</v>
      </c>
      <c r="L37" s="157">
        <f t="shared" si="35"/>
        <v>87.07435000000001</v>
      </c>
      <c r="M37" s="78">
        <f t="shared" si="5"/>
        <v>2505.6768493894579</v>
      </c>
      <c r="N37" s="194">
        <f t="shared" si="6"/>
        <v>2505.6768493894579</v>
      </c>
      <c r="O37" s="78">
        <f t="shared" si="7"/>
        <v>-735.4324993894578</v>
      </c>
      <c r="P37" s="165">
        <v>0</v>
      </c>
      <c r="Q37" s="166">
        <f t="shared" si="8"/>
        <v>0</v>
      </c>
      <c r="R37" s="119">
        <f>E37+'Catch up Fee'!E37</f>
        <v>2600</v>
      </c>
      <c r="S37" s="167">
        <f t="shared" si="9"/>
        <v>143</v>
      </c>
      <c r="T37" s="165">
        <v>0</v>
      </c>
      <c r="U37" s="166">
        <f t="shared" si="10"/>
        <v>0</v>
      </c>
      <c r="V37" s="33">
        <f>R37-T37+'Catch up Fee'!E37+S37</f>
        <v>2943</v>
      </c>
      <c r="W37" s="167">
        <f t="shared" si="11"/>
        <v>161.86500000000001</v>
      </c>
      <c r="X37" s="165">
        <f>'2018-2019 B STATEMENT '!B377+'2018-2019 B STATEMENT '!B400</f>
        <v>300</v>
      </c>
      <c r="Y37" s="166">
        <f t="shared" si="12"/>
        <v>2.9699999999999998</v>
      </c>
      <c r="Z37" s="33">
        <f>V37-X37+'Catch up Fee'!E37+W37</f>
        <v>3004.8649999999998</v>
      </c>
      <c r="AA37" s="167">
        <f t="shared" si="13"/>
        <v>148.76757499999999</v>
      </c>
      <c r="AB37" s="165">
        <f>'2018-2019 B STATEMENT '!B421</f>
        <v>200</v>
      </c>
      <c r="AC37" s="166">
        <f t="shared" si="14"/>
        <v>1.9799999999999998</v>
      </c>
      <c r="AD37" s="33">
        <f>Z37-AB37+'Catch up Fee'!E37+AA37</f>
        <v>3153.6325749999996</v>
      </c>
      <c r="AE37" s="167">
        <f t="shared" si="15"/>
        <v>162.44979162499999</v>
      </c>
      <c r="AF37" s="165">
        <f>'2018-2019 B STATEMENT '!B444</f>
        <v>200</v>
      </c>
      <c r="AG37" s="166">
        <f t="shared" si="16"/>
        <v>1.9799999999999998</v>
      </c>
      <c r="AH37" s="33">
        <f>AD37-AF37+'Catch up Fee'!E37+AE37</f>
        <v>3316.0823666249998</v>
      </c>
      <c r="AI37" s="167">
        <f t="shared" si="17"/>
        <v>171.38453016437498</v>
      </c>
      <c r="AJ37" s="165"/>
      <c r="AK37" s="166">
        <f t="shared" si="18"/>
        <v>0</v>
      </c>
      <c r="AL37" s="33">
        <f>AH37-AJ37+'Catch up Fee'!E37+AI37</f>
        <v>3687.4668967893749</v>
      </c>
      <c r="AM37" s="167">
        <f t="shared" si="19"/>
        <v>202.81067932341563</v>
      </c>
      <c r="AN37" s="165"/>
      <c r="AO37" s="166">
        <f t="shared" si="20"/>
        <v>0</v>
      </c>
      <c r="AP37" s="33">
        <f>AL37-AN37+'Catch up Fee'!E37+AM37</f>
        <v>4090.2775761127905</v>
      </c>
      <c r="AQ37" s="167">
        <f t="shared" si="21"/>
        <v>224.96526668620348</v>
      </c>
      <c r="AR37" s="165"/>
      <c r="AS37" s="166">
        <f t="shared" si="22"/>
        <v>0</v>
      </c>
      <c r="AT37" s="33">
        <f>AP37-AR37+'Catch up Fee'!E37+AQ37</f>
        <v>4515.2428427989944</v>
      </c>
      <c r="AU37" s="167">
        <f t="shared" si="23"/>
        <v>248.3383563539447</v>
      </c>
      <c r="AV37" s="165">
        <f>'2018-2019 B STATEMENT '!B512</f>
        <v>400</v>
      </c>
      <c r="AW37" s="166">
        <f t="shared" si="24"/>
        <v>3.9599999999999995</v>
      </c>
      <c r="AX37" s="33">
        <f>AT37-AV37+'Catch up Fee'!E37+AU37</f>
        <v>4563.581199152939</v>
      </c>
      <c r="AY37" s="167">
        <f t="shared" si="25"/>
        <v>228.99696595341166</v>
      </c>
      <c r="AZ37" s="165"/>
      <c r="BA37" s="166">
        <f t="shared" si="26"/>
        <v>0</v>
      </c>
      <c r="BB37" s="33">
        <f>AX37-AZ37+'Catch up Fee'!E37+AY37</f>
        <v>4992.5781651063508</v>
      </c>
      <c r="BC37" s="167">
        <f t="shared" si="27"/>
        <v>274.59179908084928</v>
      </c>
      <c r="BD37" s="165">
        <f>'2018-2019 B STATEMENT '!B569</f>
        <v>400</v>
      </c>
      <c r="BE37" s="166">
        <f t="shared" si="28"/>
        <v>3.9599999999999995</v>
      </c>
      <c r="BF37" s="33">
        <f>BB37-BD37+'Catch up Fee'!E37+BC37</f>
        <v>5067.1699641872001</v>
      </c>
      <c r="BG37" s="167">
        <f t="shared" si="29"/>
        <v>256.694348030296</v>
      </c>
      <c r="BH37" s="165">
        <f>'2018-2019 B STATEMENT '!B584</f>
        <v>200</v>
      </c>
      <c r="BI37" s="166">
        <f t="shared" si="30"/>
        <v>1.9799999999999998</v>
      </c>
      <c r="BJ37" s="33">
        <f>BF37-BH37+'Catch up Fee'!E37+BG37</f>
        <v>5323.8643122174963</v>
      </c>
      <c r="BK37" s="167">
        <f t="shared" si="31"/>
        <v>281.81253717196228</v>
      </c>
      <c r="BL37" s="185">
        <f t="shared" si="32"/>
        <v>1700</v>
      </c>
    </row>
    <row r="38" spans="1:64">
      <c r="A38" s="10" t="s">
        <v>609</v>
      </c>
      <c r="B38" s="10" t="s">
        <v>124</v>
      </c>
      <c r="C38" s="80">
        <v>0</v>
      </c>
      <c r="D38" s="79">
        <f t="shared" si="0"/>
        <v>2400</v>
      </c>
      <c r="E38" s="79">
        <f>' 2018-2019'!J37</f>
        <v>2400</v>
      </c>
      <c r="F38" s="139">
        <f>' 2018-2019'!F38</f>
        <v>0</v>
      </c>
      <c r="G38" s="78">
        <f t="shared" si="1"/>
        <v>2400</v>
      </c>
      <c r="H38" s="159">
        <f t="shared" si="2"/>
        <v>800</v>
      </c>
      <c r="I38" s="78">
        <f t="shared" si="3"/>
        <v>1600</v>
      </c>
      <c r="J38" s="78">
        <f t="shared" si="33"/>
        <v>6637.7405555508321</v>
      </c>
      <c r="K38" s="157">
        <f t="shared" si="4"/>
        <v>7.919999999999999</v>
      </c>
      <c r="L38" s="157">
        <f t="shared" si="35"/>
        <v>43.564399999999999</v>
      </c>
      <c r="M38" s="78">
        <f t="shared" si="5"/>
        <v>2637.7405555508326</v>
      </c>
      <c r="N38" s="194">
        <f t="shared" si="6"/>
        <v>2637.7405555508326</v>
      </c>
      <c r="O38" s="78">
        <f t="shared" si="7"/>
        <v>-1802.0961555508327</v>
      </c>
      <c r="P38" s="165">
        <v>0</v>
      </c>
      <c r="Q38" s="166">
        <f t="shared" si="8"/>
        <v>0</v>
      </c>
      <c r="R38" s="119">
        <f>E38+'Catch up Fee'!E38</f>
        <v>2600</v>
      </c>
      <c r="S38" s="167">
        <f t="shared" si="9"/>
        <v>143</v>
      </c>
      <c r="T38" s="165">
        <v>0</v>
      </c>
      <c r="U38" s="166">
        <f t="shared" si="10"/>
        <v>0</v>
      </c>
      <c r="V38" s="33">
        <f>R38-T38+'Catch up Fee'!E38+S38</f>
        <v>2943</v>
      </c>
      <c r="W38" s="167">
        <f t="shared" si="11"/>
        <v>161.86500000000001</v>
      </c>
      <c r="X38" s="165">
        <f>'2018-2019 B STATEMENT '!B385</f>
        <v>400</v>
      </c>
      <c r="Y38" s="166">
        <f t="shared" si="12"/>
        <v>3.9599999999999995</v>
      </c>
      <c r="Z38" s="33">
        <f>V38-X38+'Catch up Fee'!E38+W38</f>
        <v>2904.8649999999998</v>
      </c>
      <c r="AA38" s="167">
        <f t="shared" si="13"/>
        <v>137.76757499999999</v>
      </c>
      <c r="AB38" s="165">
        <f>'2018-2019 B STATEMENT '!B409</f>
        <v>200</v>
      </c>
      <c r="AC38" s="166">
        <f t="shared" si="14"/>
        <v>1.9799999999999998</v>
      </c>
      <c r="AD38" s="33">
        <f>Z38-AB38+'Catch up Fee'!E38+AA38</f>
        <v>3042.6325749999996</v>
      </c>
      <c r="AE38" s="167">
        <f t="shared" si="15"/>
        <v>156.34479162499997</v>
      </c>
      <c r="AF38" s="165">
        <f>'2018-2019 B STATEMENT '!B436</f>
        <v>200</v>
      </c>
      <c r="AG38" s="166">
        <f t="shared" si="16"/>
        <v>1.9799999999999998</v>
      </c>
      <c r="AH38" s="33">
        <f>AD38-AF38+'Catch up Fee'!E38+AE38</f>
        <v>3198.9773666249994</v>
      </c>
      <c r="AI38" s="167">
        <f t="shared" si="17"/>
        <v>164.94375516437498</v>
      </c>
      <c r="AJ38" s="165">
        <v>0</v>
      </c>
      <c r="AK38" s="166">
        <f t="shared" si="18"/>
        <v>0</v>
      </c>
      <c r="AL38" s="33">
        <f>AH38-AJ38+'Catch up Fee'!E38+AI38</f>
        <v>3563.9211217893744</v>
      </c>
      <c r="AM38" s="167">
        <f t="shared" si="19"/>
        <v>196.01566169841558</v>
      </c>
      <c r="AN38" s="165">
        <v>0</v>
      </c>
      <c r="AO38" s="166">
        <f t="shared" si="20"/>
        <v>0</v>
      </c>
      <c r="AP38" s="33">
        <f>AL38-AN38+'Catch up Fee'!E38+AM38</f>
        <v>3959.9367834877899</v>
      </c>
      <c r="AQ38" s="167">
        <f t="shared" si="21"/>
        <v>217.79652309182845</v>
      </c>
      <c r="AR38" s="165">
        <v>0</v>
      </c>
      <c r="AS38" s="166">
        <f t="shared" si="22"/>
        <v>0</v>
      </c>
      <c r="AT38" s="33">
        <f>AP38-AR38+'Catch up Fee'!E38+AQ38</f>
        <v>4377.7333065796183</v>
      </c>
      <c r="AU38" s="167">
        <f t="shared" si="23"/>
        <v>240.77533186187901</v>
      </c>
      <c r="AV38" s="165">
        <v>0</v>
      </c>
      <c r="AW38" s="166">
        <f t="shared" si="24"/>
        <v>0</v>
      </c>
      <c r="AX38" s="33">
        <f>AT38-AV38+'Catch up Fee'!E38+AU38</f>
        <v>4818.5086384414972</v>
      </c>
      <c r="AY38" s="167">
        <f t="shared" si="25"/>
        <v>265.01797511428236</v>
      </c>
      <c r="AZ38" s="165">
        <v>0</v>
      </c>
      <c r="BA38" s="166">
        <f t="shared" si="26"/>
        <v>0</v>
      </c>
      <c r="BB38" s="33">
        <f>AX38-AZ38+'Catch up Fee'!E38+AY38</f>
        <v>5283.5266135557795</v>
      </c>
      <c r="BC38" s="167">
        <f t="shared" si="27"/>
        <v>290.59396374556786</v>
      </c>
      <c r="BD38" s="165">
        <v>0</v>
      </c>
      <c r="BE38" s="166">
        <f t="shared" si="28"/>
        <v>0</v>
      </c>
      <c r="BF38" s="33">
        <f>BB38-BD38+'Catch up Fee'!E38+BC38</f>
        <v>5774.1205773013471</v>
      </c>
      <c r="BG38" s="167">
        <f t="shared" si="29"/>
        <v>317.5766317515741</v>
      </c>
      <c r="BH38" s="165">
        <v>0</v>
      </c>
      <c r="BI38" s="166">
        <f t="shared" si="30"/>
        <v>0</v>
      </c>
      <c r="BJ38" s="33">
        <f>BF38-BH38+'Catch up Fee'!E38+BG38</f>
        <v>6291.6972090529216</v>
      </c>
      <c r="BK38" s="167">
        <f t="shared" si="31"/>
        <v>346.0433464979107</v>
      </c>
      <c r="BL38" s="185">
        <f t="shared" si="32"/>
        <v>800</v>
      </c>
    </row>
    <row r="39" spans="1:64">
      <c r="A39" s="10" t="s">
        <v>610</v>
      </c>
      <c r="B39" s="10" t="s">
        <v>140</v>
      </c>
      <c r="C39" s="79">
        <v>100</v>
      </c>
      <c r="D39" s="79">
        <f t="shared" si="0"/>
        <v>2400</v>
      </c>
      <c r="E39" s="79">
        <f>' 2018-2019'!J38</f>
        <v>100</v>
      </c>
      <c r="F39" s="139">
        <f>' 2018-2019'!F39</f>
        <v>2400</v>
      </c>
      <c r="G39" s="78">
        <f t="shared" si="1"/>
        <v>2500</v>
      </c>
      <c r="H39" s="159">
        <f t="shared" si="2"/>
        <v>500</v>
      </c>
      <c r="I39" s="78">
        <f t="shared" si="3"/>
        <v>1900</v>
      </c>
      <c r="J39" s="78">
        <f t="shared" ref="J39:J46" si="36">I39+M39+E39</f>
        <v>2748.883054067338</v>
      </c>
      <c r="K39" s="157">
        <f t="shared" si="4"/>
        <v>4.9499999999999993</v>
      </c>
      <c r="L39" s="157">
        <f t="shared" si="35"/>
        <v>21.72775</v>
      </c>
      <c r="M39" s="78">
        <f t="shared" si="5"/>
        <v>748.88305406733775</v>
      </c>
      <c r="N39" s="194">
        <f t="shared" si="6"/>
        <v>748.88305406733775</v>
      </c>
      <c r="O39" s="78">
        <f t="shared" si="7"/>
        <v>-232.10530406733773</v>
      </c>
      <c r="P39" s="165">
        <v>0</v>
      </c>
      <c r="Q39" s="166">
        <f t="shared" si="8"/>
        <v>0</v>
      </c>
      <c r="R39" s="119">
        <f>E39+'Catch up Fee'!E39</f>
        <v>300</v>
      </c>
      <c r="S39" s="167">
        <f t="shared" si="9"/>
        <v>16.5</v>
      </c>
      <c r="T39" s="165">
        <v>0</v>
      </c>
      <c r="U39" s="166">
        <f t="shared" si="10"/>
        <v>0</v>
      </c>
      <c r="V39" s="33">
        <f>R39-T39+'Catch up Fee'!E39+S39</f>
        <v>516.5</v>
      </c>
      <c r="W39" s="167">
        <f t="shared" si="11"/>
        <v>28.407499999999999</v>
      </c>
      <c r="X39" s="165">
        <f>'2018-2019 B STATEMENT '!B369+'2018-2019 B STATEMENT '!B370</f>
        <v>500</v>
      </c>
      <c r="Y39" s="166">
        <f t="shared" si="12"/>
        <v>4.9499999999999993</v>
      </c>
      <c r="Z39" s="33">
        <f>V39-X39+'Catch up Fee'!E39+W39</f>
        <v>244.9075</v>
      </c>
      <c r="AA39" s="167">
        <f t="shared" si="13"/>
        <v>-14.0300875</v>
      </c>
      <c r="AB39" s="165">
        <v>0</v>
      </c>
      <c r="AC39" s="166">
        <f t="shared" si="14"/>
        <v>0</v>
      </c>
      <c r="AD39" s="33">
        <f>Z39-AB39+'Catch up Fee'!E39+AA39</f>
        <v>430.87741250000005</v>
      </c>
      <c r="AE39" s="167">
        <f t="shared" si="15"/>
        <v>23.698257687500003</v>
      </c>
      <c r="AF39" s="165">
        <v>0</v>
      </c>
      <c r="AG39" s="166">
        <f t="shared" si="16"/>
        <v>0</v>
      </c>
      <c r="AH39" s="33">
        <f>AD39-AF39+'Catch up Fee'!E39+AE39</f>
        <v>654.57567018750001</v>
      </c>
      <c r="AI39" s="167">
        <f t="shared" si="17"/>
        <v>36.001661860312502</v>
      </c>
      <c r="AJ39" s="165">
        <v>0</v>
      </c>
      <c r="AK39" s="166">
        <f t="shared" si="18"/>
        <v>0</v>
      </c>
      <c r="AL39" s="33">
        <f>AH39-AJ39+'Catch up Fee'!E39+AI39</f>
        <v>890.57733204781255</v>
      </c>
      <c r="AM39" s="167">
        <f t="shared" si="19"/>
        <v>48.981753262629688</v>
      </c>
      <c r="AN39" s="165">
        <v>0</v>
      </c>
      <c r="AO39" s="166">
        <f t="shared" si="20"/>
        <v>0</v>
      </c>
      <c r="AP39" s="33">
        <f>AL39-AN39+'Catch up Fee'!E39+AM39</f>
        <v>1139.559085310442</v>
      </c>
      <c r="AQ39" s="167">
        <f t="shared" si="21"/>
        <v>62.675749692074312</v>
      </c>
      <c r="AR39" s="165">
        <v>0</v>
      </c>
      <c r="AS39" s="166">
        <f t="shared" si="22"/>
        <v>0</v>
      </c>
      <c r="AT39" s="33">
        <f>AP39-AR39+'Catch up Fee'!E39+AQ39</f>
        <v>1402.2348350025163</v>
      </c>
      <c r="AU39" s="167">
        <f t="shared" si="23"/>
        <v>77.1229159251384</v>
      </c>
      <c r="AV39" s="165">
        <v>0</v>
      </c>
      <c r="AW39" s="166">
        <f t="shared" si="24"/>
        <v>0</v>
      </c>
      <c r="AX39" s="33">
        <f>AT39-AV39+'Catch up Fee'!E39+AU39</f>
        <v>1679.3577509276547</v>
      </c>
      <c r="AY39" s="167">
        <f t="shared" si="25"/>
        <v>92.364676301021007</v>
      </c>
      <c r="AZ39" s="165">
        <v>0</v>
      </c>
      <c r="BA39" s="166">
        <f t="shared" si="26"/>
        <v>0</v>
      </c>
      <c r="BB39" s="33">
        <f>AX39-AZ39+'Catch up Fee'!E39+AY39</f>
        <v>1971.7224272286758</v>
      </c>
      <c r="BC39" s="167">
        <f t="shared" si="27"/>
        <v>108.44473349757716</v>
      </c>
      <c r="BD39" s="165">
        <v>0</v>
      </c>
      <c r="BE39" s="166">
        <f t="shared" si="28"/>
        <v>0</v>
      </c>
      <c r="BF39" s="33">
        <f>BB39-BD39+'Catch up Fee'!E39+BC39</f>
        <v>2280.1671607262529</v>
      </c>
      <c r="BG39" s="167">
        <f t="shared" si="29"/>
        <v>125.40919383994391</v>
      </c>
      <c r="BH39" s="165">
        <v>0</v>
      </c>
      <c r="BI39" s="166">
        <f t="shared" si="30"/>
        <v>0</v>
      </c>
      <c r="BJ39" s="33">
        <f>BF39-BH39+'Catch up Fee'!E39+BG39</f>
        <v>2605.5763545661966</v>
      </c>
      <c r="BK39" s="167">
        <f t="shared" si="31"/>
        <v>143.30669950114083</v>
      </c>
      <c r="BL39" s="185">
        <f t="shared" si="32"/>
        <v>500</v>
      </c>
    </row>
    <row r="40" spans="1:64">
      <c r="A40" s="10" t="s">
        <v>611</v>
      </c>
      <c r="B40" s="10" t="s">
        <v>125</v>
      </c>
      <c r="C40" s="80">
        <v>0</v>
      </c>
      <c r="D40" s="79">
        <f t="shared" si="0"/>
        <v>2400</v>
      </c>
      <c r="E40" s="79">
        <f>' 2018-2019'!J39</f>
        <v>2400</v>
      </c>
      <c r="F40" s="139">
        <f>' 2018-2019'!F40</f>
        <v>200</v>
      </c>
      <c r="G40" s="78">
        <f t="shared" si="1"/>
        <v>2400</v>
      </c>
      <c r="H40" s="159">
        <f t="shared" si="2"/>
        <v>0</v>
      </c>
      <c r="I40" s="78">
        <f t="shared" si="3"/>
        <v>2400</v>
      </c>
      <c r="J40" s="78">
        <f t="shared" si="36"/>
        <v>8020.2575930061794</v>
      </c>
      <c r="K40" s="157">
        <f t="shared" si="4"/>
        <v>0</v>
      </c>
      <c r="L40" s="157">
        <f t="shared" si="35"/>
        <v>0</v>
      </c>
      <c r="M40" s="78">
        <f t="shared" si="5"/>
        <v>3220.2575930061794</v>
      </c>
      <c r="N40" s="194">
        <f t="shared" si="6"/>
        <v>3220.2575930061794</v>
      </c>
      <c r="O40" s="78">
        <f t="shared" si="7"/>
        <v>-3220.2575930061794</v>
      </c>
      <c r="P40" s="165">
        <v>0</v>
      </c>
      <c r="Q40" s="166">
        <f t="shared" si="8"/>
        <v>0</v>
      </c>
      <c r="R40" s="119">
        <f>E40+'Catch up Fee'!E40</f>
        <v>2600</v>
      </c>
      <c r="S40" s="167">
        <f t="shared" si="9"/>
        <v>143</v>
      </c>
      <c r="T40" s="165">
        <v>0</v>
      </c>
      <c r="U40" s="166">
        <f t="shared" si="10"/>
        <v>0</v>
      </c>
      <c r="V40" s="33">
        <f>R40-T40+'Catch up Fee'!E40+S40</f>
        <v>2943</v>
      </c>
      <c r="W40" s="167">
        <f t="shared" si="11"/>
        <v>161.86500000000001</v>
      </c>
      <c r="X40" s="165">
        <v>0</v>
      </c>
      <c r="Y40" s="166">
        <f t="shared" si="12"/>
        <v>0</v>
      </c>
      <c r="Z40" s="33">
        <f>V40-X40+'Catch up Fee'!E40+W40</f>
        <v>3304.8649999999998</v>
      </c>
      <c r="AA40" s="167">
        <f t="shared" si="13"/>
        <v>181.76757499999999</v>
      </c>
      <c r="AB40" s="165">
        <v>0</v>
      </c>
      <c r="AC40" s="166">
        <f t="shared" si="14"/>
        <v>0</v>
      </c>
      <c r="AD40" s="33">
        <f>Z40-AB40+'Catch up Fee'!E40+AA40</f>
        <v>3686.6325749999996</v>
      </c>
      <c r="AE40" s="167">
        <f t="shared" si="15"/>
        <v>202.76479162499999</v>
      </c>
      <c r="AF40" s="165">
        <v>0</v>
      </c>
      <c r="AG40" s="166">
        <f t="shared" si="16"/>
        <v>0</v>
      </c>
      <c r="AH40" s="33">
        <f>AD40-AF40+'Catch up Fee'!E40+AE40</f>
        <v>4089.3973666249994</v>
      </c>
      <c r="AI40" s="167">
        <f t="shared" si="17"/>
        <v>224.91685516437497</v>
      </c>
      <c r="AJ40" s="165">
        <v>0</v>
      </c>
      <c r="AK40" s="166">
        <f t="shared" si="18"/>
        <v>0</v>
      </c>
      <c r="AL40" s="33">
        <f>AH40-AJ40+'Catch up Fee'!E40+AI40</f>
        <v>4514.3142217893746</v>
      </c>
      <c r="AM40" s="167">
        <f t="shared" si="19"/>
        <v>248.2872821984156</v>
      </c>
      <c r="AN40" s="165">
        <v>0</v>
      </c>
      <c r="AO40" s="166">
        <f t="shared" si="20"/>
        <v>0</v>
      </c>
      <c r="AP40" s="33">
        <f>AL40-AN40+'Catch up Fee'!E40+AM40</f>
        <v>4962.6015039877902</v>
      </c>
      <c r="AQ40" s="167">
        <f t="shared" si="21"/>
        <v>272.94308271932846</v>
      </c>
      <c r="AR40" s="165">
        <v>0</v>
      </c>
      <c r="AS40" s="166">
        <f t="shared" si="22"/>
        <v>0</v>
      </c>
      <c r="AT40" s="33">
        <f>AP40-AR40+'Catch up Fee'!E40+AQ40</f>
        <v>5435.5445867071185</v>
      </c>
      <c r="AU40" s="167">
        <f t="shared" si="23"/>
        <v>298.95495226889153</v>
      </c>
      <c r="AV40" s="165">
        <v>0</v>
      </c>
      <c r="AW40" s="166">
        <f t="shared" si="24"/>
        <v>0</v>
      </c>
      <c r="AX40" s="33">
        <f>AT40-AV40+'Catch up Fee'!E40+AU40</f>
        <v>5934.4995389760097</v>
      </c>
      <c r="AY40" s="167">
        <f t="shared" si="25"/>
        <v>326.39747464368054</v>
      </c>
      <c r="AZ40" s="165">
        <v>0</v>
      </c>
      <c r="BA40" s="166">
        <f t="shared" si="26"/>
        <v>0</v>
      </c>
      <c r="BB40" s="33">
        <f>AX40-AZ40+'Catch up Fee'!E40+AY40</f>
        <v>6460.8970136196904</v>
      </c>
      <c r="BC40" s="167">
        <f t="shared" si="27"/>
        <v>355.34933574908297</v>
      </c>
      <c r="BD40" s="165">
        <v>0</v>
      </c>
      <c r="BE40" s="166">
        <f t="shared" si="28"/>
        <v>0</v>
      </c>
      <c r="BF40" s="33">
        <f>BB40-BD40+'Catch up Fee'!E40+BC40</f>
        <v>7016.2463493687737</v>
      </c>
      <c r="BG40" s="167">
        <f t="shared" si="29"/>
        <v>385.89354921528258</v>
      </c>
      <c r="BH40" s="165">
        <v>0</v>
      </c>
      <c r="BI40" s="166">
        <f t="shared" si="30"/>
        <v>0</v>
      </c>
      <c r="BJ40" s="33">
        <f>BF40-BH40+'Catch up Fee'!E40+BG40</f>
        <v>7602.139898584056</v>
      </c>
      <c r="BK40" s="167">
        <f t="shared" si="31"/>
        <v>418.11769442212307</v>
      </c>
      <c r="BL40" s="185">
        <f t="shared" si="32"/>
        <v>0</v>
      </c>
    </row>
    <row r="41" spans="1:64">
      <c r="A41" s="10" t="s">
        <v>612</v>
      </c>
      <c r="B41" s="10" t="s">
        <v>144</v>
      </c>
      <c r="C41" s="80">
        <v>0</v>
      </c>
      <c r="D41" s="79">
        <f t="shared" si="0"/>
        <v>2400</v>
      </c>
      <c r="E41" s="79">
        <f>' 2018-2019'!J40</f>
        <v>190</v>
      </c>
      <c r="F41" s="139">
        <f>' 2018-2019'!F41</f>
        <v>1000</v>
      </c>
      <c r="G41" s="78">
        <f t="shared" si="1"/>
        <v>2400</v>
      </c>
      <c r="H41" s="159">
        <f t="shared" si="2"/>
        <v>0</v>
      </c>
      <c r="I41" s="78">
        <f t="shared" si="3"/>
        <v>2400</v>
      </c>
      <c r="J41" s="78">
        <f t="shared" si="36"/>
        <v>3818.5890494787718</v>
      </c>
      <c r="K41" s="157">
        <f t="shared" si="4"/>
        <v>0</v>
      </c>
      <c r="L41" s="157">
        <f t="shared" si="35"/>
        <v>0</v>
      </c>
      <c r="M41" s="78">
        <f t="shared" si="5"/>
        <v>1228.5890494787716</v>
      </c>
      <c r="N41" s="194">
        <f t="shared" si="6"/>
        <v>1228.5890494787716</v>
      </c>
      <c r="O41" s="78">
        <f t="shared" si="7"/>
        <v>-1228.5890494787716</v>
      </c>
      <c r="P41" s="165">
        <v>0</v>
      </c>
      <c r="Q41" s="166">
        <f t="shared" si="8"/>
        <v>0</v>
      </c>
      <c r="R41" s="119">
        <f>E41+'Catch up Fee'!E41</f>
        <v>390</v>
      </c>
      <c r="S41" s="167">
        <f t="shared" si="9"/>
        <v>21.45</v>
      </c>
      <c r="T41" s="165">
        <v>0</v>
      </c>
      <c r="U41" s="166">
        <f t="shared" si="10"/>
        <v>0</v>
      </c>
      <c r="V41" s="33">
        <f>R41-T41+'Catch up Fee'!E41+S41</f>
        <v>611.45000000000005</v>
      </c>
      <c r="W41" s="167">
        <f t="shared" si="11"/>
        <v>33.629750000000001</v>
      </c>
      <c r="X41" s="165">
        <v>0</v>
      </c>
      <c r="Y41" s="166">
        <f t="shared" si="12"/>
        <v>0</v>
      </c>
      <c r="Z41" s="33">
        <f>V41-X41+'Catch up Fee'!E41+W41</f>
        <v>845.0797500000001</v>
      </c>
      <c r="AA41" s="167">
        <f t="shared" si="13"/>
        <v>46.479386250000005</v>
      </c>
      <c r="AB41" s="165">
        <v>0</v>
      </c>
      <c r="AC41" s="166">
        <f t="shared" si="14"/>
        <v>0</v>
      </c>
      <c r="AD41" s="33">
        <f>Z41-AB41+'Catch up Fee'!E41+AA41</f>
        <v>1091.5591362500002</v>
      </c>
      <c r="AE41" s="167">
        <f t="shared" si="15"/>
        <v>60.03575249375001</v>
      </c>
      <c r="AF41" s="165">
        <v>0</v>
      </c>
      <c r="AG41" s="166">
        <f t="shared" si="16"/>
        <v>0</v>
      </c>
      <c r="AH41" s="33">
        <f>AD41-AF41+'Catch up Fee'!E41+AE41</f>
        <v>1351.5948887437503</v>
      </c>
      <c r="AI41" s="167">
        <f t="shared" si="17"/>
        <v>74.337718880906266</v>
      </c>
      <c r="AJ41" s="165">
        <v>0</v>
      </c>
      <c r="AK41" s="166">
        <f t="shared" si="18"/>
        <v>0</v>
      </c>
      <c r="AL41" s="33">
        <f>AH41-AJ41+'Catch up Fee'!E41+AI41</f>
        <v>1625.9326076246566</v>
      </c>
      <c r="AM41" s="167">
        <f t="shared" si="19"/>
        <v>89.426293419356114</v>
      </c>
      <c r="AN41" s="165">
        <v>0</v>
      </c>
      <c r="AO41" s="166">
        <f t="shared" si="20"/>
        <v>0</v>
      </c>
      <c r="AP41" s="33">
        <f>AL41-AN41+'Catch up Fee'!E41+AM41</f>
        <v>1915.3589010440128</v>
      </c>
      <c r="AQ41" s="167">
        <f t="shared" si="21"/>
        <v>105.34473955742071</v>
      </c>
      <c r="AR41" s="165">
        <v>0</v>
      </c>
      <c r="AS41" s="166">
        <f t="shared" si="22"/>
        <v>0</v>
      </c>
      <c r="AT41" s="33">
        <f>AP41-AR41+'Catch up Fee'!E41+AQ41</f>
        <v>2220.7036406014336</v>
      </c>
      <c r="AU41" s="167">
        <f t="shared" si="23"/>
        <v>122.13870023307885</v>
      </c>
      <c r="AV41" s="165">
        <v>0</v>
      </c>
      <c r="AW41" s="166">
        <f t="shared" si="24"/>
        <v>0</v>
      </c>
      <c r="AX41" s="33">
        <f>AT41-AV41+'Catch up Fee'!E41+AU41</f>
        <v>2542.8423408345125</v>
      </c>
      <c r="AY41" s="167">
        <f t="shared" si="25"/>
        <v>139.8563287458982</v>
      </c>
      <c r="AZ41" s="165">
        <v>0</v>
      </c>
      <c r="BA41" s="166">
        <f t="shared" si="26"/>
        <v>0</v>
      </c>
      <c r="BB41" s="33">
        <f>AX41-AZ41+'Catch up Fee'!E41+AY41</f>
        <v>2882.6986695804108</v>
      </c>
      <c r="BC41" s="167">
        <f t="shared" si="27"/>
        <v>158.54842682692259</v>
      </c>
      <c r="BD41" s="165">
        <v>0</v>
      </c>
      <c r="BE41" s="166">
        <f t="shared" si="28"/>
        <v>0</v>
      </c>
      <c r="BF41" s="33">
        <f>BB41-BD41+'Catch up Fee'!E41+BC41</f>
        <v>3241.2470964073332</v>
      </c>
      <c r="BG41" s="167">
        <f t="shared" si="29"/>
        <v>178.26859030240334</v>
      </c>
      <c r="BH41" s="165">
        <v>0</v>
      </c>
      <c r="BI41" s="166">
        <f t="shared" si="30"/>
        <v>0</v>
      </c>
      <c r="BJ41" s="33">
        <f>BF41-BH41+'Catch up Fee'!E41+BG41</f>
        <v>3619.5156867097367</v>
      </c>
      <c r="BK41" s="167">
        <f t="shared" si="31"/>
        <v>199.07336276903553</v>
      </c>
      <c r="BL41" s="185">
        <f t="shared" si="32"/>
        <v>0</v>
      </c>
    </row>
    <row r="42" spans="1:64">
      <c r="A42" s="10" t="s">
        <v>613</v>
      </c>
      <c r="B42" s="10" t="s">
        <v>143</v>
      </c>
      <c r="C42" s="79">
        <v>100</v>
      </c>
      <c r="D42" s="79">
        <f t="shared" si="0"/>
        <v>2400</v>
      </c>
      <c r="E42" s="79">
        <f>' 2018-2019'!J41</f>
        <v>2000</v>
      </c>
      <c r="F42" s="139">
        <f>' 2018-2019'!F42</f>
        <v>2400</v>
      </c>
      <c r="G42" s="78">
        <f t="shared" si="1"/>
        <v>2500</v>
      </c>
      <c r="H42" s="159">
        <f t="shared" si="2"/>
        <v>3100</v>
      </c>
      <c r="I42" s="78">
        <f t="shared" si="3"/>
        <v>-700</v>
      </c>
      <c r="J42" s="78">
        <f t="shared" si="36"/>
        <v>2515.176500634911</v>
      </c>
      <c r="K42" s="157">
        <f t="shared" si="4"/>
        <v>30.689999999999998</v>
      </c>
      <c r="L42" s="157">
        <f t="shared" si="35"/>
        <v>163.31205</v>
      </c>
      <c r="M42" s="78">
        <f t="shared" si="5"/>
        <v>1215.176500634911</v>
      </c>
      <c r="N42" s="194">
        <f t="shared" si="6"/>
        <v>1215.176500634911</v>
      </c>
      <c r="O42" s="78">
        <f t="shared" si="7"/>
        <v>2017.4455493650889</v>
      </c>
      <c r="P42" s="165">
        <v>0</v>
      </c>
      <c r="Q42" s="166">
        <f t="shared" si="8"/>
        <v>0</v>
      </c>
      <c r="R42" s="119">
        <f>E42+'Catch up Fee'!E42</f>
        <v>2200</v>
      </c>
      <c r="S42" s="167">
        <f t="shared" si="9"/>
        <v>121</v>
      </c>
      <c r="T42" s="165">
        <v>0</v>
      </c>
      <c r="U42" s="166">
        <f t="shared" si="10"/>
        <v>0</v>
      </c>
      <c r="V42" s="33">
        <f>R42-T42+'Catch up Fee'!E42+S42</f>
        <v>2521</v>
      </c>
      <c r="W42" s="167">
        <f t="shared" si="11"/>
        <v>138.655</v>
      </c>
      <c r="X42" s="165">
        <v>0</v>
      </c>
      <c r="Y42" s="166">
        <f t="shared" si="12"/>
        <v>0</v>
      </c>
      <c r="Z42" s="33">
        <f>V42-X42+'Catch up Fee'!E42+W42</f>
        <v>2859.6550000000002</v>
      </c>
      <c r="AA42" s="167">
        <f t="shared" si="13"/>
        <v>157.281025</v>
      </c>
      <c r="AB42" s="165">
        <v>0</v>
      </c>
      <c r="AC42" s="166">
        <f t="shared" si="14"/>
        <v>0</v>
      </c>
      <c r="AD42" s="33">
        <f>Z42-AB42+'Catch up Fee'!E42+AA42</f>
        <v>3216.936025</v>
      </c>
      <c r="AE42" s="167">
        <f t="shared" si="15"/>
        <v>176.931481375</v>
      </c>
      <c r="AF42" s="165">
        <v>0</v>
      </c>
      <c r="AG42" s="166">
        <f t="shared" si="16"/>
        <v>0</v>
      </c>
      <c r="AH42" s="33">
        <f>AD42-AF42+'Catch up Fee'!E42+AE42</f>
        <v>3593.8675063750002</v>
      </c>
      <c r="AI42" s="167">
        <f t="shared" si="17"/>
        <v>197.66271285062501</v>
      </c>
      <c r="AJ42" s="165">
        <f>'2018-2019 B STATEMENT '!B465+'2018-2019 B STATEMENT '!B466</f>
        <v>3100</v>
      </c>
      <c r="AK42" s="166">
        <f t="shared" si="18"/>
        <v>30.689999999999998</v>
      </c>
      <c r="AL42" s="33">
        <f>AH42-AJ42+'Catch up Fee'!E42+AI42</f>
        <v>891.53021922562516</v>
      </c>
      <c r="AM42" s="167">
        <f t="shared" si="19"/>
        <v>-121.46583794259062</v>
      </c>
      <c r="AN42" s="165">
        <v>0</v>
      </c>
      <c r="AO42" s="166">
        <f t="shared" si="20"/>
        <v>0</v>
      </c>
      <c r="AP42" s="33">
        <f>AL42-AN42+'Catch up Fee'!E42+AM42</f>
        <v>970.06438128303455</v>
      </c>
      <c r="AQ42" s="167">
        <f t="shared" si="21"/>
        <v>53.353540970566904</v>
      </c>
      <c r="AR42" s="165">
        <v>0</v>
      </c>
      <c r="AS42" s="166">
        <f t="shared" si="22"/>
        <v>0</v>
      </c>
      <c r="AT42" s="33">
        <f>AP42-AR42+'Catch up Fee'!E42+AQ42</f>
        <v>1223.4179222536013</v>
      </c>
      <c r="AU42" s="167">
        <f t="shared" si="23"/>
        <v>67.287985723948069</v>
      </c>
      <c r="AV42" s="165">
        <v>0</v>
      </c>
      <c r="AW42" s="166">
        <f t="shared" si="24"/>
        <v>0</v>
      </c>
      <c r="AX42" s="33">
        <f>AT42-AV42+'Catch up Fee'!E42+AU42</f>
        <v>1490.7059079775495</v>
      </c>
      <c r="AY42" s="167">
        <f t="shared" si="25"/>
        <v>81.988824938765219</v>
      </c>
      <c r="AZ42" s="165">
        <v>0</v>
      </c>
      <c r="BA42" s="166">
        <f t="shared" si="26"/>
        <v>0</v>
      </c>
      <c r="BB42" s="33">
        <f>AX42-AZ42+'Catch up Fee'!E42+AY42</f>
        <v>1772.6947329163147</v>
      </c>
      <c r="BC42" s="167">
        <f t="shared" si="27"/>
        <v>97.498210310397312</v>
      </c>
      <c r="BD42" s="165">
        <v>0</v>
      </c>
      <c r="BE42" s="166">
        <f t="shared" si="28"/>
        <v>0</v>
      </c>
      <c r="BF42" s="33">
        <f>BB42-BD42+'Catch up Fee'!E42+BC42</f>
        <v>2070.192943226712</v>
      </c>
      <c r="BG42" s="167">
        <f t="shared" si="29"/>
        <v>113.86061187746917</v>
      </c>
      <c r="BH42" s="165">
        <v>0</v>
      </c>
      <c r="BI42" s="166">
        <f t="shared" si="30"/>
        <v>0</v>
      </c>
      <c r="BJ42" s="33">
        <f>BF42-BH42+'Catch up Fee'!E42+BG42</f>
        <v>2384.0535551041812</v>
      </c>
      <c r="BK42" s="167">
        <f t="shared" si="31"/>
        <v>131.12294553072996</v>
      </c>
      <c r="BL42" s="185">
        <f t="shared" si="32"/>
        <v>3100</v>
      </c>
    </row>
    <row r="43" spans="1:64">
      <c r="A43" s="10" t="s">
        <v>614</v>
      </c>
      <c r="B43" s="10" t="s">
        <v>150</v>
      </c>
      <c r="C43" s="80">
        <v>0</v>
      </c>
      <c r="D43" s="79">
        <f t="shared" si="0"/>
        <v>2400</v>
      </c>
      <c r="E43" s="79">
        <f>' 2018-2019'!J42</f>
        <v>2400</v>
      </c>
      <c r="F43" s="139">
        <f>' 2018-2019'!F43</f>
        <v>400</v>
      </c>
      <c r="G43" s="78">
        <f t="shared" si="1"/>
        <v>2400</v>
      </c>
      <c r="H43" s="159">
        <f t="shared" si="2"/>
        <v>1738.8899999999999</v>
      </c>
      <c r="I43" s="78">
        <f t="shared" si="3"/>
        <v>661.11000000000013</v>
      </c>
      <c r="J43" s="78">
        <f t="shared" si="36"/>
        <v>5605.7202162232616</v>
      </c>
      <c r="K43" s="157">
        <f t="shared" si="4"/>
        <v>17.215010999999997</v>
      </c>
      <c r="L43" s="157">
        <f t="shared" si="35"/>
        <v>94.692124394999993</v>
      </c>
      <c r="M43" s="78">
        <f t="shared" si="5"/>
        <v>2544.6102162232614</v>
      </c>
      <c r="N43" s="194">
        <f t="shared" si="6"/>
        <v>2544.6102162232614</v>
      </c>
      <c r="O43" s="78">
        <f t="shared" si="7"/>
        <v>-728.24310282826161</v>
      </c>
      <c r="P43" s="165">
        <f>'2018-2019 B STATEMENT '!B337</f>
        <v>100</v>
      </c>
      <c r="Q43" s="166">
        <f t="shared" si="8"/>
        <v>0.98999999999999988</v>
      </c>
      <c r="R43" s="119">
        <f>E43+'Catch up Fee'!E43</f>
        <v>2600</v>
      </c>
      <c r="S43" s="167">
        <f t="shared" si="9"/>
        <v>137.5</v>
      </c>
      <c r="T43" s="165">
        <v>0</v>
      </c>
      <c r="U43" s="166">
        <f t="shared" si="10"/>
        <v>0</v>
      </c>
      <c r="V43" s="33">
        <f>R43-T43+'Catch up Fee'!E43+S43</f>
        <v>2937.5</v>
      </c>
      <c r="W43" s="167">
        <f t="shared" si="11"/>
        <v>161.5625</v>
      </c>
      <c r="X43" s="165">
        <f>'2018-2019 B STATEMENT '!B379</f>
        <v>100</v>
      </c>
      <c r="Y43" s="166">
        <f t="shared" si="12"/>
        <v>0.98999999999999988</v>
      </c>
      <c r="Z43" s="33">
        <f>V43-X43+'Catch up Fee'!E43+W43</f>
        <v>3199.0625</v>
      </c>
      <c r="AA43" s="167">
        <f t="shared" si="13"/>
        <v>170.44843750000001</v>
      </c>
      <c r="AB43" s="165">
        <f>'2018-2019 B STATEMENT '!B410</f>
        <v>200</v>
      </c>
      <c r="AC43" s="166">
        <f t="shared" si="14"/>
        <v>1.9799999999999998</v>
      </c>
      <c r="AD43" s="33">
        <f>Z43-AB43+'Catch up Fee'!E43+AA43</f>
        <v>3369.5109375000002</v>
      </c>
      <c r="AE43" s="167">
        <f t="shared" si="15"/>
        <v>174.3231015625</v>
      </c>
      <c r="AF43" s="165">
        <f>'2018-2019 B STATEMENT '!B426</f>
        <v>100</v>
      </c>
      <c r="AG43" s="166">
        <f t="shared" si="16"/>
        <v>0.98999999999999988</v>
      </c>
      <c r="AH43" s="33">
        <f>AD43-AF43+'Catch up Fee'!E43+AE43</f>
        <v>3643.8340390625003</v>
      </c>
      <c r="AI43" s="167">
        <f t="shared" si="17"/>
        <v>194.91087214843751</v>
      </c>
      <c r="AJ43" s="165">
        <f>'2018-2019 B STATEMENT '!B454+'2018-2019 B STATEMENT '!B455</f>
        <v>200</v>
      </c>
      <c r="AK43" s="166">
        <f t="shared" si="18"/>
        <v>1.9799999999999998</v>
      </c>
      <c r="AL43" s="33">
        <f>AH43-AJ43+'Catch up Fee'!E43+AI43</f>
        <v>3838.744911210938</v>
      </c>
      <c r="AM43" s="167">
        <f t="shared" si="19"/>
        <v>200.13097011660159</v>
      </c>
      <c r="AN43" s="165">
        <f>'2018-2019 B STATEMENT '!B476+'2018-2019 B STATEMENT '!B481+'2018-2019 B STATEMENT '!B493</f>
        <v>238.89</v>
      </c>
      <c r="AO43" s="166">
        <f t="shared" si="20"/>
        <v>2.3650109999999995</v>
      </c>
      <c r="AP43" s="33">
        <f>AL43-AN43+'Catch up Fee'!E43+AM43</f>
        <v>3999.9858813275396</v>
      </c>
      <c r="AQ43" s="167">
        <f t="shared" si="21"/>
        <v>206.86027347301467</v>
      </c>
      <c r="AR43" s="165">
        <v>0</v>
      </c>
      <c r="AS43" s="166">
        <f t="shared" si="22"/>
        <v>0</v>
      </c>
      <c r="AT43" s="33">
        <f>AP43-AR43+'Catch up Fee'!E43+AQ43</f>
        <v>4406.8461548005544</v>
      </c>
      <c r="AU43" s="167">
        <f t="shared" si="23"/>
        <v>242.3765385140305</v>
      </c>
      <c r="AV43" s="165">
        <f>'2018-2019 B STATEMENT '!B516</f>
        <v>100</v>
      </c>
      <c r="AW43" s="166">
        <f t="shared" si="24"/>
        <v>0.98999999999999988</v>
      </c>
      <c r="AX43" s="33">
        <f>AT43-AV43+'Catch up Fee'!E43+AU43</f>
        <v>4749.2226933145848</v>
      </c>
      <c r="AY43" s="167">
        <f t="shared" si="25"/>
        <v>255.70724813230217</v>
      </c>
      <c r="AZ43" s="165">
        <f>'2018-2019 B STATEMENT '!B537</f>
        <v>500</v>
      </c>
      <c r="BA43" s="166">
        <f t="shared" si="26"/>
        <v>4.9499999999999993</v>
      </c>
      <c r="BB43" s="33">
        <f>AX43-AZ43+'Catch up Fee'!E43+AY43</f>
        <v>4704.9299414468869</v>
      </c>
      <c r="BC43" s="167">
        <f t="shared" si="27"/>
        <v>231.27114677957877</v>
      </c>
      <c r="BD43" s="165">
        <v>0</v>
      </c>
      <c r="BE43" s="166">
        <f t="shared" si="28"/>
        <v>0</v>
      </c>
      <c r="BF43" s="33">
        <f>BB43-BD43+'Catch up Fee'!E43+BC43</f>
        <v>5136.2010882264658</v>
      </c>
      <c r="BG43" s="167">
        <f t="shared" si="29"/>
        <v>282.49105985245563</v>
      </c>
      <c r="BH43" s="165">
        <f>'2018-2019 B STATEMENT '!B585</f>
        <v>200</v>
      </c>
      <c r="BI43" s="166">
        <f t="shared" si="30"/>
        <v>1.9799999999999998</v>
      </c>
      <c r="BJ43" s="33">
        <f>BF43-BH43+'Catch up Fee'!E43+BG43</f>
        <v>5418.6921480789215</v>
      </c>
      <c r="BK43" s="167">
        <f t="shared" si="31"/>
        <v>287.02806814434069</v>
      </c>
      <c r="BL43" s="185">
        <f t="shared" si="32"/>
        <v>1738.8899999999999</v>
      </c>
    </row>
    <row r="44" spans="1:64">
      <c r="A44" s="10" t="s">
        <v>615</v>
      </c>
      <c r="B44" s="10" t="s">
        <v>159</v>
      </c>
      <c r="C44" s="80">
        <v>0</v>
      </c>
      <c r="D44" s="79">
        <f t="shared" si="0"/>
        <v>2400</v>
      </c>
      <c r="E44" s="79">
        <f>' 2018-2019'!J43</f>
        <v>1600</v>
      </c>
      <c r="F44" s="139">
        <f>' 2018-2019'!F44</f>
        <v>400</v>
      </c>
      <c r="G44" s="78">
        <f t="shared" si="1"/>
        <v>2400</v>
      </c>
      <c r="H44" s="159">
        <f t="shared" si="2"/>
        <v>2700</v>
      </c>
      <c r="I44" s="78">
        <f t="shared" si="3"/>
        <v>-300</v>
      </c>
      <c r="J44" s="78">
        <f t="shared" si="36"/>
        <v>2484.6744339955972</v>
      </c>
      <c r="K44" s="157">
        <f t="shared" si="4"/>
        <v>26.73</v>
      </c>
      <c r="L44" s="157">
        <f t="shared" si="35"/>
        <v>147.02985000000001</v>
      </c>
      <c r="M44" s="78">
        <f t="shared" si="5"/>
        <v>1184.6744339955972</v>
      </c>
      <c r="N44" s="194">
        <f t="shared" si="6"/>
        <v>1184.6744339955972</v>
      </c>
      <c r="O44" s="78">
        <f t="shared" si="7"/>
        <v>1635.6254160044027</v>
      </c>
      <c r="P44" s="165">
        <v>0</v>
      </c>
      <c r="Q44" s="166">
        <f t="shared" si="8"/>
        <v>0</v>
      </c>
      <c r="R44" s="119">
        <f>E44+'Catch up Fee'!E44</f>
        <v>1800</v>
      </c>
      <c r="S44" s="167">
        <f t="shared" si="9"/>
        <v>99</v>
      </c>
      <c r="T44" s="165">
        <f>'2018-2019 B STATEMENT '!B368</f>
        <v>300</v>
      </c>
      <c r="U44" s="166">
        <f t="shared" si="10"/>
        <v>2.9699999999999998</v>
      </c>
      <c r="V44" s="33">
        <f>R44-T44+'Catch up Fee'!E44+S44</f>
        <v>1799</v>
      </c>
      <c r="W44" s="167">
        <f t="shared" si="11"/>
        <v>82.445000000000007</v>
      </c>
      <c r="X44" s="165">
        <f>'2018-2019 B STATEMENT '!B396</f>
        <v>400</v>
      </c>
      <c r="Y44" s="166">
        <f t="shared" si="12"/>
        <v>3.9599999999999995</v>
      </c>
      <c r="Z44" s="33">
        <f>V44-X44+'Catch up Fee'!E44+W44</f>
        <v>1681.4449999999999</v>
      </c>
      <c r="AA44" s="167">
        <f t="shared" si="13"/>
        <v>70.479474999999994</v>
      </c>
      <c r="AB44" s="165">
        <f>'2018-2019 B STATEMENT '!B405</f>
        <v>300</v>
      </c>
      <c r="AC44" s="166">
        <f t="shared" si="14"/>
        <v>2.9699999999999998</v>
      </c>
      <c r="AD44" s="33">
        <f>Z44-AB44+'Catch up Fee'!E44+AA44</f>
        <v>1651.924475</v>
      </c>
      <c r="AE44" s="167">
        <f t="shared" si="15"/>
        <v>74.355846124999999</v>
      </c>
      <c r="AF44" s="165">
        <f>'2018-2019 B STATEMENT '!B430</f>
        <v>200</v>
      </c>
      <c r="AG44" s="166">
        <f t="shared" si="16"/>
        <v>1.9799999999999998</v>
      </c>
      <c r="AH44" s="33">
        <f>AD44-AF44+'Catch up Fee'!E44+AE44</f>
        <v>1726.280321125</v>
      </c>
      <c r="AI44" s="167">
        <f t="shared" si="17"/>
        <v>83.945417661874998</v>
      </c>
      <c r="AJ44" s="165">
        <f>'2018-2019 B STATEMENT '!B463</f>
        <v>300</v>
      </c>
      <c r="AK44" s="166">
        <f t="shared" si="18"/>
        <v>2.9699999999999998</v>
      </c>
      <c r="AL44" s="33">
        <f>AH44-AJ44+'Catch up Fee'!E44+AI44</f>
        <v>1710.2257387868749</v>
      </c>
      <c r="AM44" s="167">
        <f t="shared" si="19"/>
        <v>77.562415633278121</v>
      </c>
      <c r="AN44" s="165">
        <v>0</v>
      </c>
      <c r="AO44" s="166">
        <f t="shared" si="20"/>
        <v>0</v>
      </c>
      <c r="AP44" s="33">
        <f>AL44-AN44+'Catch up Fee'!E44+AM44</f>
        <v>1987.788154420153</v>
      </c>
      <c r="AQ44" s="167">
        <f t="shared" si="21"/>
        <v>109.32834849310841</v>
      </c>
      <c r="AR44" s="165">
        <v>0</v>
      </c>
      <c r="AS44" s="166">
        <f t="shared" si="22"/>
        <v>0</v>
      </c>
      <c r="AT44" s="33">
        <f>AP44-AR44+'Catch up Fee'!E44+AQ44</f>
        <v>2297.1165029132612</v>
      </c>
      <c r="AU44" s="167">
        <f t="shared" si="23"/>
        <v>126.34140766022936</v>
      </c>
      <c r="AV44" s="165">
        <f>'2018-2019 B STATEMENT '!B513</f>
        <v>400</v>
      </c>
      <c r="AW44" s="166">
        <f t="shared" si="24"/>
        <v>3.9599999999999995</v>
      </c>
      <c r="AX44" s="33">
        <f>AT44-AV44+'Catch up Fee'!E44+AU44</f>
        <v>2223.4579105734906</v>
      </c>
      <c r="AY44" s="167">
        <f t="shared" si="25"/>
        <v>100.29018508154198</v>
      </c>
      <c r="AZ44" s="165">
        <v>0</v>
      </c>
      <c r="BA44" s="166">
        <f t="shared" si="26"/>
        <v>0</v>
      </c>
      <c r="BB44" s="33">
        <f>AX44-AZ44+'Catch up Fee'!E44+AY44</f>
        <v>2523.7480956550326</v>
      </c>
      <c r="BC44" s="167">
        <f t="shared" si="27"/>
        <v>138.80614526102678</v>
      </c>
      <c r="BD44" s="165">
        <f>'2018-2019 B STATEMENT '!B559</f>
        <v>400</v>
      </c>
      <c r="BE44" s="166">
        <f t="shared" si="28"/>
        <v>3.9599999999999995</v>
      </c>
      <c r="BF44" s="33">
        <f>BB44-BD44+'Catch up Fee'!E44+BC44</f>
        <v>2462.5542409160594</v>
      </c>
      <c r="BG44" s="167">
        <f t="shared" si="29"/>
        <v>113.44048325038327</v>
      </c>
      <c r="BH44" s="165">
        <f>'2018-2019 B STATEMENT '!B579</f>
        <v>400</v>
      </c>
      <c r="BI44" s="166">
        <f t="shared" si="30"/>
        <v>3.9599999999999995</v>
      </c>
      <c r="BJ44" s="33">
        <f>BF44-BH44+'Catch up Fee'!E44+BG44</f>
        <v>2375.9947241664427</v>
      </c>
      <c r="BK44" s="167">
        <f t="shared" si="31"/>
        <v>108.67970982915435</v>
      </c>
      <c r="BL44" s="185">
        <f t="shared" si="32"/>
        <v>2700</v>
      </c>
    </row>
    <row r="45" spans="1:64">
      <c r="A45" s="10" t="s">
        <v>616</v>
      </c>
      <c r="B45" s="10" t="s">
        <v>126</v>
      </c>
      <c r="C45" s="80">
        <v>0</v>
      </c>
      <c r="D45" s="79">
        <f t="shared" si="0"/>
        <v>2400</v>
      </c>
      <c r="E45" s="79">
        <f>' 2018-2019'!J44</f>
        <v>-130</v>
      </c>
      <c r="F45" s="139">
        <f>' 2018-2019'!F45</f>
        <v>200</v>
      </c>
      <c r="G45" s="78">
        <f t="shared" si="1"/>
        <v>2400</v>
      </c>
      <c r="H45" s="159">
        <f t="shared" si="2"/>
        <v>5400</v>
      </c>
      <c r="I45" s="78">
        <f t="shared" si="3"/>
        <v>-3000</v>
      </c>
      <c r="J45" s="78">
        <f t="shared" si="36"/>
        <v>-5067.911628769285</v>
      </c>
      <c r="K45" s="157">
        <f t="shared" si="4"/>
        <v>53.459999999999994</v>
      </c>
      <c r="L45" s="157">
        <f t="shared" si="35"/>
        <v>294.05970000000002</v>
      </c>
      <c r="M45" s="78">
        <f t="shared" si="5"/>
        <v>-1937.9116287692855</v>
      </c>
      <c r="N45" s="194">
        <f t="shared" si="6"/>
        <v>-1937.9116287692855</v>
      </c>
      <c r="O45" s="78">
        <f t="shared" si="7"/>
        <v>7578.5113287692857</v>
      </c>
      <c r="P45" s="165">
        <v>0</v>
      </c>
      <c r="Q45" s="166">
        <f t="shared" si="8"/>
        <v>0</v>
      </c>
      <c r="R45" s="119">
        <f>E45+'Catch up Fee'!E45</f>
        <v>70</v>
      </c>
      <c r="S45" s="167">
        <f t="shared" si="9"/>
        <v>3.85</v>
      </c>
      <c r="T45" s="165">
        <f>'2018-2019 B STATEMENT '!B346</f>
        <v>2200</v>
      </c>
      <c r="U45" s="166">
        <f t="shared" si="10"/>
        <v>21.779999999999998</v>
      </c>
      <c r="V45" s="33">
        <f>R45-T45+'Catch up Fee'!E45+S45</f>
        <v>-1926.15</v>
      </c>
      <c r="W45" s="167">
        <f t="shared" si="11"/>
        <v>-226.93824999999998</v>
      </c>
      <c r="X45" s="165">
        <v>0</v>
      </c>
      <c r="Y45" s="166">
        <f t="shared" si="12"/>
        <v>0</v>
      </c>
      <c r="Z45" s="33">
        <f>V45-X45+'Catch up Fee'!E45+W45</f>
        <v>-1953.08825</v>
      </c>
      <c r="AA45" s="167">
        <f t="shared" si="13"/>
        <v>-107.41985375</v>
      </c>
      <c r="AB45" s="165">
        <v>0</v>
      </c>
      <c r="AC45" s="166">
        <f t="shared" si="14"/>
        <v>0</v>
      </c>
      <c r="AD45" s="33">
        <f>Z45-AB45+'Catch up Fee'!E45+AA45</f>
        <v>-1860.5081037499999</v>
      </c>
      <c r="AE45" s="167">
        <f t="shared" si="15"/>
        <v>-102.32794570624999</v>
      </c>
      <c r="AF45" s="165">
        <v>0</v>
      </c>
      <c r="AG45" s="166">
        <f t="shared" si="16"/>
        <v>0</v>
      </c>
      <c r="AH45" s="33">
        <f>AD45-AF45+'Catch up Fee'!E45+AE45</f>
        <v>-1762.8360494562498</v>
      </c>
      <c r="AI45" s="167">
        <f t="shared" si="17"/>
        <v>-96.955982720093743</v>
      </c>
      <c r="AJ45" s="165">
        <f>'2018-2019 B STATEMENT '!B467</f>
        <v>1000</v>
      </c>
      <c r="AK45" s="166">
        <f t="shared" si="18"/>
        <v>9.8999999999999986</v>
      </c>
      <c r="AL45" s="33">
        <f>AH45-AJ45+'Catch up Fee'!E45+AI45</f>
        <v>-2659.7920321763436</v>
      </c>
      <c r="AM45" s="167">
        <f t="shared" si="19"/>
        <v>-201.2885617696989</v>
      </c>
      <c r="AN45" s="165">
        <v>0</v>
      </c>
      <c r="AO45" s="166">
        <f t="shared" si="20"/>
        <v>0</v>
      </c>
      <c r="AP45" s="33">
        <f>AL45-AN45+'Catch up Fee'!E45+AM45</f>
        <v>-2661.0805939460424</v>
      </c>
      <c r="AQ45" s="167">
        <f t="shared" si="21"/>
        <v>-146.35943266703234</v>
      </c>
      <c r="AR45" s="165">
        <v>0</v>
      </c>
      <c r="AS45" s="166">
        <f t="shared" si="22"/>
        <v>0</v>
      </c>
      <c r="AT45" s="33">
        <f>AP45-AR45+'Catch up Fee'!E45+AQ45</f>
        <v>-2607.4400266130747</v>
      </c>
      <c r="AU45" s="167">
        <f t="shared" si="23"/>
        <v>-143.40920146371911</v>
      </c>
      <c r="AV45" s="165">
        <v>0</v>
      </c>
      <c r="AW45" s="166">
        <f t="shared" si="24"/>
        <v>0</v>
      </c>
      <c r="AX45" s="33">
        <f>AT45-AV45+'Catch up Fee'!E45+AU45</f>
        <v>-2550.8492280767937</v>
      </c>
      <c r="AY45" s="167">
        <f t="shared" si="25"/>
        <v>-140.29670754422366</v>
      </c>
      <c r="AZ45" s="165">
        <v>0</v>
      </c>
      <c r="BA45" s="166">
        <f t="shared" si="26"/>
        <v>0</v>
      </c>
      <c r="BB45" s="33">
        <f>AX45-AZ45+'Catch up Fee'!E45+AY45</f>
        <v>-2491.1459356210175</v>
      </c>
      <c r="BC45" s="167">
        <f t="shared" si="27"/>
        <v>-137.01302645915595</v>
      </c>
      <c r="BD45" s="165">
        <f>'2018-2019 B STATEMENT '!B555</f>
        <v>2200</v>
      </c>
      <c r="BE45" s="166">
        <f t="shared" si="28"/>
        <v>21.779999999999998</v>
      </c>
      <c r="BF45" s="33">
        <f>BB45-BD45+'Catch up Fee'!E45+BC45</f>
        <v>-4628.1589620801742</v>
      </c>
      <c r="BG45" s="167">
        <f t="shared" si="29"/>
        <v>-375.54874291440956</v>
      </c>
      <c r="BH45" s="165">
        <v>0</v>
      </c>
      <c r="BI45" s="166">
        <f t="shared" si="30"/>
        <v>0</v>
      </c>
      <c r="BJ45" s="33">
        <f>BF45-BH45+'Catch up Fee'!E45+BG45</f>
        <v>-4803.7077049945838</v>
      </c>
      <c r="BK45" s="167">
        <f t="shared" si="31"/>
        <v>-264.2039237747021</v>
      </c>
      <c r="BL45" s="185">
        <f t="shared" si="32"/>
        <v>5400</v>
      </c>
    </row>
    <row r="46" spans="1:64">
      <c r="A46" s="10" t="s">
        <v>617</v>
      </c>
      <c r="B46" s="10" t="s">
        <v>151</v>
      </c>
      <c r="C46" s="80">
        <v>0</v>
      </c>
      <c r="D46" s="79">
        <f t="shared" si="0"/>
        <v>2400</v>
      </c>
      <c r="E46" s="79">
        <f>' 2018-2019'!J45</f>
        <v>2200</v>
      </c>
      <c r="F46" s="139">
        <f>' 2018-2019'!F46</f>
        <v>1600</v>
      </c>
      <c r="G46" s="78">
        <f t="shared" si="1"/>
        <v>2400</v>
      </c>
      <c r="H46" s="159">
        <f t="shared" si="2"/>
        <v>1200</v>
      </c>
      <c r="I46" s="78">
        <f t="shared" si="3"/>
        <v>1200</v>
      </c>
      <c r="J46" s="78">
        <f t="shared" si="36"/>
        <v>6044.5243775705112</v>
      </c>
      <c r="K46" s="157">
        <f t="shared" si="4"/>
        <v>11.879999999999999</v>
      </c>
      <c r="L46" s="157">
        <f t="shared" si="35"/>
        <v>65.346599999999995</v>
      </c>
      <c r="M46" s="78">
        <f t="shared" si="5"/>
        <v>2644.5243775705117</v>
      </c>
      <c r="N46" s="194">
        <f t="shared" si="6"/>
        <v>2644.5243775705117</v>
      </c>
      <c r="O46" s="78">
        <f t="shared" si="7"/>
        <v>-1391.0577775705117</v>
      </c>
      <c r="P46" s="165">
        <f>'2018-2019 B STATEMENT '!B333</f>
        <v>600</v>
      </c>
      <c r="Q46" s="166">
        <f t="shared" si="8"/>
        <v>5.9399999999999995</v>
      </c>
      <c r="R46" s="119">
        <f>E46+'Catch up Fee'!E46</f>
        <v>2400</v>
      </c>
      <c r="S46" s="167">
        <f t="shared" si="9"/>
        <v>99</v>
      </c>
      <c r="T46" s="165">
        <v>0</v>
      </c>
      <c r="U46" s="166">
        <f t="shared" si="10"/>
        <v>0</v>
      </c>
      <c r="V46" s="33">
        <f>R46-T46+'Catch up Fee'!E46+S46</f>
        <v>2699</v>
      </c>
      <c r="W46" s="167">
        <f t="shared" si="11"/>
        <v>148.44499999999999</v>
      </c>
      <c r="X46" s="165">
        <v>0</v>
      </c>
      <c r="Y46" s="166">
        <f t="shared" si="12"/>
        <v>0</v>
      </c>
      <c r="Z46" s="33">
        <f>V46-X46+'Catch up Fee'!E46+W46</f>
        <v>3047.4450000000002</v>
      </c>
      <c r="AA46" s="167">
        <f t="shared" si="13"/>
        <v>167.609475</v>
      </c>
      <c r="AB46" s="165">
        <v>0</v>
      </c>
      <c r="AC46" s="166">
        <f t="shared" si="14"/>
        <v>0</v>
      </c>
      <c r="AD46" s="33">
        <f>Z46-AB46+'Catch up Fee'!E46+AA46</f>
        <v>3415.0544750000004</v>
      </c>
      <c r="AE46" s="167">
        <f t="shared" si="15"/>
        <v>187.82799612500003</v>
      </c>
      <c r="AF46" s="165">
        <f>'2018-2019 B STATEMENT '!B437</f>
        <v>400</v>
      </c>
      <c r="AG46" s="166">
        <f t="shared" si="16"/>
        <v>3.9599999999999995</v>
      </c>
      <c r="AH46" s="33">
        <f>AD46-AF46+'Catch up Fee'!E46+AE46</f>
        <v>3402.8824711250004</v>
      </c>
      <c r="AI46" s="167">
        <f t="shared" si="17"/>
        <v>165.15853591187502</v>
      </c>
      <c r="AJ46" s="165">
        <v>0</v>
      </c>
      <c r="AK46" s="166">
        <f t="shared" si="18"/>
        <v>0</v>
      </c>
      <c r="AL46" s="33">
        <f>AH46-AJ46+'Catch up Fee'!E46+AI46</f>
        <v>3768.0410070368753</v>
      </c>
      <c r="AM46" s="167">
        <f t="shared" si="19"/>
        <v>207.24225538702814</v>
      </c>
      <c r="AN46" s="165">
        <f>'2018-2019 B STATEMENT '!B492</f>
        <v>200</v>
      </c>
      <c r="AO46" s="166">
        <f t="shared" si="20"/>
        <v>1.9799999999999998</v>
      </c>
      <c r="AP46" s="33">
        <f>AL46-AN46+'Catch up Fee'!E46+AM46</f>
        <v>3975.2832624239036</v>
      </c>
      <c r="AQ46" s="167">
        <f t="shared" si="21"/>
        <v>207.64057943331468</v>
      </c>
      <c r="AR46" s="165">
        <v>0</v>
      </c>
      <c r="AS46" s="166">
        <f t="shared" si="22"/>
        <v>0</v>
      </c>
      <c r="AT46" s="33">
        <f>AP46-AR46+'Catch up Fee'!E46+AQ46</f>
        <v>4382.9238418572186</v>
      </c>
      <c r="AU46" s="167">
        <f t="shared" si="23"/>
        <v>241.06081130214702</v>
      </c>
      <c r="AV46" s="165">
        <v>0</v>
      </c>
      <c r="AW46" s="166">
        <f t="shared" si="24"/>
        <v>0</v>
      </c>
      <c r="AX46" s="33">
        <f>AT46-AV46+'Catch up Fee'!E46+AU46</f>
        <v>4823.9846531593657</v>
      </c>
      <c r="AY46" s="167">
        <f t="shared" si="25"/>
        <v>265.31915592376509</v>
      </c>
      <c r="AZ46" s="165">
        <v>0</v>
      </c>
      <c r="BA46" s="166">
        <f t="shared" si="26"/>
        <v>0</v>
      </c>
      <c r="BB46" s="33">
        <f>AX46-AZ46+'Catch up Fee'!E46+AY46</f>
        <v>5289.3038090831305</v>
      </c>
      <c r="BC46" s="167">
        <f t="shared" si="27"/>
        <v>290.91170949957217</v>
      </c>
      <c r="BD46" s="165">
        <v>0</v>
      </c>
      <c r="BE46" s="166">
        <f t="shared" si="28"/>
        <v>0</v>
      </c>
      <c r="BF46" s="33">
        <f>BB46-BD46+'Catch up Fee'!E46+BC46</f>
        <v>5780.2155185827023</v>
      </c>
      <c r="BG46" s="167">
        <f t="shared" si="29"/>
        <v>317.9118535220486</v>
      </c>
      <c r="BH46" s="165">
        <v>0</v>
      </c>
      <c r="BI46" s="166">
        <f t="shared" si="30"/>
        <v>0</v>
      </c>
      <c r="BJ46" s="33">
        <f>BF46-BH46+'Catch up Fee'!E46+BG46</f>
        <v>6298.127372104751</v>
      </c>
      <c r="BK46" s="167">
        <f t="shared" si="31"/>
        <v>346.39700546576131</v>
      </c>
      <c r="BL46" s="185">
        <f t="shared" si="32"/>
        <v>1200</v>
      </c>
    </row>
    <row r="47" spans="1:64">
      <c r="A47" s="10" t="s">
        <v>618</v>
      </c>
      <c r="B47" s="10" t="s">
        <v>116</v>
      </c>
      <c r="C47" s="80">
        <v>0</v>
      </c>
      <c r="D47" s="79">
        <f t="shared" si="0"/>
        <v>2400</v>
      </c>
      <c r="E47" s="79">
        <f>' 2018-2019'!J46</f>
        <v>1500</v>
      </c>
      <c r="F47" s="139">
        <f>' 2018-2019'!F47</f>
        <v>0</v>
      </c>
      <c r="G47" s="78">
        <f t="shared" si="1"/>
        <v>2400</v>
      </c>
      <c r="H47" s="159">
        <f t="shared" si="2"/>
        <v>0</v>
      </c>
      <c r="I47" s="78">
        <f t="shared" si="3"/>
        <v>2400</v>
      </c>
      <c r="J47" s="78">
        <f t="shared" si="33"/>
        <v>6309.1708558230721</v>
      </c>
      <c r="K47" s="157">
        <f t="shared" si="4"/>
        <v>0</v>
      </c>
      <c r="L47" s="157">
        <f t="shared" si="35"/>
        <v>0</v>
      </c>
      <c r="M47" s="78">
        <f t="shared" si="5"/>
        <v>2409.1708558230721</v>
      </c>
      <c r="N47" s="194">
        <f t="shared" si="6"/>
        <v>2409.1708558230721</v>
      </c>
      <c r="O47" s="78">
        <f t="shared" si="7"/>
        <v>-2409.1708558230721</v>
      </c>
      <c r="P47" s="165">
        <v>0</v>
      </c>
      <c r="Q47" s="166">
        <f t="shared" si="8"/>
        <v>0</v>
      </c>
      <c r="R47" s="119">
        <f>E47+'Catch up Fee'!E47</f>
        <v>1700</v>
      </c>
      <c r="S47" s="167">
        <f t="shared" si="9"/>
        <v>93.5</v>
      </c>
      <c r="T47" s="165">
        <v>0</v>
      </c>
      <c r="U47" s="166">
        <f t="shared" si="10"/>
        <v>0</v>
      </c>
      <c r="V47" s="33">
        <f>R47-T47+'Catch up Fee'!E47+S47</f>
        <v>1993.5</v>
      </c>
      <c r="W47" s="167">
        <f t="shared" si="11"/>
        <v>109.6425</v>
      </c>
      <c r="X47" s="165">
        <v>0</v>
      </c>
      <c r="Y47" s="166">
        <f t="shared" si="12"/>
        <v>0</v>
      </c>
      <c r="Z47" s="33">
        <f>V47-X47+'Catch up Fee'!E47+W47</f>
        <v>2303.1424999999999</v>
      </c>
      <c r="AA47" s="167">
        <f t="shared" si="13"/>
        <v>126.6728375</v>
      </c>
      <c r="AB47" s="165">
        <v>0</v>
      </c>
      <c r="AC47" s="166">
        <f t="shared" si="14"/>
        <v>0</v>
      </c>
      <c r="AD47" s="33">
        <f>Z47-AB47+'Catch up Fee'!E47+AA47</f>
        <v>2629.8153374999997</v>
      </c>
      <c r="AE47" s="167">
        <f t="shared" si="15"/>
        <v>144.63984356249998</v>
      </c>
      <c r="AF47" s="165">
        <v>0</v>
      </c>
      <c r="AG47" s="166">
        <f t="shared" si="16"/>
        <v>0</v>
      </c>
      <c r="AH47" s="33">
        <f>AD47-AF47+'Catch up Fee'!E47+AE47</f>
        <v>2974.4551810624998</v>
      </c>
      <c r="AI47" s="167">
        <f t="shared" si="17"/>
        <v>163.59503495843748</v>
      </c>
      <c r="AJ47" s="165">
        <v>0</v>
      </c>
      <c r="AK47" s="166">
        <f t="shared" si="18"/>
        <v>0</v>
      </c>
      <c r="AL47" s="33">
        <f>AH47-AJ47+'Catch up Fee'!E47+AI47</f>
        <v>3338.0502160209371</v>
      </c>
      <c r="AM47" s="167">
        <f t="shared" si="19"/>
        <v>183.59276188115155</v>
      </c>
      <c r="AN47" s="165">
        <v>0</v>
      </c>
      <c r="AO47" s="166">
        <f t="shared" si="20"/>
        <v>0</v>
      </c>
      <c r="AP47" s="33">
        <f>AL47-AN47+'Catch up Fee'!E47+AM47</f>
        <v>3721.6429779020887</v>
      </c>
      <c r="AQ47" s="167">
        <f t="shared" si="21"/>
        <v>204.69036378461487</v>
      </c>
      <c r="AR47" s="165">
        <v>0</v>
      </c>
      <c r="AS47" s="166">
        <f t="shared" si="22"/>
        <v>0</v>
      </c>
      <c r="AT47" s="33">
        <f>AP47-AR47+'Catch up Fee'!E47+AQ47</f>
        <v>4126.3333416867035</v>
      </c>
      <c r="AU47" s="167">
        <f t="shared" si="23"/>
        <v>226.94833379276869</v>
      </c>
      <c r="AV47" s="165">
        <v>0</v>
      </c>
      <c r="AW47" s="166">
        <f t="shared" si="24"/>
        <v>0</v>
      </c>
      <c r="AX47" s="33">
        <f>AT47-AV47+'Catch up Fee'!E47+AU47</f>
        <v>4553.2816754794721</v>
      </c>
      <c r="AY47" s="167">
        <f t="shared" si="25"/>
        <v>250.43049215137097</v>
      </c>
      <c r="AZ47" s="165">
        <v>0</v>
      </c>
      <c r="BA47" s="166">
        <f t="shared" si="26"/>
        <v>0</v>
      </c>
      <c r="BB47" s="33">
        <f>AX47-AZ47+'Catch up Fee'!E47+AY47</f>
        <v>5003.7121676308434</v>
      </c>
      <c r="BC47" s="167">
        <f t="shared" si="27"/>
        <v>275.20416921969638</v>
      </c>
      <c r="BD47" s="165">
        <v>0</v>
      </c>
      <c r="BE47" s="166">
        <f t="shared" si="28"/>
        <v>0</v>
      </c>
      <c r="BF47" s="33">
        <f>BB47-BD47+'Catch up Fee'!E47+BC47</f>
        <v>5478.9163368505397</v>
      </c>
      <c r="BG47" s="167">
        <f t="shared" si="29"/>
        <v>301.34039852677967</v>
      </c>
      <c r="BH47" s="165">
        <v>0</v>
      </c>
      <c r="BI47" s="166">
        <f t="shared" si="30"/>
        <v>0</v>
      </c>
      <c r="BJ47" s="33">
        <f>BF47-BH47+'Catch up Fee'!E47+BG47</f>
        <v>5980.2567353773193</v>
      </c>
      <c r="BK47" s="167">
        <f t="shared" si="31"/>
        <v>328.91412044575259</v>
      </c>
      <c r="BL47" s="185">
        <f t="shared" si="32"/>
        <v>0</v>
      </c>
    </row>
    <row r="48" spans="1:64">
      <c r="A48" s="10" t="s">
        <v>619</v>
      </c>
      <c r="B48" s="10" t="s">
        <v>135</v>
      </c>
      <c r="C48" s="80">
        <v>0</v>
      </c>
      <c r="D48" s="79">
        <f t="shared" si="0"/>
        <v>2400</v>
      </c>
      <c r="E48" s="79">
        <f>' 2018-2019'!J47</f>
        <v>-100</v>
      </c>
      <c r="F48" s="139">
        <f>' 2018-2019'!F48</f>
        <v>400</v>
      </c>
      <c r="G48" s="78">
        <f t="shared" si="1"/>
        <v>2400</v>
      </c>
      <c r="H48" s="159">
        <f t="shared" si="2"/>
        <v>2600</v>
      </c>
      <c r="I48" s="78">
        <f t="shared" si="3"/>
        <v>-200</v>
      </c>
      <c r="J48" s="78">
        <f>I48+M48+E48</f>
        <v>-569.32881833039869</v>
      </c>
      <c r="K48" s="157">
        <f t="shared" si="4"/>
        <v>25.740000000000002</v>
      </c>
      <c r="L48" s="157">
        <f t="shared" si="35"/>
        <v>141.58430000000001</v>
      </c>
      <c r="M48" s="78">
        <f t="shared" si="5"/>
        <v>-269.32881833039869</v>
      </c>
      <c r="N48" s="194">
        <f t="shared" si="6"/>
        <v>-269.32881833039869</v>
      </c>
      <c r="O48" s="78">
        <f t="shared" si="7"/>
        <v>2985.1731183303987</v>
      </c>
      <c r="P48" s="165">
        <f>'2018-2019 B STATEMENT '!B323</f>
        <v>200</v>
      </c>
      <c r="Q48" s="166">
        <f t="shared" si="8"/>
        <v>1.9799999999999998</v>
      </c>
      <c r="R48" s="119">
        <f>E48+'Catch up Fee'!E48</f>
        <v>100</v>
      </c>
      <c r="S48" s="167">
        <f t="shared" si="9"/>
        <v>-5.5</v>
      </c>
      <c r="T48" s="165">
        <f>'2018-2019 B STATEMENT '!B353</f>
        <v>400</v>
      </c>
      <c r="U48" s="166">
        <f t="shared" si="10"/>
        <v>3.9599999999999995</v>
      </c>
      <c r="V48" s="33">
        <f>R48-T48+'Catch up Fee'!E48+S48</f>
        <v>-105.5</v>
      </c>
      <c r="W48" s="167">
        <f t="shared" si="11"/>
        <v>-27.802499999999998</v>
      </c>
      <c r="X48" s="165">
        <f>'2018-2019 B STATEMENT '!B380</f>
        <v>200</v>
      </c>
      <c r="Y48" s="166">
        <f t="shared" si="12"/>
        <v>1.9799999999999998</v>
      </c>
      <c r="Z48" s="33">
        <f>V48-X48+'Catch up Fee'!E48+W48</f>
        <v>-133.30250000000001</v>
      </c>
      <c r="AA48" s="167">
        <f t="shared" si="13"/>
        <v>-18.331637499999999</v>
      </c>
      <c r="AB48" s="165">
        <f>'2018-2019 B STATEMENT '!B411</f>
        <v>200</v>
      </c>
      <c r="AC48" s="166">
        <f t="shared" si="14"/>
        <v>1.9799999999999998</v>
      </c>
      <c r="AD48" s="33">
        <f>Z48-AB48+'Catch up Fee'!E48+AA48</f>
        <v>-151.63413750000001</v>
      </c>
      <c r="AE48" s="167">
        <f t="shared" si="15"/>
        <v>-19.3398775625</v>
      </c>
      <c r="AF48" s="165">
        <f>'2018-2019 B STATEMENT '!B438</f>
        <v>200</v>
      </c>
      <c r="AG48" s="166">
        <f t="shared" si="16"/>
        <v>1.9799999999999998</v>
      </c>
      <c r="AH48" s="33">
        <f>AD48-AF48+'Catch up Fee'!E48+AE48</f>
        <v>-170.9740150625</v>
      </c>
      <c r="AI48" s="167">
        <f t="shared" si="17"/>
        <v>-20.403570828437502</v>
      </c>
      <c r="AJ48" s="165">
        <f>'2018-2019 B STATEMENT '!B456</f>
        <v>200</v>
      </c>
      <c r="AK48" s="166">
        <f t="shared" si="18"/>
        <v>1.9799999999999998</v>
      </c>
      <c r="AL48" s="33">
        <f>AH48-AJ48+'Catch up Fee'!E48+AI48</f>
        <v>-191.37758589093752</v>
      </c>
      <c r="AM48" s="167">
        <f t="shared" si="19"/>
        <v>-21.525767224001566</v>
      </c>
      <c r="AN48" s="165">
        <f>'2018-2019 B STATEMENT '!B484</f>
        <v>200</v>
      </c>
      <c r="AO48" s="166">
        <f t="shared" si="20"/>
        <v>1.9799999999999998</v>
      </c>
      <c r="AP48" s="33">
        <f>AL48-AN48+'Catch up Fee'!E48+AM48</f>
        <v>-212.90335311493911</v>
      </c>
      <c r="AQ48" s="167">
        <f t="shared" si="21"/>
        <v>-22.709684421321654</v>
      </c>
      <c r="AR48" s="165">
        <f>'2018-2019 B STATEMENT '!B500</f>
        <v>200</v>
      </c>
      <c r="AS48" s="166">
        <f t="shared" si="22"/>
        <v>1.9799999999999998</v>
      </c>
      <c r="AT48" s="33">
        <f>AP48-AR48+'Catch up Fee'!E48+AQ48</f>
        <v>-235.61303753626078</v>
      </c>
      <c r="AU48" s="167">
        <f t="shared" si="23"/>
        <v>-23.958717064494344</v>
      </c>
      <c r="AV48" s="165">
        <f>'2018-2019 B STATEMENT '!B526</f>
        <v>200</v>
      </c>
      <c r="AW48" s="166">
        <f t="shared" si="24"/>
        <v>1.9799999999999998</v>
      </c>
      <c r="AX48" s="33">
        <f>AT48-AV48+'Catch up Fee'!E48+AU48</f>
        <v>-259.57175460075513</v>
      </c>
      <c r="AY48" s="167">
        <f t="shared" si="25"/>
        <v>-25.276446503041534</v>
      </c>
      <c r="AZ48" s="165">
        <f>'2018-2019 B STATEMENT '!B541</f>
        <v>200</v>
      </c>
      <c r="BA48" s="166">
        <f t="shared" si="26"/>
        <v>1.9799999999999998</v>
      </c>
      <c r="BB48" s="33">
        <f>AX48-AZ48+'Catch up Fee'!E48+AY48</f>
        <v>-284.84820110379667</v>
      </c>
      <c r="BC48" s="167">
        <f t="shared" si="27"/>
        <v>-26.666651060708816</v>
      </c>
      <c r="BD48" s="165">
        <f>'2018-2019 B STATEMENT '!B560</f>
        <v>200</v>
      </c>
      <c r="BE48" s="166">
        <f t="shared" si="28"/>
        <v>1.9799999999999998</v>
      </c>
      <c r="BF48" s="33">
        <f>BB48-BD48+'Catch up Fee'!E48+BC48</f>
        <v>-311.5148521645055</v>
      </c>
      <c r="BG48" s="167">
        <f t="shared" si="29"/>
        <v>-28.133316869047803</v>
      </c>
      <c r="BH48" s="165">
        <f>'2018-2019 B STATEMENT '!B580</f>
        <v>200</v>
      </c>
      <c r="BI48" s="166">
        <f t="shared" si="30"/>
        <v>1.9799999999999998</v>
      </c>
      <c r="BJ48" s="33">
        <f>BF48-BH48+'Catch up Fee'!E48+BG48</f>
        <v>-339.6481690335533</v>
      </c>
      <c r="BK48" s="167">
        <f t="shared" si="31"/>
        <v>-29.680649296845434</v>
      </c>
      <c r="BL48" s="185">
        <f t="shared" si="32"/>
        <v>2600</v>
      </c>
    </row>
    <row r="49" spans="1:64">
      <c r="A49" s="10" t="s">
        <v>620</v>
      </c>
      <c r="B49" s="10" t="s">
        <v>115</v>
      </c>
      <c r="C49" s="80">
        <v>0</v>
      </c>
      <c r="D49" s="79">
        <f t="shared" si="0"/>
        <v>2400</v>
      </c>
      <c r="E49" s="79">
        <f>' 2018-2019'!J48</f>
        <v>-10</v>
      </c>
      <c r="F49" s="139">
        <f>' 2018-2019'!F49</f>
        <v>0</v>
      </c>
      <c r="G49" s="78">
        <f t="shared" si="1"/>
        <v>2400</v>
      </c>
      <c r="H49" s="159">
        <f t="shared" si="2"/>
        <v>1430</v>
      </c>
      <c r="I49" s="78">
        <f t="shared" si="3"/>
        <v>970</v>
      </c>
      <c r="J49" s="78">
        <f t="shared" si="33"/>
        <v>1273.9218881579479</v>
      </c>
      <c r="K49" s="157">
        <f t="shared" si="4"/>
        <v>14.156999999999998</v>
      </c>
      <c r="L49" s="157">
        <f t="shared" si="35"/>
        <v>77.871365000000011</v>
      </c>
      <c r="M49" s="78">
        <f t="shared" si="5"/>
        <v>313.92188815794793</v>
      </c>
      <c r="N49" s="194">
        <f t="shared" si="6"/>
        <v>313.92188815794793</v>
      </c>
      <c r="O49" s="78">
        <f t="shared" si="7"/>
        <v>1179.7924768420521</v>
      </c>
      <c r="P49" s="165">
        <v>0</v>
      </c>
      <c r="Q49" s="166">
        <f t="shared" si="8"/>
        <v>0</v>
      </c>
      <c r="R49" s="119">
        <f>E49+'Catch up Fee'!E49</f>
        <v>190</v>
      </c>
      <c r="S49" s="167">
        <f t="shared" si="9"/>
        <v>10.45</v>
      </c>
      <c r="T49" s="165">
        <f>'2018-2019 B STATEMENT '!B355</f>
        <v>210</v>
      </c>
      <c r="U49" s="166">
        <f t="shared" si="10"/>
        <v>2.0789999999999997</v>
      </c>
      <c r="V49" s="33">
        <f>R49-T49+'Catch up Fee'!E49+S49</f>
        <v>190.45</v>
      </c>
      <c r="W49" s="167">
        <f t="shared" si="11"/>
        <v>-1.0752500000000007</v>
      </c>
      <c r="X49" s="165">
        <f>'2018-2019 B STATEMENT '!B381</f>
        <v>210</v>
      </c>
      <c r="Y49" s="166">
        <f t="shared" si="12"/>
        <v>2.0789999999999997</v>
      </c>
      <c r="Z49" s="33">
        <f>V49-X49+'Catch up Fee'!E49+W49</f>
        <v>179.37474999999998</v>
      </c>
      <c r="AA49" s="167">
        <f t="shared" si="13"/>
        <v>-1.6843887500000012</v>
      </c>
      <c r="AB49" s="165">
        <v>0</v>
      </c>
      <c r="AC49" s="166">
        <f t="shared" si="14"/>
        <v>0</v>
      </c>
      <c r="AD49" s="33">
        <f>Z49-AB49+'Catch up Fee'!E49+AA49</f>
        <v>377.69036124999997</v>
      </c>
      <c r="AE49" s="167">
        <f t="shared" si="15"/>
        <v>20.77296986875</v>
      </c>
      <c r="AF49" s="165">
        <v>0</v>
      </c>
      <c r="AG49" s="166">
        <f t="shared" si="16"/>
        <v>0</v>
      </c>
      <c r="AH49" s="33">
        <f>AD49-AF49+'Catch up Fee'!E49+AE49</f>
        <v>598.46333111875003</v>
      </c>
      <c r="AI49" s="167">
        <f t="shared" si="17"/>
        <v>32.915483211531253</v>
      </c>
      <c r="AJ49" s="165">
        <v>0</v>
      </c>
      <c r="AK49" s="166">
        <f t="shared" si="18"/>
        <v>0</v>
      </c>
      <c r="AL49" s="33">
        <f>AH49-AJ49+'Catch up Fee'!E49+AI49</f>
        <v>831.37881433028133</v>
      </c>
      <c r="AM49" s="167">
        <f t="shared" si="19"/>
        <v>45.725834788165471</v>
      </c>
      <c r="AN49" s="165">
        <v>0</v>
      </c>
      <c r="AO49" s="166">
        <f t="shared" si="20"/>
        <v>0</v>
      </c>
      <c r="AP49" s="33">
        <f>AL49-AN49+'Catch up Fee'!E49+AM49</f>
        <v>1077.1046491184468</v>
      </c>
      <c r="AQ49" s="167">
        <f t="shared" si="21"/>
        <v>59.240755701514573</v>
      </c>
      <c r="AR49" s="165">
        <f>'2018-2019 B STATEMENT '!B508</f>
        <v>1010</v>
      </c>
      <c r="AS49" s="166">
        <f t="shared" si="22"/>
        <v>9.9989999999999988</v>
      </c>
      <c r="AT49" s="33">
        <f>AP49-AR49+'Catch up Fee'!E49+AQ49</f>
        <v>326.34540481996135</v>
      </c>
      <c r="AU49" s="167">
        <f t="shared" si="23"/>
        <v>-37.601002734902124</v>
      </c>
      <c r="AV49" s="165">
        <v>0</v>
      </c>
      <c r="AW49" s="166">
        <f t="shared" si="24"/>
        <v>0</v>
      </c>
      <c r="AX49" s="33">
        <f>AT49-AV49+'Catch up Fee'!E49+AU49</f>
        <v>488.74440208505922</v>
      </c>
      <c r="AY49" s="167">
        <f t="shared" si="25"/>
        <v>26.880942114678259</v>
      </c>
      <c r="AZ49" s="165">
        <v>0</v>
      </c>
      <c r="BA49" s="166">
        <f t="shared" si="26"/>
        <v>0</v>
      </c>
      <c r="BB49" s="33">
        <f>AX49-AZ49+'Catch up Fee'!E49+AY49</f>
        <v>715.62534419973747</v>
      </c>
      <c r="BC49" s="167">
        <f t="shared" si="27"/>
        <v>39.359393930985561</v>
      </c>
      <c r="BD49" s="165">
        <v>0</v>
      </c>
      <c r="BE49" s="166">
        <f t="shared" si="28"/>
        <v>0</v>
      </c>
      <c r="BF49" s="33">
        <f>BB49-BD49+'Catch up Fee'!E49+BC49</f>
        <v>954.98473813072303</v>
      </c>
      <c r="BG49" s="167">
        <f t="shared" si="29"/>
        <v>52.52416059718977</v>
      </c>
      <c r="BH49" s="165">
        <v>0</v>
      </c>
      <c r="BI49" s="166">
        <f t="shared" si="30"/>
        <v>0</v>
      </c>
      <c r="BJ49" s="33">
        <f>BF49-BH49+'Catch up Fee'!E49+BG49</f>
        <v>1207.508898727913</v>
      </c>
      <c r="BK49" s="167">
        <f t="shared" si="31"/>
        <v>66.412989430035211</v>
      </c>
      <c r="BL49" s="185">
        <f t="shared" si="32"/>
        <v>1430</v>
      </c>
    </row>
    <row r="50" spans="1:64">
      <c r="A50" s="10" t="s">
        <v>621</v>
      </c>
      <c r="B50" s="10" t="s">
        <v>126</v>
      </c>
      <c r="C50" s="80">
        <v>0</v>
      </c>
      <c r="D50" s="79">
        <f t="shared" si="0"/>
        <v>2400</v>
      </c>
      <c r="E50" s="79">
        <f>' 2018-2019'!J49</f>
        <v>-350</v>
      </c>
      <c r="F50" s="139">
        <f>' 2018-2019'!F50</f>
        <v>200</v>
      </c>
      <c r="G50" s="78">
        <f t="shared" si="1"/>
        <v>2400</v>
      </c>
      <c r="H50" s="159">
        <f t="shared" si="2"/>
        <v>0</v>
      </c>
      <c r="I50" s="78">
        <f t="shared" si="3"/>
        <v>2400</v>
      </c>
      <c r="J50" s="78">
        <f>I50+M50+E50</f>
        <v>2791.9370071689068</v>
      </c>
      <c r="K50" s="157">
        <f t="shared" si="4"/>
        <v>0</v>
      </c>
      <c r="L50" s="157">
        <f t="shared" si="35"/>
        <v>0</v>
      </c>
      <c r="M50" s="78">
        <f t="shared" si="5"/>
        <v>741.9370071689068</v>
      </c>
      <c r="N50" s="194">
        <f t="shared" si="6"/>
        <v>741.9370071689068</v>
      </c>
      <c r="O50" s="78">
        <f t="shared" si="7"/>
        <v>-741.9370071689068</v>
      </c>
      <c r="P50" s="165">
        <v>0</v>
      </c>
      <c r="Q50" s="166">
        <f t="shared" si="8"/>
        <v>0</v>
      </c>
      <c r="R50" s="119">
        <f>E50+'Catch up Fee'!E50</f>
        <v>-150</v>
      </c>
      <c r="S50" s="167">
        <f t="shared" si="9"/>
        <v>-8.25</v>
      </c>
      <c r="T50" s="165">
        <v>0</v>
      </c>
      <c r="U50" s="166">
        <f t="shared" si="10"/>
        <v>0</v>
      </c>
      <c r="V50" s="33">
        <f>R50-T50+'Catch up Fee'!E50+S50</f>
        <v>41.75</v>
      </c>
      <c r="W50" s="167">
        <f t="shared" si="11"/>
        <v>2.2962500000000001</v>
      </c>
      <c r="X50" s="165">
        <v>0</v>
      </c>
      <c r="Y50" s="166">
        <f t="shared" si="12"/>
        <v>0</v>
      </c>
      <c r="Z50" s="33">
        <f>V50-X50+'Catch up Fee'!E50+W50</f>
        <v>244.04624999999999</v>
      </c>
      <c r="AA50" s="167">
        <f t="shared" si="13"/>
        <v>13.422543749999999</v>
      </c>
      <c r="AB50" s="165">
        <v>0</v>
      </c>
      <c r="AC50" s="166">
        <f t="shared" si="14"/>
        <v>0</v>
      </c>
      <c r="AD50" s="33">
        <f>Z50-AB50+'Catch up Fee'!E50+AA50</f>
        <v>457.46879374999997</v>
      </c>
      <c r="AE50" s="167">
        <f t="shared" si="15"/>
        <v>25.16078365625</v>
      </c>
      <c r="AF50" s="165">
        <v>0</v>
      </c>
      <c r="AG50" s="166">
        <f t="shared" si="16"/>
        <v>0</v>
      </c>
      <c r="AH50" s="33">
        <f>AD50-AF50+'Catch up Fee'!E50+AE50</f>
        <v>682.62957740625006</v>
      </c>
      <c r="AI50" s="167">
        <f t="shared" si="17"/>
        <v>37.544626757343757</v>
      </c>
      <c r="AJ50" s="165">
        <v>0</v>
      </c>
      <c r="AK50" s="166">
        <f t="shared" si="18"/>
        <v>0</v>
      </c>
      <c r="AL50" s="33">
        <f>AH50-AJ50+'Catch up Fee'!E50+AI50</f>
        <v>920.1742041635938</v>
      </c>
      <c r="AM50" s="167">
        <f t="shared" si="19"/>
        <v>50.609581228997662</v>
      </c>
      <c r="AN50" s="165">
        <v>0</v>
      </c>
      <c r="AO50" s="166">
        <f t="shared" si="20"/>
        <v>0</v>
      </c>
      <c r="AP50" s="33">
        <f>AL50-AN50+'Catch up Fee'!E50+AM50</f>
        <v>1170.7837853925917</v>
      </c>
      <c r="AQ50" s="167">
        <f t="shared" si="21"/>
        <v>64.393108196592536</v>
      </c>
      <c r="AR50" s="165">
        <v>0</v>
      </c>
      <c r="AS50" s="166">
        <f t="shared" si="22"/>
        <v>0</v>
      </c>
      <c r="AT50" s="33">
        <f>AP50-AR50+'Catch up Fee'!E50+AQ50</f>
        <v>1435.1768935891841</v>
      </c>
      <c r="AU50" s="167">
        <f t="shared" si="23"/>
        <v>78.934729147405122</v>
      </c>
      <c r="AV50" s="165">
        <v>0</v>
      </c>
      <c r="AW50" s="166">
        <f t="shared" si="24"/>
        <v>0</v>
      </c>
      <c r="AX50" s="33">
        <f>AT50-AV50+'Catch up Fee'!E50+AU50</f>
        <v>1714.1116227365892</v>
      </c>
      <c r="AY50" s="167">
        <f t="shared" si="25"/>
        <v>94.276139250512401</v>
      </c>
      <c r="AZ50" s="165">
        <v>0</v>
      </c>
      <c r="BA50" s="166">
        <f t="shared" si="26"/>
        <v>0</v>
      </c>
      <c r="BB50" s="33">
        <f>AX50-AZ50+'Catch up Fee'!E50+AY50</f>
        <v>2008.3877619871016</v>
      </c>
      <c r="BC50" s="167">
        <f t="shared" si="27"/>
        <v>110.46132690929059</v>
      </c>
      <c r="BD50" s="165">
        <v>0</v>
      </c>
      <c r="BE50" s="166">
        <f t="shared" si="28"/>
        <v>0</v>
      </c>
      <c r="BF50" s="33">
        <f>BB50-BD50+'Catch up Fee'!E50+BC50</f>
        <v>2318.8490888963925</v>
      </c>
      <c r="BG50" s="167">
        <f t="shared" si="29"/>
        <v>127.53669988930159</v>
      </c>
      <c r="BH50" s="165">
        <v>0</v>
      </c>
      <c r="BI50" s="166">
        <f t="shared" si="30"/>
        <v>0</v>
      </c>
      <c r="BJ50" s="33">
        <f>BF50-BH50+'Catch up Fee'!E50+BG50</f>
        <v>2646.3857887856939</v>
      </c>
      <c r="BK50" s="167">
        <f t="shared" si="31"/>
        <v>145.55121838321315</v>
      </c>
      <c r="BL50" s="185">
        <f t="shared" si="32"/>
        <v>0</v>
      </c>
    </row>
    <row r="51" spans="1:64">
      <c r="A51" s="10" t="s">
        <v>622</v>
      </c>
      <c r="B51" s="10" t="s">
        <v>117</v>
      </c>
      <c r="C51" s="80">
        <v>0</v>
      </c>
      <c r="D51" s="79">
        <f t="shared" si="0"/>
        <v>2400</v>
      </c>
      <c r="E51" s="79">
        <f>' 2018-2019'!J50</f>
        <v>2000</v>
      </c>
      <c r="F51" s="139">
        <f>' 2018-2019'!F51</f>
        <v>0</v>
      </c>
      <c r="G51" s="78">
        <f t="shared" si="1"/>
        <v>2400</v>
      </c>
      <c r="H51" s="159">
        <f t="shared" si="2"/>
        <v>0</v>
      </c>
      <c r="I51" s="78">
        <f t="shared" si="3"/>
        <v>2400</v>
      </c>
      <c r="J51" s="78">
        <f t="shared" si="33"/>
        <v>7259.7745987025764</v>
      </c>
      <c r="K51" s="157">
        <f t="shared" si="4"/>
        <v>0</v>
      </c>
      <c r="L51" s="157">
        <f t="shared" si="35"/>
        <v>0</v>
      </c>
      <c r="M51" s="78">
        <f t="shared" si="5"/>
        <v>2859.7745987025764</v>
      </c>
      <c r="N51" s="194">
        <f t="shared" si="6"/>
        <v>2859.7745987025764</v>
      </c>
      <c r="O51" s="78">
        <f t="shared" si="7"/>
        <v>-2859.7745987025764</v>
      </c>
      <c r="P51" s="165">
        <v>0</v>
      </c>
      <c r="Q51" s="166">
        <f t="shared" si="8"/>
        <v>0</v>
      </c>
      <c r="R51" s="119">
        <f>E51+'Catch up Fee'!E51</f>
        <v>2200</v>
      </c>
      <c r="S51" s="167">
        <f t="shared" si="9"/>
        <v>121</v>
      </c>
      <c r="T51" s="165">
        <v>0</v>
      </c>
      <c r="U51" s="166">
        <f t="shared" si="10"/>
        <v>0</v>
      </c>
      <c r="V51" s="33">
        <f>R51-T51+'Catch up Fee'!E51+S51</f>
        <v>2521</v>
      </c>
      <c r="W51" s="167">
        <f t="shared" si="11"/>
        <v>138.655</v>
      </c>
      <c r="X51" s="165">
        <v>0</v>
      </c>
      <c r="Y51" s="166">
        <f t="shared" si="12"/>
        <v>0</v>
      </c>
      <c r="Z51" s="33">
        <f>V51-X51+'Catch up Fee'!E51+W51</f>
        <v>2859.6550000000002</v>
      </c>
      <c r="AA51" s="167">
        <f t="shared" si="13"/>
        <v>157.281025</v>
      </c>
      <c r="AB51" s="165">
        <v>0</v>
      </c>
      <c r="AC51" s="166">
        <f t="shared" si="14"/>
        <v>0</v>
      </c>
      <c r="AD51" s="33">
        <f>Z51-AB51+'Catch up Fee'!E51+AA51</f>
        <v>3216.936025</v>
      </c>
      <c r="AE51" s="167">
        <f t="shared" si="15"/>
        <v>176.931481375</v>
      </c>
      <c r="AF51" s="165">
        <v>0</v>
      </c>
      <c r="AG51" s="166">
        <f t="shared" si="16"/>
        <v>0</v>
      </c>
      <c r="AH51" s="33">
        <f>AD51-AF51+'Catch up Fee'!E51+AE51</f>
        <v>3593.8675063750002</v>
      </c>
      <c r="AI51" s="167">
        <f t="shared" si="17"/>
        <v>197.66271285062501</v>
      </c>
      <c r="AJ51" s="165">
        <v>0</v>
      </c>
      <c r="AK51" s="166">
        <f t="shared" si="18"/>
        <v>0</v>
      </c>
      <c r="AL51" s="33">
        <f>AH51-AJ51+'Catch up Fee'!E51+AI51</f>
        <v>3991.5302192256254</v>
      </c>
      <c r="AM51" s="167">
        <f t="shared" si="19"/>
        <v>219.53416205740939</v>
      </c>
      <c r="AN51" s="165">
        <v>0</v>
      </c>
      <c r="AO51" s="166">
        <f t="shared" si="20"/>
        <v>0</v>
      </c>
      <c r="AP51" s="33">
        <f>AL51-AN51+'Catch up Fee'!E51+AM51</f>
        <v>4411.0643812830349</v>
      </c>
      <c r="AQ51" s="167">
        <f t="shared" si="21"/>
        <v>242.60854097056691</v>
      </c>
      <c r="AR51" s="165">
        <v>0</v>
      </c>
      <c r="AS51" s="166">
        <f t="shared" si="22"/>
        <v>0</v>
      </c>
      <c r="AT51" s="33">
        <f>AP51-AR51+'Catch up Fee'!E51+AQ51</f>
        <v>4853.6729222536014</v>
      </c>
      <c r="AU51" s="167">
        <f t="shared" si="23"/>
        <v>266.95201072394809</v>
      </c>
      <c r="AV51" s="165">
        <v>0</v>
      </c>
      <c r="AW51" s="166">
        <f t="shared" si="24"/>
        <v>0</v>
      </c>
      <c r="AX51" s="33">
        <f>AT51-AV51+'Catch up Fee'!E51+AU51</f>
        <v>5320.6249329775492</v>
      </c>
      <c r="AY51" s="167">
        <f t="shared" si="25"/>
        <v>292.6343713137652</v>
      </c>
      <c r="AZ51" s="165">
        <v>0</v>
      </c>
      <c r="BA51" s="166">
        <f t="shared" si="26"/>
        <v>0</v>
      </c>
      <c r="BB51" s="33">
        <f>AX51-AZ51+'Catch up Fee'!E51+AY51</f>
        <v>5813.259304291314</v>
      </c>
      <c r="BC51" s="167">
        <f t="shared" si="27"/>
        <v>319.72926173602229</v>
      </c>
      <c r="BD51" s="165">
        <v>0</v>
      </c>
      <c r="BE51" s="166">
        <f t="shared" si="28"/>
        <v>0</v>
      </c>
      <c r="BF51" s="33">
        <f>BB51-BD51+'Catch up Fee'!E51+BC51</f>
        <v>6332.9885660273367</v>
      </c>
      <c r="BG51" s="167">
        <f t="shared" si="29"/>
        <v>348.31437113150349</v>
      </c>
      <c r="BH51" s="165">
        <v>0</v>
      </c>
      <c r="BI51" s="166">
        <f t="shared" si="30"/>
        <v>0</v>
      </c>
      <c r="BJ51" s="33">
        <f>BF51-BH51+'Catch up Fee'!E51+BG51</f>
        <v>6881.30293715884</v>
      </c>
      <c r="BK51" s="167">
        <f t="shared" si="31"/>
        <v>378.47166154373622</v>
      </c>
      <c r="BL51" s="185">
        <f t="shared" si="32"/>
        <v>0</v>
      </c>
    </row>
    <row r="52" spans="1:64">
      <c r="A52" s="10" t="s">
        <v>623</v>
      </c>
      <c r="B52" s="10" t="s">
        <v>112</v>
      </c>
      <c r="C52" s="80">
        <v>0</v>
      </c>
      <c r="D52" s="79">
        <f t="shared" si="0"/>
        <v>2400</v>
      </c>
      <c r="E52" s="79">
        <f>' 2018-2019'!J51</f>
        <v>1500</v>
      </c>
      <c r="F52" s="139">
        <f>' 2018-2019'!F52</f>
        <v>0</v>
      </c>
      <c r="G52" s="78">
        <f t="shared" si="1"/>
        <v>2400</v>
      </c>
      <c r="H52" s="159">
        <f t="shared" si="2"/>
        <v>100</v>
      </c>
      <c r="I52" s="78">
        <f t="shared" si="3"/>
        <v>2300</v>
      </c>
      <c r="J52" s="78">
        <f t="shared" si="33"/>
        <v>6199.2593476034763</v>
      </c>
      <c r="K52" s="157">
        <f t="shared" si="4"/>
        <v>0.98999999999999988</v>
      </c>
      <c r="L52" s="157">
        <f t="shared" si="35"/>
        <v>5.4455499999999999</v>
      </c>
      <c r="M52" s="78">
        <f t="shared" si="5"/>
        <v>2399.2593476034763</v>
      </c>
      <c r="N52" s="194">
        <f t="shared" si="6"/>
        <v>2399.2593476034763</v>
      </c>
      <c r="O52" s="78">
        <f t="shared" si="7"/>
        <v>-2294.8037976034761</v>
      </c>
      <c r="P52" s="165">
        <f>'2018-2019 B STATEMENT '!B319</f>
        <v>100</v>
      </c>
      <c r="Q52" s="166">
        <f t="shared" si="8"/>
        <v>0.98999999999999988</v>
      </c>
      <c r="R52" s="119">
        <f>E52+'Catch up Fee'!E52</f>
        <v>1700</v>
      </c>
      <c r="S52" s="167">
        <f t="shared" si="9"/>
        <v>88</v>
      </c>
      <c r="T52" s="165">
        <v>0</v>
      </c>
      <c r="U52" s="166">
        <f t="shared" si="10"/>
        <v>0</v>
      </c>
      <c r="V52" s="33">
        <f>R52-T52+'Catch up Fee'!E52+S52</f>
        <v>1988</v>
      </c>
      <c r="W52" s="167">
        <f t="shared" si="11"/>
        <v>109.34</v>
      </c>
      <c r="X52" s="165">
        <v>0</v>
      </c>
      <c r="Y52" s="166">
        <f t="shared" si="12"/>
        <v>0</v>
      </c>
      <c r="Z52" s="33">
        <f>V52-X52+'Catch up Fee'!E52+W52</f>
        <v>2297.34</v>
      </c>
      <c r="AA52" s="167">
        <f t="shared" si="13"/>
        <v>126.3537</v>
      </c>
      <c r="AB52" s="165">
        <v>0</v>
      </c>
      <c r="AC52" s="166">
        <f t="shared" si="14"/>
        <v>0</v>
      </c>
      <c r="AD52" s="33">
        <f>Z52-AB52+'Catch up Fee'!E52+AA52</f>
        <v>2623.6937000000003</v>
      </c>
      <c r="AE52" s="167">
        <f t="shared" si="15"/>
        <v>144.30315350000001</v>
      </c>
      <c r="AF52" s="165">
        <v>0</v>
      </c>
      <c r="AG52" s="166">
        <f t="shared" si="16"/>
        <v>0</v>
      </c>
      <c r="AH52" s="33">
        <f>AD52-AF52+'Catch up Fee'!E52+AE52</f>
        <v>2967.9968535000003</v>
      </c>
      <c r="AI52" s="167">
        <f t="shared" si="17"/>
        <v>163.2398269425</v>
      </c>
      <c r="AJ52" s="165">
        <v>0</v>
      </c>
      <c r="AK52" s="166">
        <f t="shared" si="18"/>
        <v>0</v>
      </c>
      <c r="AL52" s="33">
        <f>AH52-AJ52+'Catch up Fee'!E52+AI52</f>
        <v>3331.2366804425001</v>
      </c>
      <c r="AM52" s="167">
        <f t="shared" si="19"/>
        <v>183.21801742433752</v>
      </c>
      <c r="AN52" s="165">
        <v>0</v>
      </c>
      <c r="AO52" s="166">
        <f t="shared" si="20"/>
        <v>0</v>
      </c>
      <c r="AP52" s="33">
        <f>AL52-AN52+'Catch up Fee'!E52+AM52</f>
        <v>3714.4546978668377</v>
      </c>
      <c r="AQ52" s="167">
        <f t="shared" si="21"/>
        <v>204.29500838267609</v>
      </c>
      <c r="AR52" s="165">
        <v>0</v>
      </c>
      <c r="AS52" s="166">
        <f t="shared" si="22"/>
        <v>0</v>
      </c>
      <c r="AT52" s="33">
        <f>AP52-AR52+'Catch up Fee'!E52+AQ52</f>
        <v>4118.749706249514</v>
      </c>
      <c r="AU52" s="167">
        <f t="shared" si="23"/>
        <v>226.53123384372327</v>
      </c>
      <c r="AV52" s="165">
        <v>0</v>
      </c>
      <c r="AW52" s="166">
        <f t="shared" si="24"/>
        <v>0</v>
      </c>
      <c r="AX52" s="33">
        <f>AT52-AV52+'Catch up Fee'!E52+AU52</f>
        <v>4545.2809400932374</v>
      </c>
      <c r="AY52" s="167">
        <f t="shared" si="25"/>
        <v>249.99045170512807</v>
      </c>
      <c r="AZ52" s="165">
        <v>0</v>
      </c>
      <c r="BA52" s="166">
        <f t="shared" si="26"/>
        <v>0</v>
      </c>
      <c r="BB52" s="33">
        <f>AX52-AZ52+'Catch up Fee'!E52+AY52</f>
        <v>4995.2713917983656</v>
      </c>
      <c r="BC52" s="167">
        <f t="shared" si="27"/>
        <v>274.73992654891009</v>
      </c>
      <c r="BD52" s="165">
        <v>0</v>
      </c>
      <c r="BE52" s="166">
        <f t="shared" si="28"/>
        <v>0</v>
      </c>
      <c r="BF52" s="33">
        <f>BB52-BD52+'Catch up Fee'!E52+BC52</f>
        <v>5470.0113183472758</v>
      </c>
      <c r="BG52" s="167">
        <f t="shared" si="29"/>
        <v>300.85062250910016</v>
      </c>
      <c r="BH52" s="165">
        <v>0</v>
      </c>
      <c r="BI52" s="166">
        <f t="shared" si="30"/>
        <v>0</v>
      </c>
      <c r="BJ52" s="33">
        <f>BF52-BH52+'Catch up Fee'!E52+BG52</f>
        <v>5970.8619408563763</v>
      </c>
      <c r="BK52" s="167">
        <f t="shared" si="31"/>
        <v>328.39740674710072</v>
      </c>
      <c r="BL52" s="185">
        <f t="shared" si="32"/>
        <v>100</v>
      </c>
    </row>
    <row r="53" spans="1:64">
      <c r="A53" s="10" t="s">
        <v>624</v>
      </c>
      <c r="B53" s="10" t="s">
        <v>117</v>
      </c>
      <c r="C53" s="80">
        <v>0</v>
      </c>
      <c r="D53" s="79">
        <f t="shared" si="0"/>
        <v>2400</v>
      </c>
      <c r="E53" s="79">
        <f>' 2018-2019'!J52</f>
        <v>2350</v>
      </c>
      <c r="F53" s="139">
        <f>' 2018-2019'!F53</f>
        <v>0</v>
      </c>
      <c r="G53" s="78">
        <f t="shared" si="1"/>
        <v>2400</v>
      </c>
      <c r="H53" s="159">
        <f t="shared" si="2"/>
        <v>4900</v>
      </c>
      <c r="I53" s="78">
        <f t="shared" si="3"/>
        <v>-2500</v>
      </c>
      <c r="J53" s="78">
        <f t="shared" si="33"/>
        <v>1638.2981887182295</v>
      </c>
      <c r="K53" s="157">
        <f t="shared" si="4"/>
        <v>48.509999999999991</v>
      </c>
      <c r="L53" s="157">
        <f t="shared" si="35"/>
        <v>266.83195000000001</v>
      </c>
      <c r="M53" s="78">
        <f t="shared" si="5"/>
        <v>1788.2981887182295</v>
      </c>
      <c r="N53" s="194">
        <f t="shared" si="6"/>
        <v>1788.2981887182295</v>
      </c>
      <c r="O53" s="78">
        <f t="shared" si="7"/>
        <v>3330.02376128177</v>
      </c>
      <c r="P53" s="165">
        <v>0</v>
      </c>
      <c r="Q53" s="166">
        <f t="shared" si="8"/>
        <v>0</v>
      </c>
      <c r="R53" s="119">
        <f>E53+'Catch up Fee'!E53</f>
        <v>2550</v>
      </c>
      <c r="S53" s="167">
        <f t="shared" si="9"/>
        <v>140.25</v>
      </c>
      <c r="T53" s="165">
        <v>0</v>
      </c>
      <c r="U53" s="166">
        <f t="shared" si="10"/>
        <v>0</v>
      </c>
      <c r="V53" s="33">
        <f>R53-T53+'Catch up Fee'!E53+S53</f>
        <v>2890.25</v>
      </c>
      <c r="W53" s="167">
        <f t="shared" si="11"/>
        <v>158.96375</v>
      </c>
      <c r="X53" s="165">
        <v>0</v>
      </c>
      <c r="Y53" s="166">
        <f t="shared" si="12"/>
        <v>0</v>
      </c>
      <c r="Z53" s="33">
        <f>V53-X53+'Catch up Fee'!E53+W53</f>
        <v>3249.2137499999999</v>
      </c>
      <c r="AA53" s="167">
        <f t="shared" si="13"/>
        <v>178.70675624999998</v>
      </c>
      <c r="AB53" s="165">
        <v>0</v>
      </c>
      <c r="AC53" s="166">
        <f t="shared" si="14"/>
        <v>0</v>
      </c>
      <c r="AD53" s="33">
        <f>Z53-AB53+'Catch up Fee'!E53+AA53</f>
        <v>3627.92050625</v>
      </c>
      <c r="AE53" s="167">
        <f t="shared" si="15"/>
        <v>199.53562784375001</v>
      </c>
      <c r="AF53" s="165">
        <v>0</v>
      </c>
      <c r="AG53" s="166">
        <f t="shared" si="16"/>
        <v>0</v>
      </c>
      <c r="AH53" s="33">
        <f>AD53-AF53+'Catch up Fee'!E53+AE53</f>
        <v>4027.4561340937498</v>
      </c>
      <c r="AI53" s="167">
        <f t="shared" si="17"/>
        <v>221.51008737515625</v>
      </c>
      <c r="AJ53" s="165">
        <v>0</v>
      </c>
      <c r="AK53" s="166">
        <f t="shared" si="18"/>
        <v>0</v>
      </c>
      <c r="AL53" s="33">
        <f>AH53-AJ53+'Catch up Fee'!E53+AI53</f>
        <v>4448.966221468906</v>
      </c>
      <c r="AM53" s="167">
        <f t="shared" si="19"/>
        <v>244.69314218078983</v>
      </c>
      <c r="AN53" s="165">
        <v>0</v>
      </c>
      <c r="AO53" s="166">
        <f t="shared" si="20"/>
        <v>0</v>
      </c>
      <c r="AP53" s="33">
        <f>AL53-AN53+'Catch up Fee'!E53+AM53</f>
        <v>4893.6593636496955</v>
      </c>
      <c r="AQ53" s="167">
        <f t="shared" si="21"/>
        <v>269.15126500073325</v>
      </c>
      <c r="AR53" s="165">
        <v>0</v>
      </c>
      <c r="AS53" s="166">
        <f t="shared" si="22"/>
        <v>0</v>
      </c>
      <c r="AT53" s="33">
        <f>AP53-AR53+'Catch up Fee'!E53+AQ53</f>
        <v>5362.810628650429</v>
      </c>
      <c r="AU53" s="167">
        <f t="shared" si="23"/>
        <v>294.95458457577359</v>
      </c>
      <c r="AV53" s="165">
        <f>'2018-2019 B STATEMENT '!B522</f>
        <v>4000</v>
      </c>
      <c r="AW53" s="166">
        <f t="shared" si="24"/>
        <v>39.599999999999994</v>
      </c>
      <c r="AX53" s="33">
        <f>AT53-AV53+'Catch up Fee'!E53+AU53</f>
        <v>1857.7652132262026</v>
      </c>
      <c r="AY53" s="167">
        <f t="shared" si="25"/>
        <v>-117.82291327255885</v>
      </c>
      <c r="AZ53" s="165">
        <f>'2018-2019 B STATEMENT '!B534</f>
        <v>300</v>
      </c>
      <c r="BA53" s="166">
        <f t="shared" si="26"/>
        <v>2.9699999999999998</v>
      </c>
      <c r="BB53" s="33">
        <f>AX53-AZ53+'Catch up Fee'!E53+AY53</f>
        <v>1639.9422999536437</v>
      </c>
      <c r="BC53" s="167">
        <f t="shared" si="27"/>
        <v>73.696826497450402</v>
      </c>
      <c r="BD53" s="165">
        <f>'2018-2019 B STATEMENT '!B570</f>
        <v>600</v>
      </c>
      <c r="BE53" s="166">
        <f t="shared" si="28"/>
        <v>5.9399999999999995</v>
      </c>
      <c r="BF53" s="33">
        <f>BB53-BD53+'Catch up Fee'!E53+BC53</f>
        <v>1313.6391264510942</v>
      </c>
      <c r="BG53" s="167">
        <f t="shared" si="29"/>
        <v>39.250151954810178</v>
      </c>
      <c r="BH53" s="165">
        <v>0</v>
      </c>
      <c r="BI53" s="166">
        <f t="shared" si="30"/>
        <v>0</v>
      </c>
      <c r="BJ53" s="33">
        <f>BF53-BH53+'Catch up Fee'!E53+BG53</f>
        <v>1552.8892784059044</v>
      </c>
      <c r="BK53" s="167">
        <f t="shared" si="31"/>
        <v>85.40891031232475</v>
      </c>
      <c r="BL53" s="185">
        <f t="shared" si="32"/>
        <v>4900</v>
      </c>
    </row>
    <row r="54" spans="1:64">
      <c r="A54" s="10" t="s">
        <v>625</v>
      </c>
      <c r="B54" s="10" t="s">
        <v>116</v>
      </c>
      <c r="C54" s="80">
        <v>0</v>
      </c>
      <c r="D54" s="79">
        <f t="shared" si="0"/>
        <v>2400</v>
      </c>
      <c r="E54" s="79">
        <f>' 2018-2019'!J53</f>
        <v>2400</v>
      </c>
      <c r="F54" s="139">
        <f>' 2018-2019'!F54</f>
        <v>0</v>
      </c>
      <c r="G54" s="78">
        <f t="shared" si="1"/>
        <v>2400</v>
      </c>
      <c r="H54" s="159">
        <f t="shared" si="2"/>
        <v>3300</v>
      </c>
      <c r="I54" s="78">
        <f t="shared" si="3"/>
        <v>-900</v>
      </c>
      <c r="J54" s="78">
        <f t="shared" si="33"/>
        <v>3398.5649268938892</v>
      </c>
      <c r="K54" s="157">
        <f t="shared" si="4"/>
        <v>32.67</v>
      </c>
      <c r="L54" s="157">
        <f t="shared" si="35"/>
        <v>179.70314999999999</v>
      </c>
      <c r="M54" s="78">
        <f t="shared" si="5"/>
        <v>1898.5649268938892</v>
      </c>
      <c r="N54" s="194">
        <f t="shared" si="6"/>
        <v>1898.5649268938892</v>
      </c>
      <c r="O54" s="78">
        <f t="shared" si="7"/>
        <v>1548.4682231061108</v>
      </c>
      <c r="P54" s="165">
        <f>'2018-2019 B STATEMENT '!B330</f>
        <v>300</v>
      </c>
      <c r="Q54" s="166">
        <f t="shared" si="8"/>
        <v>2.9699999999999998</v>
      </c>
      <c r="R54" s="119">
        <f>E54+'Catch up Fee'!E54</f>
        <v>2600</v>
      </c>
      <c r="S54" s="167">
        <f t="shared" si="9"/>
        <v>126.5</v>
      </c>
      <c r="T54" s="165">
        <f>'2018-2019 B STATEMENT '!B362</f>
        <v>200</v>
      </c>
      <c r="U54" s="166">
        <f t="shared" si="10"/>
        <v>1.9799999999999998</v>
      </c>
      <c r="V54" s="33">
        <f>R54-T54+'Catch up Fee'!E54+S54</f>
        <v>2726.5</v>
      </c>
      <c r="W54" s="167">
        <f t="shared" si="11"/>
        <v>138.95750000000001</v>
      </c>
      <c r="X54" s="165">
        <f>'2018-2019 B STATEMENT '!B386</f>
        <v>200</v>
      </c>
      <c r="Y54" s="166">
        <f t="shared" si="12"/>
        <v>1.9799999999999998</v>
      </c>
      <c r="Z54" s="33">
        <f>V54-X54+'Catch up Fee'!E54+W54</f>
        <v>2865.4575</v>
      </c>
      <c r="AA54" s="167">
        <f t="shared" si="13"/>
        <v>146.60016250000001</v>
      </c>
      <c r="AB54" s="165">
        <f>'2018-2019 B STATEMENT '!B406</f>
        <v>200</v>
      </c>
      <c r="AC54" s="166">
        <f t="shared" si="14"/>
        <v>1.9799999999999998</v>
      </c>
      <c r="AD54" s="33">
        <f>Z54-AB54+'Catch up Fee'!E54+AA54</f>
        <v>3012.0576624999999</v>
      </c>
      <c r="AE54" s="167">
        <f t="shared" si="15"/>
        <v>154.66317143749998</v>
      </c>
      <c r="AF54" s="165">
        <f>'2018-2019 B STATEMENT '!B431</f>
        <v>600</v>
      </c>
      <c r="AG54" s="166">
        <f t="shared" si="16"/>
        <v>5.9399999999999995</v>
      </c>
      <c r="AH54" s="33">
        <f>AD54-AF54+'Catch up Fee'!E54+AE54</f>
        <v>2766.7208339374997</v>
      </c>
      <c r="AI54" s="167">
        <f t="shared" si="17"/>
        <v>119.16964586656249</v>
      </c>
      <c r="AJ54" s="165">
        <v>0</v>
      </c>
      <c r="AK54" s="166">
        <f t="shared" si="18"/>
        <v>0</v>
      </c>
      <c r="AL54" s="33">
        <f>AH54-AJ54+'Catch up Fee'!E54+AI54</f>
        <v>3085.8904798040621</v>
      </c>
      <c r="AM54" s="167">
        <f t="shared" si="19"/>
        <v>169.72397638922342</v>
      </c>
      <c r="AN54" s="165">
        <v>0</v>
      </c>
      <c r="AO54" s="166">
        <f t="shared" si="20"/>
        <v>0</v>
      </c>
      <c r="AP54" s="33">
        <f>AL54-AN54+'Catch up Fee'!E54+AM54</f>
        <v>3455.6144561932856</v>
      </c>
      <c r="AQ54" s="167">
        <f t="shared" si="21"/>
        <v>190.0587950906307</v>
      </c>
      <c r="AR54" s="165">
        <f>'2018-2019 B STATEMENT '!B503</f>
        <v>400</v>
      </c>
      <c r="AS54" s="166">
        <f t="shared" si="22"/>
        <v>3.9599999999999995</v>
      </c>
      <c r="AT54" s="33">
        <f>AP54-AR54+'Catch up Fee'!E54+AQ54</f>
        <v>3445.6732512839162</v>
      </c>
      <c r="AU54" s="167">
        <f t="shared" si="23"/>
        <v>167.5120288206154</v>
      </c>
      <c r="AV54" s="165">
        <f>'2018-2019 B STATEMENT '!B523</f>
        <v>400</v>
      </c>
      <c r="AW54" s="166">
        <f t="shared" si="24"/>
        <v>3.9599999999999995</v>
      </c>
      <c r="AX54" s="33">
        <f>AT54-AV54+'Catch up Fee'!E54+AU54</f>
        <v>3413.1852801045316</v>
      </c>
      <c r="AY54" s="167">
        <f t="shared" si="25"/>
        <v>165.72519040574923</v>
      </c>
      <c r="AZ54" s="165">
        <f>'2018-2019 B STATEMENT '!B535</f>
        <v>400</v>
      </c>
      <c r="BA54" s="166">
        <f t="shared" si="26"/>
        <v>3.9599999999999995</v>
      </c>
      <c r="BB54" s="33">
        <f>AX54-AZ54+'Catch up Fee'!E54+AY54</f>
        <v>3378.9104705102809</v>
      </c>
      <c r="BC54" s="167">
        <f t="shared" si="27"/>
        <v>163.84007587806545</v>
      </c>
      <c r="BD54" s="165">
        <f>'2018-2019 B STATEMENT '!B556</f>
        <v>200</v>
      </c>
      <c r="BE54" s="166">
        <f t="shared" si="28"/>
        <v>1.9799999999999998</v>
      </c>
      <c r="BF54" s="33">
        <f>BB54-BD54+'Catch up Fee'!E54+BC54</f>
        <v>3542.7505463883463</v>
      </c>
      <c r="BG54" s="167">
        <f t="shared" si="29"/>
        <v>183.85128005135905</v>
      </c>
      <c r="BH54" s="165">
        <f>'2018-2019 B STATEMENT '!B581</f>
        <v>400</v>
      </c>
      <c r="BI54" s="166">
        <f t="shared" si="30"/>
        <v>3.9599999999999995</v>
      </c>
      <c r="BJ54" s="33">
        <f>BF54-BH54+'Catch up Fee'!E54+BG54</f>
        <v>3526.6018264397053</v>
      </c>
      <c r="BK54" s="167">
        <f t="shared" si="31"/>
        <v>171.9631004541838</v>
      </c>
      <c r="BL54" s="185">
        <f t="shared" si="32"/>
        <v>3300</v>
      </c>
    </row>
    <row r="55" spans="1:64" s="134" customFormat="1">
      <c r="A55" s="10" t="s">
        <v>626</v>
      </c>
      <c r="B55" s="129" t="s">
        <v>124</v>
      </c>
      <c r="C55" s="130">
        <v>0</v>
      </c>
      <c r="D55" s="130">
        <f t="shared" si="0"/>
        <v>2400</v>
      </c>
      <c r="E55" s="130">
        <f>' 2018-2019'!J55</f>
        <v>1700</v>
      </c>
      <c r="F55" s="139">
        <f>' 2018-2019'!F55</f>
        <v>0</v>
      </c>
      <c r="G55" s="131">
        <f t="shared" si="1"/>
        <v>2400</v>
      </c>
      <c r="H55" s="159">
        <f t="shared" si="2"/>
        <v>3200</v>
      </c>
      <c r="I55" s="131">
        <f t="shared" si="3"/>
        <v>-800</v>
      </c>
      <c r="J55" s="78">
        <f t="shared" si="33"/>
        <v>2600.047200474874</v>
      </c>
      <c r="K55" s="157">
        <f t="shared" si="4"/>
        <v>31.679999999999996</v>
      </c>
      <c r="L55" s="157">
        <f t="shared" si="35"/>
        <v>174.2576</v>
      </c>
      <c r="M55" s="131">
        <f t="shared" si="5"/>
        <v>1700.047200474874</v>
      </c>
      <c r="N55" s="194">
        <f t="shared" si="6"/>
        <v>1700.047200474874</v>
      </c>
      <c r="O55" s="131">
        <f t="shared" si="7"/>
        <v>1642.5303995251261</v>
      </c>
      <c r="P55" s="165">
        <v>0</v>
      </c>
      <c r="Q55" s="166">
        <f t="shared" si="8"/>
        <v>0</v>
      </c>
      <c r="R55" s="119">
        <f>E55+'Catch up Fee'!E55</f>
        <v>1900</v>
      </c>
      <c r="S55" s="167">
        <f t="shared" si="9"/>
        <v>104.5</v>
      </c>
      <c r="T55" s="165">
        <v>0</v>
      </c>
      <c r="U55" s="166">
        <f t="shared" si="10"/>
        <v>0</v>
      </c>
      <c r="V55" s="33">
        <f>R55-T55+'Catch up Fee'!E55+S55</f>
        <v>2204.5</v>
      </c>
      <c r="W55" s="167">
        <f t="shared" si="11"/>
        <v>121.2475</v>
      </c>
      <c r="X55" s="165">
        <v>0</v>
      </c>
      <c r="Y55" s="166">
        <f t="shared" si="12"/>
        <v>0</v>
      </c>
      <c r="Z55" s="33">
        <f>V55-X55+'Catch up Fee'!E55+W55</f>
        <v>2525.7474999999999</v>
      </c>
      <c r="AA55" s="167">
        <f t="shared" si="13"/>
        <v>138.9161125</v>
      </c>
      <c r="AB55" s="165">
        <v>0</v>
      </c>
      <c r="AC55" s="166">
        <f t="shared" si="14"/>
        <v>0</v>
      </c>
      <c r="AD55" s="33">
        <f>Z55-AB55+'Catch up Fee'!E55+AA55</f>
        <v>2864.6636125</v>
      </c>
      <c r="AE55" s="167">
        <f t="shared" si="15"/>
        <v>157.55649868750001</v>
      </c>
      <c r="AF55" s="165">
        <v>0</v>
      </c>
      <c r="AG55" s="166">
        <f t="shared" si="16"/>
        <v>0</v>
      </c>
      <c r="AH55" s="33">
        <f>AD55-AF55+'Catch up Fee'!E55+AE55</f>
        <v>3222.2201111875002</v>
      </c>
      <c r="AI55" s="167">
        <f t="shared" si="17"/>
        <v>177.2221061153125</v>
      </c>
      <c r="AJ55" s="165">
        <v>0</v>
      </c>
      <c r="AK55" s="166">
        <f t="shared" si="18"/>
        <v>0</v>
      </c>
      <c r="AL55" s="33">
        <f>AH55-AJ55+'Catch up Fee'!E55+AI55</f>
        <v>3599.4422173028124</v>
      </c>
      <c r="AM55" s="167">
        <f t="shared" si="19"/>
        <v>197.96932195165468</v>
      </c>
      <c r="AN55" s="165">
        <v>0</v>
      </c>
      <c r="AO55" s="166">
        <f t="shared" si="20"/>
        <v>0</v>
      </c>
      <c r="AP55" s="33">
        <f>AL55-AN55+'Catch up Fee'!E55+AM55</f>
        <v>3997.4115392544672</v>
      </c>
      <c r="AQ55" s="167">
        <f t="shared" si="21"/>
        <v>219.85763465899569</v>
      </c>
      <c r="AR55" s="165">
        <v>0</v>
      </c>
      <c r="AS55" s="166">
        <f t="shared" si="22"/>
        <v>0</v>
      </c>
      <c r="AT55" s="33">
        <f>AP55-AR55+'Catch up Fee'!E55+AQ55</f>
        <v>4417.2691739134625</v>
      </c>
      <c r="AU55" s="167">
        <f t="shared" si="23"/>
        <v>242.94980456524044</v>
      </c>
      <c r="AV55" s="165">
        <f>'2018-2019 B STATEMENT '!B716</f>
        <v>2000</v>
      </c>
      <c r="AW55" s="166">
        <f t="shared" si="24"/>
        <v>19.799999999999997</v>
      </c>
      <c r="AX55" s="33">
        <f>AT55-AV55+'Catch up Fee'!E55+AU55</f>
        <v>2860.2189784787029</v>
      </c>
      <c r="AY55" s="167">
        <f t="shared" si="25"/>
        <v>47.312043816328661</v>
      </c>
      <c r="AZ55" s="165">
        <f>'2018-2019 B STATEMENT '!B729</f>
        <v>1200</v>
      </c>
      <c r="BA55" s="166">
        <f t="shared" si="26"/>
        <v>11.879999999999999</v>
      </c>
      <c r="BB55" s="33">
        <f>AX55-AZ55+'Catch up Fee'!E55+AY55</f>
        <v>1907.5310222950316</v>
      </c>
      <c r="BC55" s="167">
        <f t="shared" si="27"/>
        <v>38.914206226226739</v>
      </c>
      <c r="BD55" s="165">
        <v>0</v>
      </c>
      <c r="BE55" s="166">
        <f t="shared" si="28"/>
        <v>0</v>
      </c>
      <c r="BF55" s="33">
        <f>BB55-BD55+'Catch up Fee'!E55+BC55</f>
        <v>2146.4452285212583</v>
      </c>
      <c r="BG55" s="167">
        <f t="shared" si="29"/>
        <v>118.0544875686692</v>
      </c>
      <c r="BH55" s="165">
        <v>0</v>
      </c>
      <c r="BI55" s="166">
        <f t="shared" si="30"/>
        <v>0</v>
      </c>
      <c r="BJ55" s="33">
        <f>BF55-BH55+'Catch up Fee'!E55+BG55</f>
        <v>2464.4997160899275</v>
      </c>
      <c r="BK55" s="167">
        <f t="shared" si="31"/>
        <v>135.54748438494602</v>
      </c>
      <c r="BL55" s="185">
        <f t="shared" si="32"/>
        <v>3200</v>
      </c>
    </row>
    <row r="56" spans="1:64">
      <c r="A56" s="10" t="s">
        <v>627</v>
      </c>
      <c r="B56" s="10" t="s">
        <v>124</v>
      </c>
      <c r="C56" s="80">
        <v>0</v>
      </c>
      <c r="D56" s="79">
        <f t="shared" si="0"/>
        <v>2400</v>
      </c>
      <c r="E56" s="79">
        <f>' 2018-2019'!J55</f>
        <v>1700</v>
      </c>
      <c r="F56" s="139">
        <f>' 2018-2019'!F56</f>
        <v>0</v>
      </c>
      <c r="G56" s="78">
        <f t="shared" si="1"/>
        <v>2400</v>
      </c>
      <c r="H56" s="159">
        <f t="shared" si="2"/>
        <v>2350</v>
      </c>
      <c r="I56" s="78">
        <f t="shared" si="3"/>
        <v>50</v>
      </c>
      <c r="J56" s="78">
        <f t="shared" si="33"/>
        <v>2894.2178313150071</v>
      </c>
      <c r="K56" s="157">
        <f t="shared" si="4"/>
        <v>23.264999999999993</v>
      </c>
      <c r="L56" s="157">
        <f t="shared" si="35"/>
        <v>127.97042500000001</v>
      </c>
      <c r="M56" s="78">
        <f t="shared" si="5"/>
        <v>1144.2178313150068</v>
      </c>
      <c r="N56" s="194">
        <f t="shared" si="6"/>
        <v>1144.2178313150068</v>
      </c>
      <c r="O56" s="78">
        <f t="shared" si="7"/>
        <v>1310.4875936849933</v>
      </c>
      <c r="P56" s="165">
        <f>'2018-2019 B STATEMENT '!B338</f>
        <v>50</v>
      </c>
      <c r="Q56" s="166">
        <f t="shared" si="8"/>
        <v>0.49499999999999994</v>
      </c>
      <c r="R56" s="119">
        <f>E56+'Catch up Fee'!E56</f>
        <v>1900</v>
      </c>
      <c r="S56" s="167">
        <f t="shared" si="9"/>
        <v>101.75</v>
      </c>
      <c r="T56" s="165">
        <v>0</v>
      </c>
      <c r="U56" s="166">
        <f t="shared" si="10"/>
        <v>0</v>
      </c>
      <c r="V56" s="33">
        <f>R56-T56+'Catch up Fee'!E56+S56</f>
        <v>2201.75</v>
      </c>
      <c r="W56" s="167">
        <f t="shared" si="11"/>
        <v>121.09625</v>
      </c>
      <c r="X56" s="165">
        <f>'2018-2019 B STATEMENT '!B397</f>
        <v>1000</v>
      </c>
      <c r="Y56" s="166">
        <f t="shared" si="12"/>
        <v>9.8999999999999986</v>
      </c>
      <c r="Z56" s="33">
        <f>V56-X56+'Catch up Fee'!E56+W56</f>
        <v>1522.8462500000001</v>
      </c>
      <c r="AA56" s="167">
        <f t="shared" si="13"/>
        <v>28.756543750000002</v>
      </c>
      <c r="AB56" s="165">
        <v>0</v>
      </c>
      <c r="AC56" s="166">
        <f t="shared" si="14"/>
        <v>0</v>
      </c>
      <c r="AD56" s="33">
        <f>Z56-AB56+'Catch up Fee'!E56+AA56</f>
        <v>1751.60279375</v>
      </c>
      <c r="AE56" s="167">
        <f t="shared" si="15"/>
        <v>96.33815365625</v>
      </c>
      <c r="AF56" s="165">
        <v>0</v>
      </c>
      <c r="AG56" s="166">
        <f t="shared" si="16"/>
        <v>0</v>
      </c>
      <c r="AH56" s="33">
        <f>AD56-AF56+'Catch up Fee'!E56+AE56</f>
        <v>2047.94094740625</v>
      </c>
      <c r="AI56" s="167">
        <f t="shared" si="17"/>
        <v>112.63675210734375</v>
      </c>
      <c r="AJ56" s="165">
        <f>'2018-2019 B STATEMENT '!B468</f>
        <v>1000</v>
      </c>
      <c r="AK56" s="166">
        <f t="shared" si="18"/>
        <v>9.8999999999999986</v>
      </c>
      <c r="AL56" s="33">
        <f>AH56-AJ56+'Catch up Fee'!E56+AI56</f>
        <v>1360.5776995135936</v>
      </c>
      <c r="AM56" s="167">
        <f t="shared" si="19"/>
        <v>19.831773473247651</v>
      </c>
      <c r="AN56" s="165">
        <v>0</v>
      </c>
      <c r="AO56" s="166">
        <f t="shared" si="20"/>
        <v>0</v>
      </c>
      <c r="AP56" s="33">
        <f>AL56-AN56+'Catch up Fee'!E56+AM56</f>
        <v>1580.4094729868414</v>
      </c>
      <c r="AQ56" s="167">
        <f t="shared" si="21"/>
        <v>86.922521014276271</v>
      </c>
      <c r="AR56" s="165">
        <f>'2018-2019 B STATEMENT '!B494</f>
        <v>300</v>
      </c>
      <c r="AS56" s="166">
        <f t="shared" si="22"/>
        <v>2.9699999999999998</v>
      </c>
      <c r="AT56" s="33">
        <f>AP56-AR56+'Catch up Fee'!E56+AQ56</f>
        <v>1567.3319940011177</v>
      </c>
      <c r="AU56" s="167">
        <f t="shared" si="23"/>
        <v>69.70325967006147</v>
      </c>
      <c r="AV56" s="165">
        <v>0</v>
      </c>
      <c r="AW56" s="166">
        <f t="shared" si="24"/>
        <v>0</v>
      </c>
      <c r="AX56" s="33">
        <f>AT56-AV56+'Catch up Fee'!E56+AU56</f>
        <v>1837.0352536711791</v>
      </c>
      <c r="AY56" s="167">
        <f t="shared" si="25"/>
        <v>101.03693895191485</v>
      </c>
      <c r="AZ56" s="165">
        <v>0</v>
      </c>
      <c r="BA56" s="166">
        <f t="shared" si="26"/>
        <v>0</v>
      </c>
      <c r="BB56" s="33">
        <f>AX56-AZ56+'Catch up Fee'!E56+AY56</f>
        <v>2138.072192623094</v>
      </c>
      <c r="BC56" s="167">
        <f t="shared" si="27"/>
        <v>117.59397059427017</v>
      </c>
      <c r="BD56" s="165">
        <v>0</v>
      </c>
      <c r="BE56" s="166">
        <f t="shared" si="28"/>
        <v>0</v>
      </c>
      <c r="BF56" s="33">
        <f>BB56-BD56+'Catch up Fee'!E56+BC56</f>
        <v>2455.6661632173641</v>
      </c>
      <c r="BG56" s="167">
        <f t="shared" si="29"/>
        <v>135.06163897695504</v>
      </c>
      <c r="BH56" s="165">
        <v>0</v>
      </c>
      <c r="BI56" s="166">
        <f t="shared" si="30"/>
        <v>0</v>
      </c>
      <c r="BJ56" s="33">
        <f>BF56-BH56+'Catch up Fee'!E56+BG56</f>
        <v>2790.7278021943193</v>
      </c>
      <c r="BK56" s="167">
        <f t="shared" si="31"/>
        <v>153.49002912068755</v>
      </c>
      <c r="BL56" s="185">
        <f t="shared" si="32"/>
        <v>2350</v>
      </c>
    </row>
    <row r="57" spans="1:64">
      <c r="A57" s="10" t="s">
        <v>628</v>
      </c>
      <c r="B57" s="10" t="s">
        <v>152</v>
      </c>
      <c r="C57" s="79">
        <v>100</v>
      </c>
      <c r="D57" s="79">
        <f t="shared" si="0"/>
        <v>2400</v>
      </c>
      <c r="E57" s="79">
        <f>' 2018-2019'!J56</f>
        <v>-50</v>
      </c>
      <c r="F57" s="139">
        <f>' 2018-2019'!F57</f>
        <v>3200</v>
      </c>
      <c r="G57" s="78">
        <f t="shared" si="1"/>
        <v>2500</v>
      </c>
      <c r="H57" s="159">
        <f t="shared" si="2"/>
        <v>1800</v>
      </c>
      <c r="I57" s="78">
        <f t="shared" si="3"/>
        <v>600</v>
      </c>
      <c r="J57" s="78">
        <f t="shared" ref="J57:J63" si="37">I57+M57+E57</f>
        <v>607.37132498635185</v>
      </c>
      <c r="K57" s="157">
        <f t="shared" si="4"/>
        <v>17.819999999999997</v>
      </c>
      <c r="L57" s="157">
        <f t="shared" si="35"/>
        <v>92.519900000000007</v>
      </c>
      <c r="M57" s="78">
        <f t="shared" si="5"/>
        <v>57.371324986351858</v>
      </c>
      <c r="N57" s="194">
        <f t="shared" si="6"/>
        <v>57.371324986351858</v>
      </c>
      <c r="O57" s="78">
        <f t="shared" si="7"/>
        <v>1817.3285750136481</v>
      </c>
      <c r="P57" s="165">
        <v>0</v>
      </c>
      <c r="Q57" s="166">
        <f t="shared" si="8"/>
        <v>0</v>
      </c>
      <c r="R57" s="119">
        <f>E57+'Catch up Fee'!E57</f>
        <v>150</v>
      </c>
      <c r="S57" s="167">
        <f t="shared" si="9"/>
        <v>8.25</v>
      </c>
      <c r="T57" s="165">
        <v>0</v>
      </c>
      <c r="U57" s="166">
        <f t="shared" si="10"/>
        <v>0</v>
      </c>
      <c r="V57" s="33">
        <f>R57-T57+'Catch up Fee'!E57+S57</f>
        <v>358.25</v>
      </c>
      <c r="W57" s="167">
        <f t="shared" si="11"/>
        <v>19.703749999999999</v>
      </c>
      <c r="X57" s="165">
        <v>0</v>
      </c>
      <c r="Y57" s="166">
        <f t="shared" si="12"/>
        <v>0</v>
      </c>
      <c r="Z57" s="33">
        <f>V57-X57+'Catch up Fee'!E57+W57</f>
        <v>577.95375000000001</v>
      </c>
      <c r="AA57" s="167">
        <f t="shared" si="13"/>
        <v>31.787456250000002</v>
      </c>
      <c r="AB57" s="165">
        <v>0</v>
      </c>
      <c r="AC57" s="166">
        <f t="shared" si="14"/>
        <v>0</v>
      </c>
      <c r="AD57" s="33">
        <f>Z57-AB57+'Catch up Fee'!E57+AA57</f>
        <v>809.74120625</v>
      </c>
      <c r="AE57" s="167">
        <f t="shared" si="15"/>
        <v>44.535766343749998</v>
      </c>
      <c r="AF57" s="165">
        <v>0</v>
      </c>
      <c r="AG57" s="166">
        <f t="shared" si="16"/>
        <v>0</v>
      </c>
      <c r="AH57" s="33">
        <f>AD57-AF57+'Catch up Fee'!E57+AE57</f>
        <v>1054.2769725937501</v>
      </c>
      <c r="AI57" s="167">
        <f t="shared" si="17"/>
        <v>57.985233492656256</v>
      </c>
      <c r="AJ57" s="165">
        <f>'2018-2019 B STATEMENT '!B457+'2018-2019 B STATEMENT '!B458</f>
        <v>1800</v>
      </c>
      <c r="AK57" s="166">
        <f t="shared" si="18"/>
        <v>17.819999999999997</v>
      </c>
      <c r="AL57" s="33">
        <f>AH57-AJ57+'Catch up Fee'!E57+AI57</f>
        <v>-487.73779391359363</v>
      </c>
      <c r="AM57" s="167">
        <f t="shared" si="19"/>
        <v>-125.82557866524765</v>
      </c>
      <c r="AN57" s="165">
        <v>0</v>
      </c>
      <c r="AO57" s="166">
        <f t="shared" si="20"/>
        <v>0</v>
      </c>
      <c r="AP57" s="33">
        <f>AL57-AN57+'Catch up Fee'!E57+AM57</f>
        <v>-413.56337257884127</v>
      </c>
      <c r="AQ57" s="167">
        <f t="shared" si="21"/>
        <v>-22.745985491836269</v>
      </c>
      <c r="AR57" s="165">
        <v>0</v>
      </c>
      <c r="AS57" s="166">
        <f t="shared" si="22"/>
        <v>0</v>
      </c>
      <c r="AT57" s="33">
        <f>AP57-AR57+'Catch up Fee'!E57+AQ57</f>
        <v>-236.30935807067755</v>
      </c>
      <c r="AU57" s="167">
        <f t="shared" si="23"/>
        <v>-12.997014693887266</v>
      </c>
      <c r="AV57" s="165">
        <v>0</v>
      </c>
      <c r="AW57" s="166">
        <f t="shared" si="24"/>
        <v>0</v>
      </c>
      <c r="AX57" s="33">
        <f>AT57-AV57+'Catch up Fee'!E57+AU57</f>
        <v>-49.306372764564813</v>
      </c>
      <c r="AY57" s="167">
        <f t="shared" si="25"/>
        <v>-2.7118505020510648</v>
      </c>
      <c r="AZ57" s="165">
        <v>0</v>
      </c>
      <c r="BA57" s="166">
        <f t="shared" si="26"/>
        <v>0</v>
      </c>
      <c r="BB57" s="33">
        <f>AX57-AZ57+'Catch up Fee'!E57+AY57</f>
        <v>147.98177673338412</v>
      </c>
      <c r="BC57" s="167">
        <f t="shared" si="27"/>
        <v>8.1389977203361266</v>
      </c>
      <c r="BD57" s="165">
        <v>0</v>
      </c>
      <c r="BE57" s="166">
        <f t="shared" si="28"/>
        <v>0</v>
      </c>
      <c r="BF57" s="33">
        <f>BB57-BD57+'Catch up Fee'!E57+BC57</f>
        <v>356.12077445372023</v>
      </c>
      <c r="BG57" s="167">
        <f t="shared" si="29"/>
        <v>19.586642594954611</v>
      </c>
      <c r="BH57" s="165">
        <v>0</v>
      </c>
      <c r="BI57" s="166">
        <f t="shared" si="30"/>
        <v>0</v>
      </c>
      <c r="BJ57" s="33">
        <f>BF57-BH57+'Catch up Fee'!E57+BG57</f>
        <v>575.70741704867487</v>
      </c>
      <c r="BK57" s="167">
        <f t="shared" si="31"/>
        <v>31.663907937677116</v>
      </c>
      <c r="BL57" s="185">
        <f t="shared" si="32"/>
        <v>1800</v>
      </c>
    </row>
    <row r="58" spans="1:64">
      <c r="A58" s="10" t="s">
        <v>629</v>
      </c>
      <c r="B58" s="10" t="s">
        <v>156</v>
      </c>
      <c r="C58" s="79">
        <v>100</v>
      </c>
      <c r="D58" s="79">
        <f t="shared" si="0"/>
        <v>2400</v>
      </c>
      <c r="E58" s="79">
        <f>' 2018-2019'!J57</f>
        <v>2400</v>
      </c>
      <c r="F58" s="139">
        <f>' 2018-2019'!F58</f>
        <v>2600</v>
      </c>
      <c r="G58" s="78">
        <f t="shared" si="1"/>
        <v>2500</v>
      </c>
      <c r="H58" s="159">
        <f t="shared" si="2"/>
        <v>1000</v>
      </c>
      <c r="I58" s="78">
        <f t="shared" si="3"/>
        <v>1400</v>
      </c>
      <c r="J58" s="78">
        <f t="shared" si="37"/>
        <v>6710.7423174662899</v>
      </c>
      <c r="K58" s="157">
        <f t="shared" si="4"/>
        <v>9.8999999999999986</v>
      </c>
      <c r="L58" s="157">
        <f t="shared" si="35"/>
        <v>48.955500000000001</v>
      </c>
      <c r="M58" s="78">
        <f t="shared" si="5"/>
        <v>2910.7423174662899</v>
      </c>
      <c r="N58" s="194">
        <f t="shared" si="6"/>
        <v>2910.7423174662899</v>
      </c>
      <c r="O58" s="78">
        <f t="shared" si="7"/>
        <v>-1871.68681746629</v>
      </c>
      <c r="P58" s="165">
        <v>0</v>
      </c>
      <c r="Q58" s="166">
        <f t="shared" si="8"/>
        <v>0</v>
      </c>
      <c r="R58" s="119">
        <f>E58+'Catch up Fee'!E58</f>
        <v>2600</v>
      </c>
      <c r="S58" s="167">
        <f t="shared" si="9"/>
        <v>143</v>
      </c>
      <c r="T58" s="165">
        <v>0</v>
      </c>
      <c r="U58" s="166">
        <f t="shared" si="10"/>
        <v>0</v>
      </c>
      <c r="V58" s="33">
        <f>R58-T58+'Catch up Fee'!E58+S58</f>
        <v>2943</v>
      </c>
      <c r="W58" s="167">
        <f t="shared" si="11"/>
        <v>161.86500000000001</v>
      </c>
      <c r="X58" s="165">
        <v>0</v>
      </c>
      <c r="Y58" s="166">
        <f t="shared" si="12"/>
        <v>0</v>
      </c>
      <c r="Z58" s="33">
        <f>V58-X58+'Catch up Fee'!E58+W58</f>
        <v>3304.8649999999998</v>
      </c>
      <c r="AA58" s="167">
        <f t="shared" si="13"/>
        <v>181.76757499999999</v>
      </c>
      <c r="AB58" s="165">
        <v>0</v>
      </c>
      <c r="AC58" s="166">
        <f t="shared" si="14"/>
        <v>0</v>
      </c>
      <c r="AD58" s="33">
        <f>Z58-AB58+'Catch up Fee'!E58+AA58</f>
        <v>3686.6325749999996</v>
      </c>
      <c r="AE58" s="167">
        <f t="shared" si="15"/>
        <v>202.76479162499999</v>
      </c>
      <c r="AF58" s="165">
        <v>0</v>
      </c>
      <c r="AG58" s="166">
        <f t="shared" si="16"/>
        <v>0</v>
      </c>
      <c r="AH58" s="33">
        <f>AD58-AF58+'Catch up Fee'!E58+AE58</f>
        <v>4089.3973666249994</v>
      </c>
      <c r="AI58" s="167">
        <f t="shared" si="17"/>
        <v>224.91685516437497</v>
      </c>
      <c r="AJ58" s="165">
        <f>'2018-2019 B STATEMENT '!B469</f>
        <v>200</v>
      </c>
      <c r="AK58" s="166">
        <f t="shared" si="18"/>
        <v>1.9799999999999998</v>
      </c>
      <c r="AL58" s="33">
        <f>AH58-AJ58+'Catch up Fee'!E58+AI58</f>
        <v>4314.3142217893746</v>
      </c>
      <c r="AM58" s="167">
        <f t="shared" si="19"/>
        <v>226.2872821984156</v>
      </c>
      <c r="AN58" s="165">
        <v>0</v>
      </c>
      <c r="AO58" s="166">
        <f t="shared" si="20"/>
        <v>0</v>
      </c>
      <c r="AP58" s="33">
        <f>AL58-AN58+'Catch up Fee'!E58+AM58</f>
        <v>4740.6015039877902</v>
      </c>
      <c r="AQ58" s="167">
        <f t="shared" si="21"/>
        <v>260.73308271932848</v>
      </c>
      <c r="AR58" s="165">
        <f>'2018-2019 B STATEMENT '!B510</f>
        <v>200</v>
      </c>
      <c r="AS58" s="166">
        <f t="shared" si="22"/>
        <v>1.9799999999999998</v>
      </c>
      <c r="AT58" s="33">
        <f>AP58-AR58+'Catch up Fee'!E58+AQ58</f>
        <v>5001.3345867071184</v>
      </c>
      <c r="AU58" s="167">
        <f t="shared" si="23"/>
        <v>264.07340226889153</v>
      </c>
      <c r="AV58" s="165">
        <v>0</v>
      </c>
      <c r="AW58" s="166">
        <f t="shared" si="24"/>
        <v>0</v>
      </c>
      <c r="AX58" s="33">
        <f>AT58-AV58+'Catch up Fee'!E58+AU58</f>
        <v>5465.4079889760096</v>
      </c>
      <c r="AY58" s="167">
        <f t="shared" si="25"/>
        <v>300.59743939368053</v>
      </c>
      <c r="AZ58" s="165">
        <f>'2018-2019 B STATEMENT '!B532+'2018-2019 B STATEMENT '!B550</f>
        <v>400</v>
      </c>
      <c r="BA58" s="166">
        <f t="shared" si="26"/>
        <v>3.9599999999999995</v>
      </c>
      <c r="BB58" s="33">
        <f>AX58-AZ58+'Catch up Fee'!E58+AY58</f>
        <v>5566.00542836969</v>
      </c>
      <c r="BC58" s="167">
        <f t="shared" si="27"/>
        <v>284.13029856033296</v>
      </c>
      <c r="BD58" s="165">
        <f>'2018-2019 B STATEMENT '!B571</f>
        <v>200</v>
      </c>
      <c r="BE58" s="166">
        <f t="shared" si="28"/>
        <v>1.9799999999999998</v>
      </c>
      <c r="BF58" s="33">
        <f>BB58-BD58+'Catch up Fee'!E58+BC58</f>
        <v>5850.1357269300233</v>
      </c>
      <c r="BG58" s="167">
        <f t="shared" si="29"/>
        <v>310.75746498115126</v>
      </c>
      <c r="BH58" s="165">
        <v>0</v>
      </c>
      <c r="BI58" s="166">
        <f t="shared" si="30"/>
        <v>0</v>
      </c>
      <c r="BJ58" s="33">
        <f>BF58-BH58+'Catch up Fee'!E58+BG58</f>
        <v>6360.8931919111747</v>
      </c>
      <c r="BK58" s="167">
        <f t="shared" si="31"/>
        <v>349.8491255551146</v>
      </c>
      <c r="BL58" s="185">
        <f t="shared" si="32"/>
        <v>1000</v>
      </c>
    </row>
    <row r="59" spans="1:64">
      <c r="A59" s="10" t="s">
        <v>630</v>
      </c>
      <c r="B59" s="10" t="s">
        <v>158</v>
      </c>
      <c r="C59" s="79">
        <v>100</v>
      </c>
      <c r="D59" s="79">
        <f t="shared" si="0"/>
        <v>2400</v>
      </c>
      <c r="E59" s="79">
        <f>' 2018-2019'!J58</f>
        <v>2400</v>
      </c>
      <c r="F59" s="139">
        <f>' 2018-2019'!F59</f>
        <v>3800</v>
      </c>
      <c r="G59" s="78">
        <f t="shared" si="1"/>
        <v>2500</v>
      </c>
      <c r="H59" s="159">
        <f t="shared" si="2"/>
        <v>700</v>
      </c>
      <c r="I59" s="78">
        <f t="shared" si="3"/>
        <v>1700</v>
      </c>
      <c r="J59" s="78">
        <f t="shared" si="37"/>
        <v>7200.5225930061797</v>
      </c>
      <c r="K59" s="157">
        <f t="shared" si="4"/>
        <v>6.93</v>
      </c>
      <c r="L59" s="157">
        <f t="shared" si="35"/>
        <v>32.618850000000002</v>
      </c>
      <c r="M59" s="78">
        <f t="shared" si="5"/>
        <v>3100.5225930061797</v>
      </c>
      <c r="N59" s="194">
        <f t="shared" si="6"/>
        <v>3100.5225930061797</v>
      </c>
      <c r="O59" s="78">
        <f t="shared" si="7"/>
        <v>-2374.8337430061797</v>
      </c>
      <c r="P59" s="165">
        <v>0</v>
      </c>
      <c r="Q59" s="166">
        <f t="shared" si="8"/>
        <v>0</v>
      </c>
      <c r="R59" s="119">
        <f>E59+'Catch up Fee'!E59</f>
        <v>2600</v>
      </c>
      <c r="S59" s="167">
        <f t="shared" si="9"/>
        <v>143</v>
      </c>
      <c r="T59" s="165">
        <v>0</v>
      </c>
      <c r="U59" s="166">
        <f t="shared" si="10"/>
        <v>0</v>
      </c>
      <c r="V59" s="33">
        <f>R59-T59+'Catch up Fee'!E59+S59</f>
        <v>2943</v>
      </c>
      <c r="W59" s="167">
        <f t="shared" si="11"/>
        <v>161.86500000000001</v>
      </c>
      <c r="X59" s="165">
        <v>0</v>
      </c>
      <c r="Y59" s="166">
        <f t="shared" si="12"/>
        <v>0</v>
      </c>
      <c r="Z59" s="33">
        <f>V59-X59+'Catch up Fee'!E59+W59</f>
        <v>3304.8649999999998</v>
      </c>
      <c r="AA59" s="167">
        <f t="shared" si="13"/>
        <v>181.76757499999999</v>
      </c>
      <c r="AB59" s="165">
        <v>0</v>
      </c>
      <c r="AC59" s="166">
        <f t="shared" si="14"/>
        <v>0</v>
      </c>
      <c r="AD59" s="33">
        <f>Z59-AB59+'Catch up Fee'!E59+AA59</f>
        <v>3686.6325749999996</v>
      </c>
      <c r="AE59" s="167">
        <f t="shared" si="15"/>
        <v>202.76479162499999</v>
      </c>
      <c r="AF59" s="165">
        <v>0</v>
      </c>
      <c r="AG59" s="166">
        <f t="shared" si="16"/>
        <v>0</v>
      </c>
      <c r="AH59" s="33">
        <f>AD59-AF59+'Catch up Fee'!E59+AE59</f>
        <v>4089.3973666249994</v>
      </c>
      <c r="AI59" s="167">
        <f t="shared" si="17"/>
        <v>224.91685516437497</v>
      </c>
      <c r="AJ59" s="165">
        <v>0</v>
      </c>
      <c r="AK59" s="166">
        <f t="shared" si="18"/>
        <v>0</v>
      </c>
      <c r="AL59" s="33">
        <f>AH59-AJ59+'Catch up Fee'!E59+AI59</f>
        <v>4514.3142217893746</v>
      </c>
      <c r="AM59" s="167">
        <f t="shared" si="19"/>
        <v>248.2872821984156</v>
      </c>
      <c r="AN59" s="165">
        <v>0</v>
      </c>
      <c r="AO59" s="166">
        <f t="shared" si="20"/>
        <v>0</v>
      </c>
      <c r="AP59" s="33">
        <f>AL59-AN59+'Catch up Fee'!E59+AM59</f>
        <v>4962.6015039877902</v>
      </c>
      <c r="AQ59" s="167">
        <f t="shared" si="21"/>
        <v>272.94308271932846</v>
      </c>
      <c r="AR59" s="165">
        <v>0</v>
      </c>
      <c r="AS59" s="166">
        <f t="shared" si="22"/>
        <v>0</v>
      </c>
      <c r="AT59" s="33">
        <f>AP59-AR59+'Catch up Fee'!E59+AQ59</f>
        <v>5435.5445867071185</v>
      </c>
      <c r="AU59" s="167">
        <f t="shared" si="23"/>
        <v>298.95495226889153</v>
      </c>
      <c r="AV59" s="165">
        <v>0</v>
      </c>
      <c r="AW59" s="166">
        <f t="shared" si="24"/>
        <v>0</v>
      </c>
      <c r="AX59" s="33">
        <f>AT59-AV59+'Catch up Fee'!E59+AU59</f>
        <v>5934.4995389760097</v>
      </c>
      <c r="AY59" s="167">
        <f t="shared" si="25"/>
        <v>326.39747464368054</v>
      </c>
      <c r="AZ59" s="165">
        <v>0</v>
      </c>
      <c r="BA59" s="166">
        <f t="shared" si="26"/>
        <v>0</v>
      </c>
      <c r="BB59" s="33">
        <f>AX59-AZ59+'Catch up Fee'!E59+AY59</f>
        <v>6460.8970136196904</v>
      </c>
      <c r="BC59" s="167">
        <f t="shared" si="27"/>
        <v>355.34933574908297</v>
      </c>
      <c r="BD59" s="165">
        <f>'2018-2019 B STATEMENT '!B564</f>
        <v>700</v>
      </c>
      <c r="BE59" s="166">
        <f t="shared" si="28"/>
        <v>6.93</v>
      </c>
      <c r="BF59" s="33">
        <f>BB59-BD59+'Catch up Fee'!E59+BC59</f>
        <v>6316.2463493687737</v>
      </c>
      <c r="BG59" s="167">
        <f t="shared" si="29"/>
        <v>308.89354921528258</v>
      </c>
      <c r="BH59" s="165">
        <v>0</v>
      </c>
      <c r="BI59" s="166">
        <f t="shared" si="30"/>
        <v>0</v>
      </c>
      <c r="BJ59" s="33">
        <f>BF59-BH59+'Catch up Fee'!E59+BG59</f>
        <v>6825.139898584056</v>
      </c>
      <c r="BK59" s="167">
        <f t="shared" si="31"/>
        <v>375.38269442212311</v>
      </c>
      <c r="BL59" s="185">
        <f t="shared" si="32"/>
        <v>700</v>
      </c>
    </row>
    <row r="60" spans="1:64">
      <c r="A60" s="10" t="s">
        <v>631</v>
      </c>
      <c r="B60" s="10" t="s">
        <v>118</v>
      </c>
      <c r="C60" s="80">
        <v>0</v>
      </c>
      <c r="D60" s="79">
        <f t="shared" si="0"/>
        <v>2400</v>
      </c>
      <c r="E60" s="79">
        <f>' 2018-2019'!J59</f>
        <v>2400</v>
      </c>
      <c r="F60" s="139">
        <f>' 2018-2019'!F60</f>
        <v>200</v>
      </c>
      <c r="G60" s="78">
        <f t="shared" si="1"/>
        <v>2400</v>
      </c>
      <c r="H60" s="159">
        <f t="shared" si="2"/>
        <v>2100</v>
      </c>
      <c r="I60" s="78">
        <f t="shared" si="3"/>
        <v>300</v>
      </c>
      <c r="J60" s="78">
        <f t="shared" si="37"/>
        <v>5280.7154870849172</v>
      </c>
      <c r="K60" s="157">
        <f t="shared" si="4"/>
        <v>20.79</v>
      </c>
      <c r="L60" s="157">
        <f t="shared" si="35"/>
        <v>114.35655</v>
      </c>
      <c r="M60" s="78">
        <f t="shared" si="5"/>
        <v>2580.7154870849172</v>
      </c>
      <c r="N60" s="194">
        <f t="shared" si="6"/>
        <v>2580.7154870849172</v>
      </c>
      <c r="O60" s="78">
        <f t="shared" si="7"/>
        <v>-387.14893708491718</v>
      </c>
      <c r="P60" s="165">
        <f>'2018-2019 B STATEMENT '!B339</f>
        <v>1100</v>
      </c>
      <c r="Q60" s="166">
        <f t="shared" si="8"/>
        <v>10.889999999999999</v>
      </c>
      <c r="R60" s="119">
        <f>E60+'Catch up Fee'!E60</f>
        <v>2600</v>
      </c>
      <c r="S60" s="167">
        <f t="shared" si="9"/>
        <v>82.5</v>
      </c>
      <c r="T60" s="165">
        <v>0</v>
      </c>
      <c r="U60" s="166">
        <f t="shared" si="10"/>
        <v>0</v>
      </c>
      <c r="V60" s="33">
        <f>R60-T60+'Catch up Fee'!E60+S60</f>
        <v>2882.5</v>
      </c>
      <c r="W60" s="167">
        <f t="shared" si="11"/>
        <v>158.53749999999999</v>
      </c>
      <c r="X60" s="165">
        <v>0</v>
      </c>
      <c r="Y60" s="166">
        <f t="shared" si="12"/>
        <v>0</v>
      </c>
      <c r="Z60" s="33">
        <f>V60-X60+'Catch up Fee'!E60+W60</f>
        <v>3241.0374999999999</v>
      </c>
      <c r="AA60" s="167">
        <f t="shared" si="13"/>
        <v>178.25706249999999</v>
      </c>
      <c r="AB60" s="165">
        <v>0</v>
      </c>
      <c r="AC60" s="166">
        <f t="shared" si="14"/>
        <v>0</v>
      </c>
      <c r="AD60" s="33">
        <f>Z60-AB60+'Catch up Fee'!E60+AA60</f>
        <v>3619.2945624999998</v>
      </c>
      <c r="AE60" s="167">
        <f t="shared" si="15"/>
        <v>199.06120093749999</v>
      </c>
      <c r="AF60" s="165">
        <v>0</v>
      </c>
      <c r="AG60" s="166">
        <f t="shared" si="16"/>
        <v>0</v>
      </c>
      <c r="AH60" s="33">
        <f>AD60-AF60+'Catch up Fee'!E60+AE60</f>
        <v>4018.3557634374997</v>
      </c>
      <c r="AI60" s="167">
        <f t="shared" si="17"/>
        <v>221.00956698906248</v>
      </c>
      <c r="AJ60" s="165">
        <f>'2018-2019 B STATEMENT '!B470</f>
        <v>1000</v>
      </c>
      <c r="AK60" s="166">
        <f t="shared" si="18"/>
        <v>9.8999999999999986</v>
      </c>
      <c r="AL60" s="33">
        <f>AH60-AJ60+'Catch up Fee'!E60+AI60</f>
        <v>3439.3653304265622</v>
      </c>
      <c r="AM60" s="167">
        <f t="shared" si="19"/>
        <v>134.16509317346092</v>
      </c>
      <c r="AN60" s="165">
        <v>0</v>
      </c>
      <c r="AO60" s="166">
        <f t="shared" si="20"/>
        <v>0</v>
      </c>
      <c r="AP60" s="33">
        <f>AL60-AN60+'Catch up Fee'!E60+AM60</f>
        <v>3773.5304236000229</v>
      </c>
      <c r="AQ60" s="167">
        <f t="shared" si="21"/>
        <v>207.54417329800125</v>
      </c>
      <c r="AR60" s="165">
        <v>0</v>
      </c>
      <c r="AS60" s="166">
        <f t="shared" si="22"/>
        <v>0</v>
      </c>
      <c r="AT60" s="33">
        <f>AP60-AR60+'Catch up Fee'!E60+AQ60</f>
        <v>4181.0745968980245</v>
      </c>
      <c r="AU60" s="167">
        <f t="shared" si="23"/>
        <v>229.95910282939136</v>
      </c>
      <c r="AV60" s="165">
        <v>0</v>
      </c>
      <c r="AW60" s="166">
        <f t="shared" si="24"/>
        <v>0</v>
      </c>
      <c r="AX60" s="33">
        <f>AT60-AV60+'Catch up Fee'!E60+AU60</f>
        <v>4611.0336997274162</v>
      </c>
      <c r="AY60" s="167">
        <f t="shared" si="25"/>
        <v>253.60685348500789</v>
      </c>
      <c r="AZ60" s="165">
        <v>0</v>
      </c>
      <c r="BA60" s="166">
        <f t="shared" si="26"/>
        <v>0</v>
      </c>
      <c r="BB60" s="33">
        <f>AX60-AZ60+'Catch up Fee'!E60+AY60</f>
        <v>5064.6405532124245</v>
      </c>
      <c r="BC60" s="167">
        <f t="shared" si="27"/>
        <v>278.55523042668335</v>
      </c>
      <c r="BD60" s="165">
        <v>0</v>
      </c>
      <c r="BE60" s="166">
        <f t="shared" si="28"/>
        <v>0</v>
      </c>
      <c r="BF60" s="33">
        <f>BB60-BD60+'Catch up Fee'!E60+BC60</f>
        <v>5543.1957836391075</v>
      </c>
      <c r="BG60" s="167">
        <f t="shared" si="29"/>
        <v>304.87576810015094</v>
      </c>
      <c r="BH60" s="165">
        <v>0</v>
      </c>
      <c r="BI60" s="166">
        <f t="shared" si="30"/>
        <v>0</v>
      </c>
      <c r="BJ60" s="33">
        <f>BF60-BH60+'Catch up Fee'!E60+BG60</f>
        <v>6048.0715517392582</v>
      </c>
      <c r="BK60" s="167">
        <f t="shared" si="31"/>
        <v>332.6439353456592</v>
      </c>
      <c r="BL60" s="185">
        <f t="shared" si="32"/>
        <v>2100</v>
      </c>
    </row>
    <row r="61" spans="1:64">
      <c r="A61" s="10" t="s">
        <v>632</v>
      </c>
      <c r="B61" s="10" t="s">
        <v>157</v>
      </c>
      <c r="C61" s="79">
        <v>100</v>
      </c>
      <c r="D61" s="79">
        <f t="shared" si="0"/>
        <v>2400</v>
      </c>
      <c r="E61" s="79">
        <f>' 2018-2019'!J60</f>
        <v>1300</v>
      </c>
      <c r="F61" s="139">
        <f>' 2018-2019'!F61</f>
        <v>2600</v>
      </c>
      <c r="G61" s="78">
        <f t="shared" si="1"/>
        <v>2500</v>
      </c>
      <c r="H61" s="159">
        <f t="shared" si="2"/>
        <v>300</v>
      </c>
      <c r="I61" s="78">
        <f t="shared" si="3"/>
        <v>2100</v>
      </c>
      <c r="J61" s="78">
        <f t="shared" si="37"/>
        <v>5389.770965655397</v>
      </c>
      <c r="K61" s="157">
        <f t="shared" si="4"/>
        <v>2.9699999999999998</v>
      </c>
      <c r="L61" s="157">
        <f t="shared" si="35"/>
        <v>10.836649999999999</v>
      </c>
      <c r="M61" s="78">
        <f t="shared" si="5"/>
        <v>1989.770965655397</v>
      </c>
      <c r="N61" s="194">
        <f t="shared" si="6"/>
        <v>1989.770965655397</v>
      </c>
      <c r="O61" s="78">
        <f t="shared" si="7"/>
        <v>-1681.9043156553971</v>
      </c>
      <c r="P61" s="165">
        <v>0</v>
      </c>
      <c r="Q61" s="166">
        <f t="shared" si="8"/>
        <v>0</v>
      </c>
      <c r="R61" s="119">
        <f>E61+'Catch up Fee'!E61</f>
        <v>1500</v>
      </c>
      <c r="S61" s="167">
        <f t="shared" si="9"/>
        <v>82.5</v>
      </c>
      <c r="T61" s="165">
        <v>0</v>
      </c>
      <c r="U61" s="166">
        <f t="shared" si="10"/>
        <v>0</v>
      </c>
      <c r="V61" s="33">
        <f>R61-T61+'Catch up Fee'!E61+S61</f>
        <v>1782.5</v>
      </c>
      <c r="W61" s="167">
        <f t="shared" si="11"/>
        <v>98.037499999999994</v>
      </c>
      <c r="X61" s="165">
        <f>'2018-2019 B STATEMENT '!B371</f>
        <v>300</v>
      </c>
      <c r="Y61" s="166">
        <f t="shared" si="12"/>
        <v>2.9699999999999998</v>
      </c>
      <c r="Z61" s="33">
        <f>V61-X61+'Catch up Fee'!E61+W61</f>
        <v>1780.5374999999999</v>
      </c>
      <c r="AA61" s="167">
        <f t="shared" si="13"/>
        <v>81.429562499999989</v>
      </c>
      <c r="AB61" s="165">
        <v>0</v>
      </c>
      <c r="AC61" s="166">
        <f t="shared" si="14"/>
        <v>0</v>
      </c>
      <c r="AD61" s="33">
        <f>Z61-AB61+'Catch up Fee'!E61+AA61</f>
        <v>2061.9670624999999</v>
      </c>
      <c r="AE61" s="167">
        <f t="shared" si="15"/>
        <v>113.40818843749999</v>
      </c>
      <c r="AF61" s="165">
        <v>0</v>
      </c>
      <c r="AG61" s="166">
        <f t="shared" si="16"/>
        <v>0</v>
      </c>
      <c r="AH61" s="33">
        <f>AD61-AF61+'Catch up Fee'!E61+AE61</f>
        <v>2375.3752509374999</v>
      </c>
      <c r="AI61" s="167">
        <f t="shared" si="17"/>
        <v>130.64563880156248</v>
      </c>
      <c r="AJ61" s="165">
        <v>0</v>
      </c>
      <c r="AK61" s="166">
        <f t="shared" si="18"/>
        <v>0</v>
      </c>
      <c r="AL61" s="33">
        <f>AH61-AJ61+'Catch up Fee'!E61+AI61</f>
        <v>2706.0208897390626</v>
      </c>
      <c r="AM61" s="167">
        <f t="shared" si="19"/>
        <v>148.83114893564843</v>
      </c>
      <c r="AN61" s="165">
        <v>0</v>
      </c>
      <c r="AO61" s="166">
        <f t="shared" si="20"/>
        <v>0</v>
      </c>
      <c r="AP61" s="33">
        <f>AL61-AN61+'Catch up Fee'!E61+AM61</f>
        <v>3054.8520386747109</v>
      </c>
      <c r="AQ61" s="167">
        <f t="shared" si="21"/>
        <v>168.01686212710911</v>
      </c>
      <c r="AR61" s="165">
        <v>0</v>
      </c>
      <c r="AS61" s="166">
        <f t="shared" si="22"/>
        <v>0</v>
      </c>
      <c r="AT61" s="33">
        <f>AP61-AR61+'Catch up Fee'!E61+AQ61</f>
        <v>3422.86890080182</v>
      </c>
      <c r="AU61" s="167">
        <f t="shared" si="23"/>
        <v>188.25778954410009</v>
      </c>
      <c r="AV61" s="165">
        <v>0</v>
      </c>
      <c r="AW61" s="166">
        <f t="shared" si="24"/>
        <v>0</v>
      </c>
      <c r="AX61" s="33">
        <f>AT61-AV61+'Catch up Fee'!E61+AU61</f>
        <v>3811.12669034592</v>
      </c>
      <c r="AY61" s="167">
        <f t="shared" si="25"/>
        <v>209.61196796902561</v>
      </c>
      <c r="AZ61" s="165">
        <v>0</v>
      </c>
      <c r="BA61" s="166">
        <f t="shared" si="26"/>
        <v>0</v>
      </c>
      <c r="BB61" s="33">
        <f>AX61-AZ61+'Catch up Fee'!E61+AY61</f>
        <v>4220.7386583149455</v>
      </c>
      <c r="BC61" s="167">
        <f t="shared" si="27"/>
        <v>232.14062620732201</v>
      </c>
      <c r="BD61" s="165">
        <v>0</v>
      </c>
      <c r="BE61" s="166">
        <f t="shared" si="28"/>
        <v>0</v>
      </c>
      <c r="BF61" s="33">
        <f>BB61-BD61+'Catch up Fee'!E61+BC61</f>
        <v>4652.8792845222679</v>
      </c>
      <c r="BG61" s="167">
        <f t="shared" si="29"/>
        <v>255.90836064872474</v>
      </c>
      <c r="BH61" s="165">
        <v>0</v>
      </c>
      <c r="BI61" s="166">
        <f t="shared" si="30"/>
        <v>0</v>
      </c>
      <c r="BJ61" s="33">
        <f>BF61-BH61+'Catch up Fee'!E61+BG61</f>
        <v>5108.7876451709926</v>
      </c>
      <c r="BK61" s="167">
        <f t="shared" si="31"/>
        <v>280.9833204844046</v>
      </c>
      <c r="BL61" s="185">
        <f t="shared" si="32"/>
        <v>300</v>
      </c>
    </row>
    <row r="62" spans="1:64">
      <c r="A62" s="10" t="s">
        <v>633</v>
      </c>
      <c r="B62" s="10" t="s">
        <v>127</v>
      </c>
      <c r="C62" s="80">
        <v>0</v>
      </c>
      <c r="D62" s="79">
        <f t="shared" si="0"/>
        <v>2400</v>
      </c>
      <c r="E62" s="79">
        <f>' 2018-2019'!J61</f>
        <v>2400</v>
      </c>
      <c r="F62" s="139">
        <f>' 2018-2019'!F62</f>
        <v>200</v>
      </c>
      <c r="G62" s="78">
        <f t="shared" si="1"/>
        <v>2400</v>
      </c>
      <c r="H62" s="159">
        <f t="shared" si="2"/>
        <v>0</v>
      </c>
      <c r="I62" s="78">
        <f t="shared" si="3"/>
        <v>2400</v>
      </c>
      <c r="J62" s="78">
        <f t="shared" si="37"/>
        <v>8020.2575930061794</v>
      </c>
      <c r="K62" s="157">
        <f t="shared" si="4"/>
        <v>0</v>
      </c>
      <c r="L62" s="157">
        <f t="shared" si="35"/>
        <v>0</v>
      </c>
      <c r="M62" s="78">
        <f t="shared" si="5"/>
        <v>3220.2575930061794</v>
      </c>
      <c r="N62" s="194">
        <f t="shared" si="6"/>
        <v>3220.2575930061794</v>
      </c>
      <c r="O62" s="78">
        <f t="shared" si="7"/>
        <v>-3220.2575930061794</v>
      </c>
      <c r="P62" s="165">
        <v>0</v>
      </c>
      <c r="Q62" s="166">
        <f t="shared" si="8"/>
        <v>0</v>
      </c>
      <c r="R62" s="119">
        <f>E62+'Catch up Fee'!E62</f>
        <v>2600</v>
      </c>
      <c r="S62" s="167">
        <f t="shared" si="9"/>
        <v>143</v>
      </c>
      <c r="T62" s="165">
        <v>0</v>
      </c>
      <c r="U62" s="166">
        <f t="shared" si="10"/>
        <v>0</v>
      </c>
      <c r="V62" s="33">
        <f>R62-T62+'Catch up Fee'!E62+S62</f>
        <v>2943</v>
      </c>
      <c r="W62" s="167">
        <f t="shared" si="11"/>
        <v>161.86500000000001</v>
      </c>
      <c r="X62" s="165">
        <v>0</v>
      </c>
      <c r="Y62" s="166">
        <f t="shared" si="12"/>
        <v>0</v>
      </c>
      <c r="Z62" s="33">
        <f>V62-X62+'Catch up Fee'!E62+W62</f>
        <v>3304.8649999999998</v>
      </c>
      <c r="AA62" s="167">
        <f t="shared" si="13"/>
        <v>181.76757499999999</v>
      </c>
      <c r="AB62" s="165">
        <v>0</v>
      </c>
      <c r="AC62" s="166">
        <f t="shared" si="14"/>
        <v>0</v>
      </c>
      <c r="AD62" s="33">
        <f>Z62-AB62+'Catch up Fee'!E62+AA62</f>
        <v>3686.6325749999996</v>
      </c>
      <c r="AE62" s="167">
        <f t="shared" si="15"/>
        <v>202.76479162499999</v>
      </c>
      <c r="AF62" s="165">
        <v>0</v>
      </c>
      <c r="AG62" s="166">
        <f t="shared" si="16"/>
        <v>0</v>
      </c>
      <c r="AH62" s="33">
        <f>AD62-AF62+'Catch up Fee'!E62+AE62</f>
        <v>4089.3973666249994</v>
      </c>
      <c r="AI62" s="167">
        <f t="shared" si="17"/>
        <v>224.91685516437497</v>
      </c>
      <c r="AJ62" s="165">
        <v>0</v>
      </c>
      <c r="AK62" s="166">
        <f t="shared" si="18"/>
        <v>0</v>
      </c>
      <c r="AL62" s="33">
        <f>AH62-AJ62+'Catch up Fee'!E62+AI62</f>
        <v>4514.3142217893746</v>
      </c>
      <c r="AM62" s="167">
        <f t="shared" si="19"/>
        <v>248.2872821984156</v>
      </c>
      <c r="AN62" s="165">
        <v>0</v>
      </c>
      <c r="AO62" s="166">
        <f t="shared" si="20"/>
        <v>0</v>
      </c>
      <c r="AP62" s="33">
        <f>AL62-AN62+'Catch up Fee'!E62+AM62</f>
        <v>4962.6015039877902</v>
      </c>
      <c r="AQ62" s="167">
        <f t="shared" si="21"/>
        <v>272.94308271932846</v>
      </c>
      <c r="AR62" s="165">
        <v>0</v>
      </c>
      <c r="AS62" s="166">
        <f t="shared" si="22"/>
        <v>0</v>
      </c>
      <c r="AT62" s="33">
        <f>AP62-AR62+'Catch up Fee'!E62+AQ62</f>
        <v>5435.5445867071185</v>
      </c>
      <c r="AU62" s="167">
        <f t="shared" si="23"/>
        <v>298.95495226889153</v>
      </c>
      <c r="AV62" s="165">
        <v>0</v>
      </c>
      <c r="AW62" s="166">
        <f t="shared" si="24"/>
        <v>0</v>
      </c>
      <c r="AX62" s="33">
        <f>AT62-AV62+'Catch up Fee'!E62+AU62</f>
        <v>5934.4995389760097</v>
      </c>
      <c r="AY62" s="167">
        <f t="shared" si="25"/>
        <v>326.39747464368054</v>
      </c>
      <c r="AZ62" s="165">
        <v>0</v>
      </c>
      <c r="BA62" s="166">
        <f t="shared" si="26"/>
        <v>0</v>
      </c>
      <c r="BB62" s="33">
        <f>AX62-AZ62+'Catch up Fee'!E62+AY62</f>
        <v>6460.8970136196904</v>
      </c>
      <c r="BC62" s="167">
        <f t="shared" si="27"/>
        <v>355.34933574908297</v>
      </c>
      <c r="BD62" s="165">
        <v>0</v>
      </c>
      <c r="BE62" s="166">
        <f t="shared" si="28"/>
        <v>0</v>
      </c>
      <c r="BF62" s="33">
        <f>BB62-BD62+'Catch up Fee'!E62+BC62</f>
        <v>7016.2463493687737</v>
      </c>
      <c r="BG62" s="167">
        <f t="shared" si="29"/>
        <v>385.89354921528258</v>
      </c>
      <c r="BH62" s="165">
        <v>0</v>
      </c>
      <c r="BI62" s="166">
        <f t="shared" si="30"/>
        <v>0</v>
      </c>
      <c r="BJ62" s="33">
        <f>BF62-BH62+'Catch up Fee'!E62+BG62</f>
        <v>7602.139898584056</v>
      </c>
      <c r="BK62" s="167">
        <f t="shared" si="31"/>
        <v>418.11769442212307</v>
      </c>
      <c r="BL62" s="185">
        <f t="shared" si="32"/>
        <v>0</v>
      </c>
    </row>
    <row r="63" spans="1:64">
      <c r="A63" s="10" t="s">
        <v>634</v>
      </c>
      <c r="B63" s="10" t="s">
        <v>127</v>
      </c>
      <c r="C63" s="80">
        <v>0</v>
      </c>
      <c r="D63" s="79">
        <f t="shared" si="0"/>
        <v>2400</v>
      </c>
      <c r="E63" s="79">
        <f>' 2018-2019'!J62</f>
        <v>0</v>
      </c>
      <c r="F63" s="139">
        <f>' 2018-2019'!F63</f>
        <v>200</v>
      </c>
      <c r="G63" s="78">
        <f t="shared" si="1"/>
        <v>2400</v>
      </c>
      <c r="H63" s="159">
        <f t="shared" si="2"/>
        <v>900</v>
      </c>
      <c r="I63" s="78">
        <f t="shared" si="3"/>
        <v>1500</v>
      </c>
      <c r="J63" s="78">
        <f t="shared" si="37"/>
        <v>1928.7130400460665</v>
      </c>
      <c r="K63" s="157">
        <f t="shared" si="4"/>
        <v>8.91</v>
      </c>
      <c r="L63" s="157">
        <f t="shared" si="35"/>
        <v>49.009950000000003</v>
      </c>
      <c r="M63" s="78">
        <f t="shared" si="5"/>
        <v>428.7130400460664</v>
      </c>
      <c r="N63" s="194">
        <f t="shared" si="6"/>
        <v>428.7130400460664</v>
      </c>
      <c r="O63" s="78">
        <f t="shared" si="7"/>
        <v>511.38690995393364</v>
      </c>
      <c r="P63" s="165">
        <v>0</v>
      </c>
      <c r="Q63" s="166">
        <f t="shared" si="8"/>
        <v>0</v>
      </c>
      <c r="R63" s="119">
        <f>E63+'Catch up Fee'!E63</f>
        <v>200</v>
      </c>
      <c r="S63" s="167">
        <f t="shared" si="9"/>
        <v>11</v>
      </c>
      <c r="T63" s="165">
        <f>'2018-2019 B STATEMENT '!B357</f>
        <v>600</v>
      </c>
      <c r="U63" s="166">
        <f t="shared" si="10"/>
        <v>5.9399999999999995</v>
      </c>
      <c r="V63" s="33">
        <f>R63-T63+'Catch up Fee'!E63+S63</f>
        <v>-189</v>
      </c>
      <c r="W63" s="167">
        <f t="shared" si="11"/>
        <v>-43.395000000000003</v>
      </c>
      <c r="X63" s="165">
        <v>0</v>
      </c>
      <c r="Y63" s="166">
        <f t="shared" si="12"/>
        <v>0</v>
      </c>
      <c r="Z63" s="33">
        <f>V63-X63+'Catch up Fee'!E63+W63</f>
        <v>-32.395000000000003</v>
      </c>
      <c r="AA63" s="167">
        <f t="shared" si="13"/>
        <v>-1.7817250000000002</v>
      </c>
      <c r="AB63" s="165">
        <v>0</v>
      </c>
      <c r="AC63" s="166">
        <f t="shared" si="14"/>
        <v>0</v>
      </c>
      <c r="AD63" s="33">
        <f>Z63-AB63+'Catch up Fee'!E63+AA63</f>
        <v>165.823275</v>
      </c>
      <c r="AE63" s="167">
        <f t="shared" si="15"/>
        <v>9.120280124999999</v>
      </c>
      <c r="AF63" s="165">
        <v>0</v>
      </c>
      <c r="AG63" s="166">
        <f t="shared" si="16"/>
        <v>0</v>
      </c>
      <c r="AH63" s="33">
        <f>AD63-AF63+'Catch up Fee'!E63+AE63</f>
        <v>374.94355512499999</v>
      </c>
      <c r="AI63" s="167">
        <f t="shared" si="17"/>
        <v>20.621895531875001</v>
      </c>
      <c r="AJ63" s="165">
        <v>0</v>
      </c>
      <c r="AK63" s="166">
        <f t="shared" si="18"/>
        <v>0</v>
      </c>
      <c r="AL63" s="33">
        <f>AH63-AJ63+'Catch up Fee'!E63+AI63</f>
        <v>595.56545065687499</v>
      </c>
      <c r="AM63" s="167">
        <f t="shared" si="19"/>
        <v>32.756099786128125</v>
      </c>
      <c r="AN63" s="165">
        <v>0</v>
      </c>
      <c r="AO63" s="166">
        <f t="shared" si="20"/>
        <v>0</v>
      </c>
      <c r="AP63" s="33">
        <f>AL63-AN63+'Catch up Fee'!E63+AM63</f>
        <v>828.32155044300316</v>
      </c>
      <c r="AQ63" s="167">
        <f t="shared" si="21"/>
        <v>45.557685274365177</v>
      </c>
      <c r="AR63" s="165">
        <v>0</v>
      </c>
      <c r="AS63" s="166">
        <f t="shared" si="22"/>
        <v>0</v>
      </c>
      <c r="AT63" s="33">
        <f>AP63-AR63+'Catch up Fee'!E63+AQ63</f>
        <v>1073.8792357173684</v>
      </c>
      <c r="AU63" s="167">
        <f t="shared" si="23"/>
        <v>59.063357964455264</v>
      </c>
      <c r="AV63" s="165">
        <f>'2018-2019 B STATEMENT '!B530</f>
        <v>300</v>
      </c>
      <c r="AW63" s="166">
        <f t="shared" si="24"/>
        <v>2.9699999999999998</v>
      </c>
      <c r="AX63" s="33">
        <f>AT63-AV63+'Catch up Fee'!E63+AU63</f>
        <v>1032.9425936818236</v>
      </c>
      <c r="AY63" s="167">
        <f t="shared" si="25"/>
        <v>40.311842652500296</v>
      </c>
      <c r="AZ63" s="165">
        <v>0</v>
      </c>
      <c r="BA63" s="166">
        <f t="shared" si="26"/>
        <v>0</v>
      </c>
      <c r="BB63" s="33">
        <f>AX63-AZ63+'Catch up Fee'!E63+AY63</f>
        <v>1273.2544363343238</v>
      </c>
      <c r="BC63" s="167">
        <f t="shared" si="27"/>
        <v>70.028993998387804</v>
      </c>
      <c r="BD63" s="165">
        <v>0</v>
      </c>
      <c r="BE63" s="166">
        <f t="shared" si="28"/>
        <v>0</v>
      </c>
      <c r="BF63" s="33">
        <f>BB63-BD63+'Catch up Fee'!E63+BC63</f>
        <v>1543.2834303327115</v>
      </c>
      <c r="BG63" s="167">
        <f t="shared" si="29"/>
        <v>84.88058866829914</v>
      </c>
      <c r="BH63" s="165">
        <v>0</v>
      </c>
      <c r="BI63" s="166">
        <f t="shared" si="30"/>
        <v>0</v>
      </c>
      <c r="BJ63" s="33">
        <f>BF63-BH63+'Catch up Fee'!E63+BG63</f>
        <v>1828.1640190010107</v>
      </c>
      <c r="BK63" s="167">
        <f t="shared" si="31"/>
        <v>100.5490210450556</v>
      </c>
      <c r="BL63" s="185">
        <f t="shared" si="32"/>
        <v>900</v>
      </c>
    </row>
    <row r="64" spans="1:64">
      <c r="A64" s="10" t="s">
        <v>635</v>
      </c>
      <c r="B64" s="10" t="s">
        <v>128</v>
      </c>
      <c r="C64" s="80">
        <v>0</v>
      </c>
      <c r="D64" s="79">
        <f t="shared" si="0"/>
        <v>2400</v>
      </c>
      <c r="E64" s="79">
        <f>' 2018-2019'!J63</f>
        <v>1800</v>
      </c>
      <c r="F64" s="139">
        <f>' 2018-2019'!F64</f>
        <v>0</v>
      </c>
      <c r="G64" s="78">
        <f t="shared" si="1"/>
        <v>2400</v>
      </c>
      <c r="H64" s="159">
        <f t="shared" si="2"/>
        <v>0</v>
      </c>
      <c r="I64" s="78">
        <f t="shared" si="3"/>
        <v>2400</v>
      </c>
      <c r="J64" s="78">
        <f t="shared" si="33"/>
        <v>6879.5331015507745</v>
      </c>
      <c r="K64" s="157">
        <f t="shared" si="4"/>
        <v>0</v>
      </c>
      <c r="L64" s="157">
        <f t="shared" si="35"/>
        <v>0</v>
      </c>
      <c r="M64" s="78">
        <f t="shared" si="5"/>
        <v>2679.5331015507745</v>
      </c>
      <c r="N64" s="194">
        <f t="shared" si="6"/>
        <v>2679.5331015507745</v>
      </c>
      <c r="O64" s="78">
        <f t="shared" si="7"/>
        <v>-2679.5331015507745</v>
      </c>
      <c r="P64" s="165">
        <v>0</v>
      </c>
      <c r="Q64" s="166">
        <f t="shared" si="8"/>
        <v>0</v>
      </c>
      <c r="R64" s="119">
        <f>E64+'Catch up Fee'!E64</f>
        <v>2000</v>
      </c>
      <c r="S64" s="167">
        <f t="shared" si="9"/>
        <v>110</v>
      </c>
      <c r="T64" s="165">
        <v>0</v>
      </c>
      <c r="U64" s="166">
        <f t="shared" si="10"/>
        <v>0</v>
      </c>
      <c r="V64" s="33">
        <f>R64-T64+'Catch up Fee'!E64+S64</f>
        <v>2310</v>
      </c>
      <c r="W64" s="167">
        <f t="shared" si="11"/>
        <v>127.05</v>
      </c>
      <c r="X64" s="165">
        <v>0</v>
      </c>
      <c r="Y64" s="166">
        <f t="shared" si="12"/>
        <v>0</v>
      </c>
      <c r="Z64" s="33">
        <f>V64-X64+'Catch up Fee'!E64+W64</f>
        <v>2637.05</v>
      </c>
      <c r="AA64" s="167">
        <f t="shared" si="13"/>
        <v>145.03775000000002</v>
      </c>
      <c r="AB64" s="165">
        <v>0</v>
      </c>
      <c r="AC64" s="166">
        <f t="shared" si="14"/>
        <v>0</v>
      </c>
      <c r="AD64" s="33">
        <f>Z64-AB64+'Catch up Fee'!E64+AA64</f>
        <v>2982.0877500000001</v>
      </c>
      <c r="AE64" s="167">
        <f t="shared" si="15"/>
        <v>164.01482625</v>
      </c>
      <c r="AF64" s="165">
        <v>0</v>
      </c>
      <c r="AG64" s="166">
        <f t="shared" si="16"/>
        <v>0</v>
      </c>
      <c r="AH64" s="33">
        <f>AD64-AF64+'Catch up Fee'!E64+AE64</f>
        <v>3346.1025762500003</v>
      </c>
      <c r="AI64" s="167">
        <f t="shared" si="17"/>
        <v>184.03564169375002</v>
      </c>
      <c r="AJ64" s="165">
        <v>0</v>
      </c>
      <c r="AK64" s="166">
        <f t="shared" si="18"/>
        <v>0</v>
      </c>
      <c r="AL64" s="33">
        <f>AH64-AJ64+'Catch up Fee'!E64+AI64</f>
        <v>3730.1382179437505</v>
      </c>
      <c r="AM64" s="167">
        <f t="shared" si="19"/>
        <v>205.15760198690629</v>
      </c>
      <c r="AN64" s="165">
        <v>0</v>
      </c>
      <c r="AO64" s="166">
        <f t="shared" si="20"/>
        <v>0</v>
      </c>
      <c r="AP64" s="33">
        <f>AL64-AN64+'Catch up Fee'!E64+AM64</f>
        <v>4135.2958199306568</v>
      </c>
      <c r="AQ64" s="167">
        <f t="shared" si="21"/>
        <v>227.44127009618612</v>
      </c>
      <c r="AR64" s="165">
        <v>0</v>
      </c>
      <c r="AS64" s="166">
        <f t="shared" si="22"/>
        <v>0</v>
      </c>
      <c r="AT64" s="33">
        <f>AP64-AR64+'Catch up Fee'!E64+AQ64</f>
        <v>4562.7370900268425</v>
      </c>
      <c r="AU64" s="167">
        <f t="shared" si="23"/>
        <v>250.95053995147634</v>
      </c>
      <c r="AV64" s="165">
        <v>0</v>
      </c>
      <c r="AW64" s="166">
        <f t="shared" si="24"/>
        <v>0</v>
      </c>
      <c r="AX64" s="33">
        <f>AT64-AV64+'Catch up Fee'!E64+AU64</f>
        <v>5013.6876299783189</v>
      </c>
      <c r="AY64" s="167">
        <f t="shared" si="25"/>
        <v>275.75281964880753</v>
      </c>
      <c r="AZ64" s="165">
        <v>0</v>
      </c>
      <c r="BA64" s="166">
        <f t="shared" si="26"/>
        <v>0</v>
      </c>
      <c r="BB64" s="33">
        <f>AX64-AZ64+'Catch up Fee'!E64+AY64</f>
        <v>5489.4404496271263</v>
      </c>
      <c r="BC64" s="167">
        <f t="shared" si="27"/>
        <v>301.91922472949193</v>
      </c>
      <c r="BD64" s="165">
        <v>0</v>
      </c>
      <c r="BE64" s="166">
        <f t="shared" si="28"/>
        <v>0</v>
      </c>
      <c r="BF64" s="33">
        <f>BB64-BD64+'Catch up Fee'!E64+BC64</f>
        <v>5991.3596743566186</v>
      </c>
      <c r="BG64" s="167">
        <f t="shared" si="29"/>
        <v>329.52478208961401</v>
      </c>
      <c r="BH64" s="165">
        <v>0</v>
      </c>
      <c r="BI64" s="166">
        <f t="shared" si="30"/>
        <v>0</v>
      </c>
      <c r="BJ64" s="33">
        <f>BF64-BH64+'Catch up Fee'!E64+BG64</f>
        <v>6520.8844564462324</v>
      </c>
      <c r="BK64" s="167">
        <f t="shared" si="31"/>
        <v>358.64864510454277</v>
      </c>
      <c r="BL64" s="185">
        <f t="shared" si="32"/>
        <v>0</v>
      </c>
    </row>
    <row r="65" spans="1:64">
      <c r="A65" s="10" t="s">
        <v>636</v>
      </c>
      <c r="B65" s="10" t="s">
        <v>128</v>
      </c>
      <c r="C65" s="80">
        <v>0</v>
      </c>
      <c r="D65" s="79">
        <f t="shared" si="0"/>
        <v>2400</v>
      </c>
      <c r="E65" s="79">
        <f>' 2018-2019'!J64</f>
        <v>1690</v>
      </c>
      <c r="F65" s="139">
        <f>' 2018-2019'!F65</f>
        <v>0</v>
      </c>
      <c r="G65" s="78">
        <f t="shared" si="1"/>
        <v>2400</v>
      </c>
      <c r="H65" s="159">
        <f t="shared" si="2"/>
        <v>0</v>
      </c>
      <c r="I65" s="78">
        <f t="shared" si="3"/>
        <v>2400</v>
      </c>
      <c r="J65" s="78">
        <f t="shared" si="33"/>
        <v>6670.400278117284</v>
      </c>
      <c r="K65" s="157">
        <f t="shared" si="4"/>
        <v>0</v>
      </c>
      <c r="L65" s="157">
        <f t="shared" si="35"/>
        <v>0</v>
      </c>
      <c r="M65" s="78">
        <f t="shared" si="5"/>
        <v>2580.400278117284</v>
      </c>
      <c r="N65" s="194">
        <f t="shared" si="6"/>
        <v>2580.400278117284</v>
      </c>
      <c r="O65" s="78">
        <f t="shared" si="7"/>
        <v>-2580.400278117284</v>
      </c>
      <c r="P65" s="165">
        <v>0</v>
      </c>
      <c r="Q65" s="166">
        <f t="shared" si="8"/>
        <v>0</v>
      </c>
      <c r="R65" s="119">
        <f>E65+'Catch up Fee'!E65</f>
        <v>1890</v>
      </c>
      <c r="S65" s="167">
        <f t="shared" si="9"/>
        <v>103.95</v>
      </c>
      <c r="T65" s="165">
        <v>0</v>
      </c>
      <c r="U65" s="166">
        <f t="shared" si="10"/>
        <v>0</v>
      </c>
      <c r="V65" s="33">
        <f>R65-T65+'Catch up Fee'!E65+S65</f>
        <v>2193.9499999999998</v>
      </c>
      <c r="W65" s="167">
        <f t="shared" si="11"/>
        <v>120.66725</v>
      </c>
      <c r="X65" s="165">
        <v>0</v>
      </c>
      <c r="Y65" s="166">
        <f t="shared" si="12"/>
        <v>0</v>
      </c>
      <c r="Z65" s="33">
        <f>V65-X65+'Catch up Fee'!E65+W65</f>
        <v>2514.6172499999998</v>
      </c>
      <c r="AA65" s="167">
        <f t="shared" si="13"/>
        <v>138.30394874999999</v>
      </c>
      <c r="AB65" s="165">
        <v>0</v>
      </c>
      <c r="AC65" s="166">
        <f t="shared" si="14"/>
        <v>0</v>
      </c>
      <c r="AD65" s="33">
        <f>Z65-AB65+'Catch up Fee'!E65+AA65</f>
        <v>2852.9211987499998</v>
      </c>
      <c r="AE65" s="167">
        <f t="shared" si="15"/>
        <v>156.91066593124998</v>
      </c>
      <c r="AF65" s="165">
        <v>0</v>
      </c>
      <c r="AG65" s="166">
        <f t="shared" si="16"/>
        <v>0</v>
      </c>
      <c r="AH65" s="33">
        <f>AD65-AF65+'Catch up Fee'!E65+AE65</f>
        <v>3209.83186468125</v>
      </c>
      <c r="AI65" s="167">
        <f t="shared" si="17"/>
        <v>176.54075255746875</v>
      </c>
      <c r="AJ65" s="165">
        <v>0</v>
      </c>
      <c r="AK65" s="166">
        <f t="shared" si="18"/>
        <v>0</v>
      </c>
      <c r="AL65" s="33">
        <f>AH65-AJ65+'Catch up Fee'!E65+AI65</f>
        <v>3586.3726172387187</v>
      </c>
      <c r="AM65" s="167">
        <f t="shared" si="19"/>
        <v>197.25049394812953</v>
      </c>
      <c r="AN65" s="165">
        <v>0</v>
      </c>
      <c r="AO65" s="166">
        <f t="shared" si="20"/>
        <v>0</v>
      </c>
      <c r="AP65" s="33">
        <f>AL65-AN65+'Catch up Fee'!E65+AM65</f>
        <v>3983.6231111868483</v>
      </c>
      <c r="AQ65" s="167">
        <f t="shared" si="21"/>
        <v>219.09927111527665</v>
      </c>
      <c r="AR65" s="165">
        <v>0</v>
      </c>
      <c r="AS65" s="166">
        <f t="shared" si="22"/>
        <v>0</v>
      </c>
      <c r="AT65" s="33">
        <f>AP65-AR65+'Catch up Fee'!E65+AQ65</f>
        <v>4402.722382302125</v>
      </c>
      <c r="AU65" s="167">
        <f t="shared" si="23"/>
        <v>242.14973102661688</v>
      </c>
      <c r="AV65" s="165">
        <v>0</v>
      </c>
      <c r="AW65" s="166">
        <f t="shared" si="24"/>
        <v>0</v>
      </c>
      <c r="AX65" s="33">
        <f>AT65-AV65+'Catch up Fee'!E65+AU65</f>
        <v>4844.8721133287418</v>
      </c>
      <c r="AY65" s="167">
        <f t="shared" si="25"/>
        <v>266.4679662330808</v>
      </c>
      <c r="AZ65" s="165">
        <v>0</v>
      </c>
      <c r="BA65" s="166">
        <f t="shared" si="26"/>
        <v>0</v>
      </c>
      <c r="BB65" s="33">
        <f>AX65-AZ65+'Catch up Fee'!E65+AY65</f>
        <v>5311.3400795618227</v>
      </c>
      <c r="BC65" s="167">
        <f t="shared" si="27"/>
        <v>292.12370437590027</v>
      </c>
      <c r="BD65" s="165">
        <v>0</v>
      </c>
      <c r="BE65" s="166">
        <f t="shared" si="28"/>
        <v>0</v>
      </c>
      <c r="BF65" s="33">
        <f>BB65-BD65+'Catch up Fee'!E65+BC65</f>
        <v>5803.4637839377228</v>
      </c>
      <c r="BG65" s="167">
        <f t="shared" si="29"/>
        <v>319.19050811657473</v>
      </c>
      <c r="BH65" s="165">
        <v>0</v>
      </c>
      <c r="BI65" s="166">
        <f t="shared" si="30"/>
        <v>0</v>
      </c>
      <c r="BJ65" s="33">
        <f>BF65-BH65+'Catch up Fee'!E65+BG65</f>
        <v>6322.6542920542979</v>
      </c>
      <c r="BK65" s="167">
        <f t="shared" si="31"/>
        <v>347.74598606298639</v>
      </c>
      <c r="BL65" s="185">
        <f t="shared" si="32"/>
        <v>0</v>
      </c>
    </row>
    <row r="66" spans="1:64">
      <c r="A66" s="10" t="s">
        <v>637</v>
      </c>
      <c r="B66" s="10" t="s">
        <v>155</v>
      </c>
      <c r="C66" s="80">
        <v>0</v>
      </c>
      <c r="D66" s="79">
        <f t="shared" si="0"/>
        <v>2400</v>
      </c>
      <c r="E66" s="79">
        <f>' 2018-2019'!J65</f>
        <v>2100</v>
      </c>
      <c r="F66" s="139">
        <f>' 2018-2019'!F66</f>
        <v>600</v>
      </c>
      <c r="G66" s="78">
        <f t="shared" si="1"/>
        <v>2400</v>
      </c>
      <c r="H66" s="159">
        <f t="shared" si="2"/>
        <v>1500</v>
      </c>
      <c r="I66" s="78">
        <f t="shared" si="3"/>
        <v>900</v>
      </c>
      <c r="J66" s="78">
        <f>I66+M66+E66</f>
        <v>4605.8348241197436</v>
      </c>
      <c r="K66" s="157">
        <f t="shared" si="4"/>
        <v>14.849999999999998</v>
      </c>
      <c r="L66" s="157">
        <f t="shared" si="35"/>
        <v>81.683250000000001</v>
      </c>
      <c r="M66" s="78">
        <f t="shared" si="5"/>
        <v>1605.8348241197441</v>
      </c>
      <c r="N66" s="194">
        <f t="shared" si="6"/>
        <v>1605.8348241197441</v>
      </c>
      <c r="O66" s="78">
        <f t="shared" si="7"/>
        <v>-39.001574119744006</v>
      </c>
      <c r="P66" s="165">
        <v>0</v>
      </c>
      <c r="Q66" s="166">
        <f t="shared" si="8"/>
        <v>0</v>
      </c>
      <c r="R66" s="119">
        <f>E66+'Catch up Fee'!E66</f>
        <v>2300</v>
      </c>
      <c r="S66" s="167">
        <f t="shared" si="9"/>
        <v>126.5</v>
      </c>
      <c r="T66" s="165">
        <v>1500</v>
      </c>
      <c r="U66" s="166">
        <f t="shared" si="10"/>
        <v>14.849999999999998</v>
      </c>
      <c r="V66" s="33">
        <f>R66-T66+'Catch up Fee'!E66+S66</f>
        <v>1126.5</v>
      </c>
      <c r="W66" s="167">
        <f t="shared" si="11"/>
        <v>-20.5425</v>
      </c>
      <c r="X66" s="165">
        <v>0</v>
      </c>
      <c r="Y66" s="166">
        <f t="shared" si="12"/>
        <v>0</v>
      </c>
      <c r="Z66" s="33">
        <f>V66-X66+'Catch up Fee'!E66+W66</f>
        <v>1305.9575</v>
      </c>
      <c r="AA66" s="167">
        <f t="shared" si="13"/>
        <v>71.827662500000002</v>
      </c>
      <c r="AB66" s="165">
        <v>0</v>
      </c>
      <c r="AC66" s="166">
        <f t="shared" si="14"/>
        <v>0</v>
      </c>
      <c r="AD66" s="33">
        <f>Z66-AB66+'Catch up Fee'!E66+AA66</f>
        <v>1577.7851625000001</v>
      </c>
      <c r="AE66" s="167">
        <f t="shared" si="15"/>
        <v>86.778183937500003</v>
      </c>
      <c r="AF66" s="165">
        <v>0</v>
      </c>
      <c r="AG66" s="166">
        <f t="shared" si="16"/>
        <v>0</v>
      </c>
      <c r="AH66" s="33">
        <f>AD66-AF66+'Catch up Fee'!E66+AE66</f>
        <v>1864.5633464375001</v>
      </c>
      <c r="AI66" s="167">
        <f t="shared" si="17"/>
        <v>102.55098405406251</v>
      </c>
      <c r="AJ66" s="165">
        <v>0</v>
      </c>
      <c r="AK66" s="166">
        <f t="shared" si="18"/>
        <v>0</v>
      </c>
      <c r="AL66" s="33">
        <f>AH66-AJ66+'Catch up Fee'!E66+AI66</f>
        <v>2167.1143304915627</v>
      </c>
      <c r="AM66" s="167">
        <f t="shared" si="19"/>
        <v>119.19128817703594</v>
      </c>
      <c r="AN66" s="165">
        <v>0</v>
      </c>
      <c r="AO66" s="166">
        <f t="shared" si="20"/>
        <v>0</v>
      </c>
      <c r="AP66" s="33">
        <f>AL66-AN66+'Catch up Fee'!E66+AM66</f>
        <v>2486.3056186685985</v>
      </c>
      <c r="AQ66" s="167">
        <f t="shared" si="21"/>
        <v>136.74680902677292</v>
      </c>
      <c r="AR66" s="165">
        <v>0</v>
      </c>
      <c r="AS66" s="166">
        <f t="shared" si="22"/>
        <v>0</v>
      </c>
      <c r="AT66" s="33">
        <f>AP66-AR66+'Catch up Fee'!E66+AQ66</f>
        <v>2823.0524276953715</v>
      </c>
      <c r="AU66" s="167">
        <f t="shared" si="23"/>
        <v>155.26788352324544</v>
      </c>
      <c r="AV66" s="165">
        <v>0</v>
      </c>
      <c r="AW66" s="166">
        <f t="shared" si="24"/>
        <v>0</v>
      </c>
      <c r="AX66" s="33">
        <f>AT66-AV66+'Catch up Fee'!E66+AU66</f>
        <v>3178.320311218617</v>
      </c>
      <c r="AY66" s="167">
        <f t="shared" si="25"/>
        <v>174.80761711702394</v>
      </c>
      <c r="AZ66" s="165">
        <v>0</v>
      </c>
      <c r="BA66" s="166">
        <f t="shared" si="26"/>
        <v>0</v>
      </c>
      <c r="BB66" s="33">
        <f>AX66-AZ66+'Catch up Fee'!E66+AY66</f>
        <v>3553.1279283356407</v>
      </c>
      <c r="BC66" s="167">
        <f t="shared" si="27"/>
        <v>195.42203605846024</v>
      </c>
      <c r="BD66" s="165">
        <v>0</v>
      </c>
      <c r="BE66" s="166">
        <f t="shared" si="28"/>
        <v>0</v>
      </c>
      <c r="BF66" s="33">
        <f>BB66-BD66+'Catch up Fee'!E66+BC66</f>
        <v>3948.5499643941012</v>
      </c>
      <c r="BG66" s="167">
        <f t="shared" si="29"/>
        <v>217.17024804167556</v>
      </c>
      <c r="BH66" s="165">
        <v>0</v>
      </c>
      <c r="BI66" s="166">
        <f t="shared" si="30"/>
        <v>0</v>
      </c>
      <c r="BJ66" s="33">
        <f>BF66-BH66+'Catch up Fee'!E66+BG66</f>
        <v>4365.7202124357764</v>
      </c>
      <c r="BK66" s="167">
        <f t="shared" si="31"/>
        <v>240.11461168396769</v>
      </c>
      <c r="BL66" s="185">
        <f t="shared" si="32"/>
        <v>1500</v>
      </c>
    </row>
    <row r="67" spans="1:64">
      <c r="A67" s="10" t="s">
        <v>638</v>
      </c>
      <c r="B67" s="10" t="s">
        <v>126</v>
      </c>
      <c r="C67" s="80">
        <v>0</v>
      </c>
      <c r="D67" s="79">
        <f t="shared" si="0"/>
        <v>2400</v>
      </c>
      <c r="E67" s="79">
        <f>' 2018-2019'!J66</f>
        <v>1500</v>
      </c>
      <c r="F67" s="139">
        <f>' 2018-2019'!F67</f>
        <v>200</v>
      </c>
      <c r="G67" s="78">
        <f t="shared" si="1"/>
        <v>2400</v>
      </c>
      <c r="H67" s="159">
        <f t="shared" ref="H67:H90" si="38">BL67</f>
        <v>200</v>
      </c>
      <c r="I67" s="78">
        <f t="shared" si="3"/>
        <v>2200</v>
      </c>
      <c r="J67" s="78">
        <f>I67+M67+E67</f>
        <v>6003.0677527219323</v>
      </c>
      <c r="K67" s="157">
        <f t="shared" ref="K67:K90" si="39">Q67+U67+Y67+AC67+AG67+AK67+AO67+AS67+AW67+BA67+BE67+BI67</f>
        <v>1.9799999999999998</v>
      </c>
      <c r="L67" s="157">
        <f t="shared" si="35"/>
        <v>10.8911</v>
      </c>
      <c r="M67" s="78">
        <f t="shared" si="5"/>
        <v>2303.0677527219323</v>
      </c>
      <c r="N67" s="194">
        <f t="shared" si="6"/>
        <v>2303.0677527219323</v>
      </c>
      <c r="O67" s="78">
        <f t="shared" si="7"/>
        <v>-2094.1566527219325</v>
      </c>
      <c r="P67" s="165">
        <v>0</v>
      </c>
      <c r="Q67" s="166">
        <f t="shared" ref="Q67:Q90" si="40">P67*0.99%</f>
        <v>0</v>
      </c>
      <c r="R67" s="119">
        <f>E67+'Catch up Fee'!E67</f>
        <v>1700</v>
      </c>
      <c r="S67" s="167">
        <f t="shared" si="9"/>
        <v>93.5</v>
      </c>
      <c r="T67" s="165">
        <v>0</v>
      </c>
      <c r="U67" s="166">
        <f t="shared" ref="U67:U90" si="41">T67*0.99%</f>
        <v>0</v>
      </c>
      <c r="V67" s="33">
        <f>R67-T67+'Catch up Fee'!E67+S67</f>
        <v>1993.5</v>
      </c>
      <c r="W67" s="167">
        <f t="shared" si="11"/>
        <v>109.6425</v>
      </c>
      <c r="X67" s="165">
        <v>0</v>
      </c>
      <c r="Y67" s="166">
        <f t="shared" ref="Y67:Y90" si="42">X67*0.99%</f>
        <v>0</v>
      </c>
      <c r="Z67" s="33">
        <f>V67-X67+'Catch up Fee'!E67+W67</f>
        <v>2303.1424999999999</v>
      </c>
      <c r="AA67" s="167">
        <f t="shared" si="13"/>
        <v>126.6728375</v>
      </c>
      <c r="AB67" s="165">
        <v>0</v>
      </c>
      <c r="AC67" s="166">
        <f t="shared" ref="AC67:AC90" si="43">AB67*0.99%</f>
        <v>0</v>
      </c>
      <c r="AD67" s="33">
        <f>Z67-AB67+'Catch up Fee'!E67+AA67</f>
        <v>2629.8153374999997</v>
      </c>
      <c r="AE67" s="167">
        <f t="shared" si="15"/>
        <v>144.63984356249998</v>
      </c>
      <c r="AF67" s="165">
        <v>0</v>
      </c>
      <c r="AG67" s="166">
        <f t="shared" ref="AG67:AG90" si="44">AF67*0.99%</f>
        <v>0</v>
      </c>
      <c r="AH67" s="33">
        <f>AD67-AF67+'Catch up Fee'!E67+AE67</f>
        <v>2974.4551810624998</v>
      </c>
      <c r="AI67" s="167">
        <f t="shared" si="17"/>
        <v>163.59503495843748</v>
      </c>
      <c r="AJ67" s="165">
        <f>'2018-2019 B STATEMENT '!B474</f>
        <v>200</v>
      </c>
      <c r="AK67" s="166">
        <f t="shared" ref="AK67:AK90" si="45">AJ67*0.99%</f>
        <v>1.9799999999999998</v>
      </c>
      <c r="AL67" s="33">
        <f>AH67-AJ67+'Catch up Fee'!E67+AI67</f>
        <v>3138.0502160209371</v>
      </c>
      <c r="AM67" s="167">
        <f t="shared" si="19"/>
        <v>161.59276188115155</v>
      </c>
      <c r="AN67" s="165">
        <v>0</v>
      </c>
      <c r="AO67" s="166">
        <f t="shared" ref="AO67:AO90" si="46">AN67*0.99%</f>
        <v>0</v>
      </c>
      <c r="AP67" s="33">
        <f>AL67-AN67+'Catch up Fee'!E67+AM67</f>
        <v>3499.6429779020887</v>
      </c>
      <c r="AQ67" s="167">
        <f t="shared" si="21"/>
        <v>192.48036378461487</v>
      </c>
      <c r="AR67" s="165">
        <v>0</v>
      </c>
      <c r="AS67" s="166">
        <f t="shared" ref="AS67:AS90" si="47">AR67*0.99%</f>
        <v>0</v>
      </c>
      <c r="AT67" s="33">
        <f>AP67-AR67+'Catch up Fee'!E67+AQ67</f>
        <v>3892.1233416867035</v>
      </c>
      <c r="AU67" s="167">
        <f t="shared" si="23"/>
        <v>214.06678379276869</v>
      </c>
      <c r="AV67" s="165">
        <v>0</v>
      </c>
      <c r="AW67" s="166">
        <f t="shared" ref="AW67:AW90" si="48">AV67*0.99%</f>
        <v>0</v>
      </c>
      <c r="AX67" s="33">
        <f>AT67-AV67+'Catch up Fee'!E67+AU67</f>
        <v>4306.190125479472</v>
      </c>
      <c r="AY67" s="167">
        <f t="shared" si="25"/>
        <v>236.84045690137097</v>
      </c>
      <c r="AZ67" s="165">
        <v>0</v>
      </c>
      <c r="BA67" s="166">
        <f t="shared" ref="BA67:BA90" si="49">AZ67*0.99%</f>
        <v>0</v>
      </c>
      <c r="BB67" s="33">
        <f>AX67-AZ67+'Catch up Fee'!E67+AY67</f>
        <v>4743.030582380843</v>
      </c>
      <c r="BC67" s="167">
        <f t="shared" si="27"/>
        <v>260.86668203094638</v>
      </c>
      <c r="BD67" s="165">
        <v>0</v>
      </c>
      <c r="BE67" s="166">
        <f t="shared" ref="BE67:BE90" si="50">BD67*0.99%</f>
        <v>0</v>
      </c>
      <c r="BF67" s="33">
        <f>BB67-BD67+'Catch up Fee'!E67+BC67</f>
        <v>5203.8972644117894</v>
      </c>
      <c r="BG67" s="167">
        <f t="shared" si="29"/>
        <v>286.21434954264839</v>
      </c>
      <c r="BH67" s="165">
        <v>0</v>
      </c>
      <c r="BI67" s="166">
        <f t="shared" ref="BI67:BI90" si="51">BH67*0.99%</f>
        <v>0</v>
      </c>
      <c r="BJ67" s="33">
        <f>BF67-BH67+'Catch up Fee'!E67+BG67</f>
        <v>5690.1116139544374</v>
      </c>
      <c r="BK67" s="167">
        <f t="shared" si="31"/>
        <v>312.95613876749405</v>
      </c>
      <c r="BL67" s="185">
        <f t="shared" ref="BL67:BL90" si="52">P67+T67+X67+AB67+AF67+AJ67+AR67+AN67+AV67+AZ67+BD67+BH67</f>
        <v>200</v>
      </c>
    </row>
    <row r="68" spans="1:64">
      <c r="A68" s="10" t="s">
        <v>639</v>
      </c>
      <c r="B68" s="10" t="s">
        <v>116</v>
      </c>
      <c r="C68" s="80">
        <v>0</v>
      </c>
      <c r="D68" s="79">
        <f t="shared" ref="D68:D90" si="53">200*12</f>
        <v>2400</v>
      </c>
      <c r="E68" s="79">
        <f>' 2018-2019'!J67</f>
        <v>1200</v>
      </c>
      <c r="F68" s="139">
        <f>' 2018-2019'!F68</f>
        <v>0</v>
      </c>
      <c r="G68" s="78">
        <f t="shared" ref="G68:G90" si="54">C68+D68</f>
        <v>2400</v>
      </c>
      <c r="H68" s="159">
        <f t="shared" si="38"/>
        <v>1700</v>
      </c>
      <c r="I68" s="78">
        <f t="shared" ref="I68:I90" si="55">G68-H68-C68</f>
        <v>700</v>
      </c>
      <c r="J68" s="78">
        <f>I68+M68+E68+F68</f>
        <v>3859.428052558193</v>
      </c>
      <c r="K68" s="157">
        <f t="shared" si="39"/>
        <v>16.829999999999998</v>
      </c>
      <c r="L68" s="157">
        <f t="shared" si="35"/>
        <v>92.57435000000001</v>
      </c>
      <c r="M68" s="78">
        <f t="shared" ref="M68:M90" si="56">S68+W68+AA68+AE68+AI68+AM68+AQ68+AU68+AY68+BC68+BG68+BK68</f>
        <v>1959.428052558193</v>
      </c>
      <c r="N68" s="194">
        <f t="shared" ref="N68:N90" si="57">M68</f>
        <v>1959.428052558193</v>
      </c>
      <c r="O68" s="78">
        <f t="shared" ref="O68:O89" si="58">H68-K68-M68+L68</f>
        <v>-183.68370255819295</v>
      </c>
      <c r="P68" s="165">
        <f>'2018-2019 B STATEMENT '!B340</f>
        <v>700</v>
      </c>
      <c r="Q68" s="166">
        <f t="shared" si="40"/>
        <v>6.93</v>
      </c>
      <c r="R68" s="119">
        <f>E68+'Catch up Fee'!E68</f>
        <v>1400</v>
      </c>
      <c r="S68" s="167">
        <f t="shared" ref="S68:S90" si="59">(R68-P68)*0.055</f>
        <v>38.5</v>
      </c>
      <c r="T68" s="165">
        <v>0</v>
      </c>
      <c r="U68" s="166">
        <f t="shared" si="41"/>
        <v>0</v>
      </c>
      <c r="V68" s="33">
        <f>R68-T68+'Catch up Fee'!E68+S68</f>
        <v>1638.5</v>
      </c>
      <c r="W68" s="167">
        <f t="shared" ref="W68:W90" si="60">(V68-T68)*0.055</f>
        <v>90.117500000000007</v>
      </c>
      <c r="X68" s="165">
        <v>0</v>
      </c>
      <c r="Y68" s="166">
        <f t="shared" si="42"/>
        <v>0</v>
      </c>
      <c r="Z68" s="33">
        <f>V68-X68+'Catch up Fee'!E68+W68</f>
        <v>1928.6175000000001</v>
      </c>
      <c r="AA68" s="167">
        <f t="shared" ref="AA68:AA90" si="61">(Z68-X68)*0.055</f>
        <v>106.07396250000001</v>
      </c>
      <c r="AB68" s="165">
        <v>0</v>
      </c>
      <c r="AC68" s="166">
        <f t="shared" si="43"/>
        <v>0</v>
      </c>
      <c r="AD68" s="33">
        <f>Z68-AB68+'Catch up Fee'!E68+AA68</f>
        <v>2234.6914625000004</v>
      </c>
      <c r="AE68" s="167">
        <f t="shared" ref="AE68:AE90" si="62">(AD68-AB68)*0.055</f>
        <v>122.90803043750002</v>
      </c>
      <c r="AF68" s="165">
        <v>0</v>
      </c>
      <c r="AG68" s="166">
        <f t="shared" si="44"/>
        <v>0</v>
      </c>
      <c r="AH68" s="33">
        <f>AD68-AF68+'Catch up Fee'!E68+AE68</f>
        <v>2557.5994929375006</v>
      </c>
      <c r="AI68" s="167">
        <f t="shared" ref="AI68:AI90" si="63">(AH68-AF68)*0.055</f>
        <v>140.66797211156253</v>
      </c>
      <c r="AJ68" s="165">
        <v>0</v>
      </c>
      <c r="AK68" s="166">
        <f t="shared" si="45"/>
        <v>0</v>
      </c>
      <c r="AL68" s="33">
        <f>AH68-AJ68+'Catch up Fee'!E68+AI68</f>
        <v>2898.267465049063</v>
      </c>
      <c r="AM68" s="167">
        <f t="shared" ref="AM68:AM90" si="64">(AL68-AJ68)*0.055</f>
        <v>159.40471057769847</v>
      </c>
      <c r="AN68" s="165">
        <v>0</v>
      </c>
      <c r="AO68" s="166">
        <f t="shared" si="46"/>
        <v>0</v>
      </c>
      <c r="AP68" s="33">
        <f>AL68-AN68+'Catch up Fee'!E68+AM68</f>
        <v>3257.6721756267616</v>
      </c>
      <c r="AQ68" s="167">
        <f t="shared" ref="AQ68:AQ90" si="65">(AP68-AN68)*0.055</f>
        <v>179.1719696594719</v>
      </c>
      <c r="AR68" s="165">
        <v>0</v>
      </c>
      <c r="AS68" s="166">
        <f t="shared" si="47"/>
        <v>0</v>
      </c>
      <c r="AT68" s="33">
        <f>AP68-AR68+'Catch up Fee'!E68+AQ68</f>
        <v>3636.8441452862335</v>
      </c>
      <c r="AU68" s="167">
        <f t="shared" ref="AU68:AU90" si="66">(AT68-AR68)*0.055</f>
        <v>200.02642799074283</v>
      </c>
      <c r="AV68" s="165">
        <v>0</v>
      </c>
      <c r="AW68" s="166">
        <f t="shared" si="48"/>
        <v>0</v>
      </c>
      <c r="AX68" s="33">
        <f>AT68-AV68+'Catch up Fee'!E68+AU68</f>
        <v>4036.8705732769763</v>
      </c>
      <c r="AY68" s="167">
        <f t="shared" ref="AY68:AY90" si="67">(AX68-AV68)*0.055</f>
        <v>222.02788153023369</v>
      </c>
      <c r="AZ68" s="165">
        <v>0</v>
      </c>
      <c r="BA68" s="166">
        <f t="shared" si="49"/>
        <v>0</v>
      </c>
      <c r="BB68" s="33">
        <f>AX68-AZ68+'Catch up Fee'!E68+AY68</f>
        <v>4458.8984548072094</v>
      </c>
      <c r="BC68" s="167">
        <f t="shared" ref="BC68:BC90" si="68">(BB68-AZ68)*0.055</f>
        <v>245.23941501439651</v>
      </c>
      <c r="BD68" s="165">
        <v>0</v>
      </c>
      <c r="BE68" s="166">
        <f t="shared" si="50"/>
        <v>0</v>
      </c>
      <c r="BF68" s="33">
        <f>BB68-BD68+'Catch up Fee'!E68+BC68</f>
        <v>4904.1378698216058</v>
      </c>
      <c r="BG68" s="167">
        <f t="shared" ref="BG68:BG90" si="69">(BF68-BD68)*0.055</f>
        <v>269.72758284018835</v>
      </c>
      <c r="BH68" s="165">
        <f>'2018-2019 B STATEMENT '!B576</f>
        <v>1000</v>
      </c>
      <c r="BI68" s="166">
        <f t="shared" si="51"/>
        <v>9.8999999999999986</v>
      </c>
      <c r="BJ68" s="33">
        <f>BF68-BH68+'Catch up Fee'!E68+BG68</f>
        <v>4373.8654526617938</v>
      </c>
      <c r="BK68" s="167">
        <f t="shared" ref="BK68:BK90" si="70">(BJ68-BH68)*0.055</f>
        <v>185.56259989639867</v>
      </c>
      <c r="BL68" s="185">
        <f t="shared" si="52"/>
        <v>1700</v>
      </c>
    </row>
    <row r="69" spans="1:64">
      <c r="A69" s="10" t="s">
        <v>640</v>
      </c>
      <c r="B69" s="10" t="s">
        <v>154</v>
      </c>
      <c r="C69" s="80">
        <v>0</v>
      </c>
      <c r="D69" s="79">
        <f t="shared" si="53"/>
        <v>2400</v>
      </c>
      <c r="E69" s="79">
        <f>' 2018-2019'!J68</f>
        <v>300</v>
      </c>
      <c r="F69" s="139">
        <f>' 2018-2019'!F69</f>
        <v>1800</v>
      </c>
      <c r="G69" s="78">
        <f t="shared" si="54"/>
        <v>2400</v>
      </c>
      <c r="H69" s="159">
        <f t="shared" si="38"/>
        <v>4000</v>
      </c>
      <c r="I69" s="78">
        <f t="shared" si="55"/>
        <v>-1600</v>
      </c>
      <c r="J69" s="78">
        <f>I69+M69+E69</f>
        <v>-2114.0867182176189</v>
      </c>
      <c r="K69" s="157">
        <f t="shared" si="39"/>
        <v>39.599999999999987</v>
      </c>
      <c r="L69" s="157">
        <f t="shared" si="35"/>
        <v>217.822</v>
      </c>
      <c r="M69" s="78">
        <f t="shared" si="56"/>
        <v>-814.08671821761914</v>
      </c>
      <c r="N69" s="194">
        <f t="shared" si="57"/>
        <v>-814.08671821761914</v>
      </c>
      <c r="O69" s="78">
        <f t="shared" si="58"/>
        <v>4992.3087182176196</v>
      </c>
      <c r="P69" s="165">
        <f>'2018-2019 B STATEMENT '!B329</f>
        <v>200</v>
      </c>
      <c r="Q69" s="166">
        <f t="shared" si="40"/>
        <v>1.9799999999999998</v>
      </c>
      <c r="R69" s="119">
        <f>E69+'Catch up Fee'!E69</f>
        <v>500</v>
      </c>
      <c r="S69" s="167">
        <f t="shared" si="59"/>
        <v>16.5</v>
      </c>
      <c r="T69" s="165">
        <f>'2018-2019 B STATEMENT '!B363</f>
        <v>200</v>
      </c>
      <c r="U69" s="166">
        <f t="shared" si="41"/>
        <v>1.9799999999999998</v>
      </c>
      <c r="V69" s="33">
        <f>R69-T69+'Catch up Fee'!E69+S69</f>
        <v>516.5</v>
      </c>
      <c r="W69" s="167">
        <f t="shared" si="60"/>
        <v>17.407499999999999</v>
      </c>
      <c r="X69" s="165">
        <f>'2018-2019 B STATEMENT '!B395</f>
        <v>200</v>
      </c>
      <c r="Y69" s="166">
        <f t="shared" si="42"/>
        <v>1.9799999999999998</v>
      </c>
      <c r="Z69" s="33">
        <f>V69-X69+'Catch up Fee'!E69+W69</f>
        <v>533.90750000000003</v>
      </c>
      <c r="AA69" s="167">
        <f t="shared" si="61"/>
        <v>18.364912500000003</v>
      </c>
      <c r="AB69" s="165">
        <f>'2018-2019 B STATEMENT '!B418</f>
        <v>200</v>
      </c>
      <c r="AC69" s="166">
        <f t="shared" si="43"/>
        <v>1.9799999999999998</v>
      </c>
      <c r="AD69" s="33">
        <f>Z69-AB69+'Catch up Fee'!E69+AA69</f>
        <v>552.27241249999997</v>
      </c>
      <c r="AE69" s="167">
        <f t="shared" si="62"/>
        <v>19.374982687499998</v>
      </c>
      <c r="AF69" s="165">
        <f>'2018-2019 B STATEMENT '!B432+'2018-2019 B STATEMENT '!B442</f>
        <v>2000</v>
      </c>
      <c r="AG69" s="166">
        <f t="shared" si="44"/>
        <v>19.799999999999997</v>
      </c>
      <c r="AH69" s="33">
        <f>AD69-AF69+'Catch up Fee'!E69+AE69</f>
        <v>-1228.3526048125</v>
      </c>
      <c r="AI69" s="167">
        <f t="shared" si="63"/>
        <v>-177.55939326468749</v>
      </c>
      <c r="AJ69" s="165">
        <f>'2018-2019 B STATEMENT '!B464</f>
        <v>200</v>
      </c>
      <c r="AK69" s="166">
        <f t="shared" si="45"/>
        <v>1.9799999999999998</v>
      </c>
      <c r="AL69" s="33">
        <f>AH69-AJ69+'Catch up Fee'!E69+AI69</f>
        <v>-1405.9119980771875</v>
      </c>
      <c r="AM69" s="167">
        <f t="shared" si="64"/>
        <v>-88.325159894245317</v>
      </c>
      <c r="AN69" s="165">
        <f>'2018-2019 B STATEMENT '!B488</f>
        <v>200</v>
      </c>
      <c r="AO69" s="166">
        <f t="shared" si="46"/>
        <v>1.9799999999999998</v>
      </c>
      <c r="AP69" s="33">
        <f>AL69-AN69+'Catch up Fee'!E69+AM69</f>
        <v>-1494.2371579714329</v>
      </c>
      <c r="AQ69" s="167">
        <f t="shared" si="65"/>
        <v>-93.18304368842881</v>
      </c>
      <c r="AR69" s="165">
        <f>'2018-2019 B STATEMENT '!B504</f>
        <v>200</v>
      </c>
      <c r="AS69" s="166">
        <f t="shared" si="47"/>
        <v>1.9799999999999998</v>
      </c>
      <c r="AT69" s="33">
        <f>AP69-AR69+'Catch up Fee'!E69+AQ69</f>
        <v>-1587.4202016598617</v>
      </c>
      <c r="AU69" s="167">
        <f t="shared" si="66"/>
        <v>-98.308111091292389</v>
      </c>
      <c r="AV69" s="165">
        <f>'2018-2019 B STATEMENT '!B524</f>
        <v>200</v>
      </c>
      <c r="AW69" s="166">
        <f t="shared" si="48"/>
        <v>1.9799999999999998</v>
      </c>
      <c r="AX69" s="33">
        <f>AT69-AV69+'Catch up Fee'!E69+AU69</f>
        <v>-1685.7283127511541</v>
      </c>
      <c r="AY69" s="167">
        <f t="shared" si="67"/>
        <v>-103.71505720131348</v>
      </c>
      <c r="AZ69" s="165">
        <f>'2018-2019 B STATEMENT '!B544</f>
        <v>200</v>
      </c>
      <c r="BA69" s="166">
        <f t="shared" si="49"/>
        <v>1.9799999999999998</v>
      </c>
      <c r="BB69" s="33">
        <f>AX69-AZ69+'Catch up Fee'!E69+AY69</f>
        <v>-1789.4433699524677</v>
      </c>
      <c r="BC69" s="167">
        <f t="shared" si="68"/>
        <v>-109.41938534738573</v>
      </c>
      <c r="BD69" s="165">
        <f>'2018-2019 B STATEMENT '!B524</f>
        <v>200</v>
      </c>
      <c r="BE69" s="166">
        <f t="shared" si="50"/>
        <v>1.9799999999999998</v>
      </c>
      <c r="BF69" s="33">
        <f>BB69-BD69+'Catch up Fee'!E69+BC69</f>
        <v>-1898.8627552998535</v>
      </c>
      <c r="BG69" s="167">
        <f t="shared" si="69"/>
        <v>-115.43745154149192</v>
      </c>
      <c r="BH69" s="165">
        <v>0</v>
      </c>
      <c r="BI69" s="166">
        <f t="shared" si="51"/>
        <v>0</v>
      </c>
      <c r="BJ69" s="33">
        <f>BF69-BH69+'Catch up Fee'!E69+BG69</f>
        <v>-1814.3002068413455</v>
      </c>
      <c r="BK69" s="167">
        <f t="shared" si="70"/>
        <v>-99.786511376274007</v>
      </c>
      <c r="BL69" s="185">
        <f t="shared" si="52"/>
        <v>4000</v>
      </c>
    </row>
    <row r="70" spans="1:64">
      <c r="A70" s="10" t="s">
        <v>641</v>
      </c>
      <c r="B70" s="10" t="s">
        <v>115</v>
      </c>
      <c r="C70" s="80">
        <v>0</v>
      </c>
      <c r="D70" s="79">
        <f t="shared" si="53"/>
        <v>2400</v>
      </c>
      <c r="E70" s="79">
        <f>' 2018-2019'!J69</f>
        <v>2000</v>
      </c>
      <c r="F70" s="139">
        <f>' 2018-2019'!F70</f>
        <v>0</v>
      </c>
      <c r="G70" s="78">
        <f t="shared" si="54"/>
        <v>2400</v>
      </c>
      <c r="H70" s="159">
        <f t="shared" si="38"/>
        <v>2200</v>
      </c>
      <c r="I70" s="78">
        <f t="shared" si="55"/>
        <v>200</v>
      </c>
      <c r="J70" s="78">
        <f>I70+M70+E70+F70</f>
        <v>3694.1574043685641</v>
      </c>
      <c r="K70" s="157">
        <f t="shared" si="39"/>
        <v>21.779999999999994</v>
      </c>
      <c r="L70" s="157">
        <f t="shared" si="35"/>
        <v>119.8021</v>
      </c>
      <c r="M70" s="78">
        <f t="shared" si="56"/>
        <v>1494.1574043685639</v>
      </c>
      <c r="N70" s="194">
        <f t="shared" si="57"/>
        <v>1494.1574043685639</v>
      </c>
      <c r="O70" s="78">
        <f t="shared" si="58"/>
        <v>803.86469563143589</v>
      </c>
      <c r="P70" s="165">
        <f>'2018-2019 B STATEMENT '!B341</f>
        <v>50</v>
      </c>
      <c r="Q70" s="166">
        <f t="shared" si="40"/>
        <v>0.49499999999999994</v>
      </c>
      <c r="R70" s="119">
        <f>E70+'Catch up Fee'!E70</f>
        <v>2200</v>
      </c>
      <c r="S70" s="167">
        <f t="shared" si="59"/>
        <v>118.25</v>
      </c>
      <c r="T70" s="165">
        <v>0</v>
      </c>
      <c r="U70" s="166">
        <f t="shared" si="41"/>
        <v>0</v>
      </c>
      <c r="V70" s="33">
        <f>R70-T70+'Catch up Fee'!E70+S70</f>
        <v>2518.25</v>
      </c>
      <c r="W70" s="167">
        <f t="shared" si="60"/>
        <v>138.50375</v>
      </c>
      <c r="X70" s="165">
        <f>'2018-2019 B STATEMENT '!B398</f>
        <v>1000</v>
      </c>
      <c r="Y70" s="166">
        <f t="shared" si="42"/>
        <v>9.8999999999999986</v>
      </c>
      <c r="Z70" s="33">
        <f>V70-X70+'Catch up Fee'!E70+W70</f>
        <v>1856.7537500000001</v>
      </c>
      <c r="AA70" s="167">
        <f t="shared" si="61"/>
        <v>47.121456250000001</v>
      </c>
      <c r="AB70" s="165">
        <v>0</v>
      </c>
      <c r="AC70" s="166">
        <f t="shared" si="43"/>
        <v>0</v>
      </c>
      <c r="AD70" s="33">
        <f>Z70-AB70+'Catch up Fee'!E70+AA70</f>
        <v>2103.8752062499998</v>
      </c>
      <c r="AE70" s="167">
        <f t="shared" si="62"/>
        <v>115.71313634374999</v>
      </c>
      <c r="AF70" s="165">
        <v>0</v>
      </c>
      <c r="AG70" s="166">
        <f t="shared" si="44"/>
        <v>0</v>
      </c>
      <c r="AH70" s="33">
        <f>AD70-AF70+'Catch up Fee'!E70+AE70</f>
        <v>2419.58834259375</v>
      </c>
      <c r="AI70" s="167">
        <f t="shared" si="63"/>
        <v>133.07735884265625</v>
      </c>
      <c r="AJ70" s="165">
        <f>'2018-2019 B STATEMENT '!B471</f>
        <v>850</v>
      </c>
      <c r="AK70" s="166">
        <f t="shared" si="45"/>
        <v>8.4149999999999991</v>
      </c>
      <c r="AL70" s="33">
        <f>AH70-AJ70+'Catch up Fee'!E70+AI70</f>
        <v>1902.6657014364062</v>
      </c>
      <c r="AM70" s="167">
        <f t="shared" si="64"/>
        <v>57.896613579002342</v>
      </c>
      <c r="AN70" s="165">
        <v>0</v>
      </c>
      <c r="AO70" s="166">
        <f t="shared" si="46"/>
        <v>0</v>
      </c>
      <c r="AP70" s="33">
        <f>AL70-AN70+'Catch up Fee'!E70+AM70</f>
        <v>2160.5623150154088</v>
      </c>
      <c r="AQ70" s="167">
        <f t="shared" si="65"/>
        <v>118.83092732584748</v>
      </c>
      <c r="AR70" s="165">
        <f>'2018-2019 B STATEMENT '!B495</f>
        <v>300</v>
      </c>
      <c r="AS70" s="166">
        <f t="shared" si="47"/>
        <v>2.9699999999999998</v>
      </c>
      <c r="AT70" s="33">
        <f>AP70-AR70+'Catch up Fee'!E70+AQ70</f>
        <v>2179.3932423412562</v>
      </c>
      <c r="AU70" s="167">
        <f t="shared" si="66"/>
        <v>103.3666283287691</v>
      </c>
      <c r="AV70" s="165">
        <v>0</v>
      </c>
      <c r="AW70" s="166">
        <f t="shared" si="48"/>
        <v>0</v>
      </c>
      <c r="AX70" s="33">
        <f>AT70-AV70+'Catch up Fee'!E70+AU70</f>
        <v>2482.7598706700251</v>
      </c>
      <c r="AY70" s="167">
        <f t="shared" si="67"/>
        <v>136.55179288685139</v>
      </c>
      <c r="AZ70" s="165">
        <v>0</v>
      </c>
      <c r="BA70" s="166">
        <f t="shared" si="49"/>
        <v>0</v>
      </c>
      <c r="BB70" s="33">
        <f>AX70-AZ70+'Catch up Fee'!E70+AY70</f>
        <v>2819.3116635568763</v>
      </c>
      <c r="BC70" s="167">
        <f t="shared" si="68"/>
        <v>155.0621414956282</v>
      </c>
      <c r="BD70" s="165">
        <v>0</v>
      </c>
      <c r="BE70" s="166">
        <f t="shared" si="50"/>
        <v>0</v>
      </c>
      <c r="BF70" s="33">
        <f>BB70-BD70+'Catch up Fee'!E70+BC70</f>
        <v>3174.3738050525044</v>
      </c>
      <c r="BG70" s="167">
        <f t="shared" si="69"/>
        <v>174.59055927788773</v>
      </c>
      <c r="BH70" s="165">
        <v>0</v>
      </c>
      <c r="BI70" s="166">
        <f t="shared" si="51"/>
        <v>0</v>
      </c>
      <c r="BJ70" s="33">
        <f>BF70-BH70+'Catch up Fee'!E70+BG70</f>
        <v>3548.9643643303921</v>
      </c>
      <c r="BK70" s="167">
        <f t="shared" si="70"/>
        <v>195.19304003817157</v>
      </c>
      <c r="BL70" s="185">
        <f t="shared" si="52"/>
        <v>2200</v>
      </c>
    </row>
    <row r="71" spans="1:64">
      <c r="A71" s="10" t="s">
        <v>642</v>
      </c>
      <c r="B71" s="10" t="s">
        <v>153</v>
      </c>
      <c r="C71" s="80">
        <v>0</v>
      </c>
      <c r="D71" s="79">
        <f t="shared" si="53"/>
        <v>2400</v>
      </c>
      <c r="E71" s="79">
        <f>' 2018-2019'!J70</f>
        <v>-50</v>
      </c>
      <c r="F71" s="139">
        <f>' 2018-2019'!F71</f>
        <v>600</v>
      </c>
      <c r="G71" s="78">
        <f t="shared" si="54"/>
        <v>2400</v>
      </c>
      <c r="H71" s="159">
        <f t="shared" si="38"/>
        <v>2000</v>
      </c>
      <c r="I71" s="78">
        <f t="shared" si="55"/>
        <v>400</v>
      </c>
      <c r="J71" s="78">
        <f t="shared" ref="J71:J76" si="71">I71+M71+E71</f>
        <v>303.20019422363765</v>
      </c>
      <c r="K71" s="157">
        <f t="shared" si="39"/>
        <v>19.8</v>
      </c>
      <c r="L71" s="157">
        <f t="shared" si="35"/>
        <v>108.911</v>
      </c>
      <c r="M71" s="78">
        <f t="shared" si="56"/>
        <v>-46.799805776362334</v>
      </c>
      <c r="N71" s="194">
        <f t="shared" si="57"/>
        <v>-46.799805776362334</v>
      </c>
      <c r="O71" s="78">
        <f t="shared" si="58"/>
        <v>2135.9108057763624</v>
      </c>
      <c r="P71" s="165">
        <f>'2018-2019 B STATEMENT '!B326</f>
        <v>300</v>
      </c>
      <c r="Q71" s="166">
        <f t="shared" si="40"/>
        <v>2.9699999999999998</v>
      </c>
      <c r="R71" s="119">
        <f>E71+'Catch up Fee'!E71</f>
        <v>150</v>
      </c>
      <c r="S71" s="167">
        <f t="shared" si="59"/>
        <v>-8.25</v>
      </c>
      <c r="T71" s="165">
        <f>'2018-2019 B STATEMENT '!B358</f>
        <v>300</v>
      </c>
      <c r="U71" s="166">
        <f t="shared" si="41"/>
        <v>2.9699999999999998</v>
      </c>
      <c r="V71" s="33">
        <f>R71-T71+'Catch up Fee'!E71+S71</f>
        <v>41.75</v>
      </c>
      <c r="W71" s="167">
        <f t="shared" si="60"/>
        <v>-14.203749999999999</v>
      </c>
      <c r="X71" s="165">
        <f>'2018-2019 B STATEMENT '!B390</f>
        <v>300</v>
      </c>
      <c r="Y71" s="166">
        <f t="shared" si="42"/>
        <v>2.9699999999999998</v>
      </c>
      <c r="Z71" s="33">
        <f>V71-X71+'Catch up Fee'!E71+W71</f>
        <v>-72.453749999999999</v>
      </c>
      <c r="AA71" s="167">
        <f t="shared" si="61"/>
        <v>-20.48495625</v>
      </c>
      <c r="AB71" s="165">
        <f>'2018-2019 B STATEMENT '!B413</f>
        <v>300</v>
      </c>
      <c r="AC71" s="166">
        <f t="shared" si="43"/>
        <v>2.9699999999999998</v>
      </c>
      <c r="AD71" s="33">
        <f>Z71-AB71+'Catch up Fee'!E71+AA71</f>
        <v>-192.93870625000002</v>
      </c>
      <c r="AE71" s="167">
        <f t="shared" si="62"/>
        <v>-27.111628843750001</v>
      </c>
      <c r="AF71" s="165">
        <f>'2018-2019 B STATEMENT '!B439</f>
        <v>200</v>
      </c>
      <c r="AG71" s="166">
        <f t="shared" si="44"/>
        <v>1.9799999999999998</v>
      </c>
      <c r="AH71" s="33">
        <f>AD71-AF71+'Catch up Fee'!E71+AE71</f>
        <v>-220.05033509374999</v>
      </c>
      <c r="AI71" s="167">
        <f t="shared" si="63"/>
        <v>-23.102768430156249</v>
      </c>
      <c r="AJ71" s="165">
        <f>'2018-2019 B STATEMENT '!B459</f>
        <v>200</v>
      </c>
      <c r="AK71" s="166">
        <f t="shared" si="45"/>
        <v>1.9799999999999998</v>
      </c>
      <c r="AL71" s="33">
        <f>AH71-AJ71+'Catch up Fee'!E71+AI71</f>
        <v>-243.15310352390625</v>
      </c>
      <c r="AM71" s="167">
        <f t="shared" si="64"/>
        <v>-24.373420693814843</v>
      </c>
      <c r="AN71" s="165">
        <v>0</v>
      </c>
      <c r="AO71" s="166">
        <f t="shared" si="46"/>
        <v>0</v>
      </c>
      <c r="AP71" s="33">
        <f>AL71-AN71+'Catch up Fee'!E71+AM71</f>
        <v>-67.526524217721089</v>
      </c>
      <c r="AQ71" s="167">
        <f t="shared" si="65"/>
        <v>-3.7139588319746601</v>
      </c>
      <c r="AR71" s="165">
        <v>0</v>
      </c>
      <c r="AS71" s="166">
        <f t="shared" si="47"/>
        <v>0</v>
      </c>
      <c r="AT71" s="33">
        <f>AP71-AR71+'Catch up Fee'!E71+AQ71</f>
        <v>128.75951695030426</v>
      </c>
      <c r="AU71" s="167">
        <f t="shared" si="66"/>
        <v>7.0817734322667345</v>
      </c>
      <c r="AV71" s="165">
        <v>0</v>
      </c>
      <c r="AW71" s="166">
        <f t="shared" si="48"/>
        <v>0</v>
      </c>
      <c r="AX71" s="33">
        <f>AT71-AV71+'Catch up Fee'!E71+AU71</f>
        <v>335.841290382571</v>
      </c>
      <c r="AY71" s="167">
        <f t="shared" si="67"/>
        <v>18.471270971041406</v>
      </c>
      <c r="AZ71" s="165">
        <f>'2018-2019 B STATEMENT '!B542</f>
        <v>200</v>
      </c>
      <c r="BA71" s="166">
        <f t="shared" si="49"/>
        <v>1.9799999999999998</v>
      </c>
      <c r="BB71" s="33">
        <f>AX71-AZ71+'Catch up Fee'!E71+AY71</f>
        <v>354.31256135361241</v>
      </c>
      <c r="BC71" s="167">
        <f t="shared" si="68"/>
        <v>8.4871908744486824</v>
      </c>
      <c r="BD71" s="165">
        <f>'2018-2019 B STATEMENT '!B562</f>
        <v>200</v>
      </c>
      <c r="BE71" s="166">
        <f t="shared" si="50"/>
        <v>1.9799999999999998</v>
      </c>
      <c r="BF71" s="33">
        <f>BB71-BD71+'Catch up Fee'!E71+BC71</f>
        <v>362.7997522280611</v>
      </c>
      <c r="BG71" s="167">
        <f t="shared" si="69"/>
        <v>8.9539863725433602</v>
      </c>
      <c r="BH71" s="165">
        <v>0</v>
      </c>
      <c r="BI71" s="166">
        <f t="shared" si="51"/>
        <v>0</v>
      </c>
      <c r="BJ71" s="33">
        <f>BF71-BH71+'Catch up Fee'!E71+BG71</f>
        <v>571.75373860060449</v>
      </c>
      <c r="BK71" s="167">
        <f t="shared" si="70"/>
        <v>31.446455623033248</v>
      </c>
      <c r="BL71" s="185">
        <f t="shared" si="52"/>
        <v>2000</v>
      </c>
    </row>
    <row r="72" spans="1:64">
      <c r="A72" s="10" t="s">
        <v>643</v>
      </c>
      <c r="B72" s="10" t="s">
        <v>122</v>
      </c>
      <c r="C72" s="80">
        <v>0</v>
      </c>
      <c r="D72" s="79">
        <f t="shared" si="53"/>
        <v>2400</v>
      </c>
      <c r="E72" s="79">
        <f>' 2018-2019'!J71</f>
        <v>1300</v>
      </c>
      <c r="F72" s="139">
        <f>' 2018-2019'!F72</f>
        <v>200</v>
      </c>
      <c r="G72" s="78">
        <f t="shared" si="54"/>
        <v>2400</v>
      </c>
      <c r="H72" s="159">
        <f t="shared" si="38"/>
        <v>1000</v>
      </c>
      <c r="I72" s="78">
        <f t="shared" si="55"/>
        <v>1400</v>
      </c>
      <c r="J72" s="78">
        <f t="shared" si="71"/>
        <v>4131.7347152850252</v>
      </c>
      <c r="K72" s="157">
        <f t="shared" si="39"/>
        <v>9.8999999999999986</v>
      </c>
      <c r="L72" s="157">
        <f t="shared" si="35"/>
        <v>54.455500000000001</v>
      </c>
      <c r="M72" s="78">
        <f t="shared" si="56"/>
        <v>1431.7347152850255</v>
      </c>
      <c r="N72" s="194">
        <f t="shared" si="57"/>
        <v>1431.7347152850255</v>
      </c>
      <c r="O72" s="78">
        <f t="shared" si="58"/>
        <v>-387.17921528502541</v>
      </c>
      <c r="P72" s="165">
        <v>0</v>
      </c>
      <c r="Q72" s="166">
        <f t="shared" si="40"/>
        <v>0</v>
      </c>
      <c r="R72" s="119">
        <f>E72+'Catch up Fee'!E72</f>
        <v>1500</v>
      </c>
      <c r="S72" s="167">
        <f t="shared" si="59"/>
        <v>82.5</v>
      </c>
      <c r="T72" s="165">
        <v>0</v>
      </c>
      <c r="U72" s="166">
        <f t="shared" si="41"/>
        <v>0</v>
      </c>
      <c r="V72" s="33">
        <f>R72-T72+'Catch up Fee'!E72+S72</f>
        <v>1782.5</v>
      </c>
      <c r="W72" s="167">
        <f t="shared" si="60"/>
        <v>98.037499999999994</v>
      </c>
      <c r="X72" s="165">
        <f>'2018-2019 B STATEMENT '!B375</f>
        <v>1000</v>
      </c>
      <c r="Y72" s="166">
        <f t="shared" si="42"/>
        <v>9.8999999999999986</v>
      </c>
      <c r="Z72" s="33">
        <f>V72-X72+'Catch up Fee'!E72+W72</f>
        <v>1080.5374999999999</v>
      </c>
      <c r="AA72" s="167">
        <f t="shared" si="61"/>
        <v>4.429562499999995</v>
      </c>
      <c r="AB72" s="165">
        <v>0</v>
      </c>
      <c r="AC72" s="166">
        <f t="shared" si="43"/>
        <v>0</v>
      </c>
      <c r="AD72" s="33">
        <f>Z72-AB72+'Catch up Fee'!E72+AA72</f>
        <v>1284.9670624999999</v>
      </c>
      <c r="AE72" s="167">
        <f t="shared" si="62"/>
        <v>70.673188437499988</v>
      </c>
      <c r="AF72" s="165">
        <v>0</v>
      </c>
      <c r="AG72" s="166">
        <f t="shared" si="44"/>
        <v>0</v>
      </c>
      <c r="AH72" s="33">
        <f>AD72-AF72+'Catch up Fee'!E72+AE72</f>
        <v>1555.6402509374998</v>
      </c>
      <c r="AI72" s="167">
        <f t="shared" si="63"/>
        <v>85.560213801562483</v>
      </c>
      <c r="AJ72" s="165">
        <v>0</v>
      </c>
      <c r="AK72" s="166">
        <f t="shared" si="45"/>
        <v>0</v>
      </c>
      <c r="AL72" s="33">
        <f>AH72-AJ72+'Catch up Fee'!E72+AI72</f>
        <v>1841.2004647390622</v>
      </c>
      <c r="AM72" s="167">
        <f t="shared" si="64"/>
        <v>101.26602556064843</v>
      </c>
      <c r="AN72" s="165">
        <v>0</v>
      </c>
      <c r="AO72" s="166">
        <f t="shared" si="46"/>
        <v>0</v>
      </c>
      <c r="AP72" s="33">
        <f>AL72-AN72+'Catch up Fee'!E72+AM72</f>
        <v>2142.4664902997106</v>
      </c>
      <c r="AQ72" s="167">
        <f t="shared" si="65"/>
        <v>117.83565696648408</v>
      </c>
      <c r="AR72" s="165">
        <v>0</v>
      </c>
      <c r="AS72" s="166">
        <f t="shared" si="47"/>
        <v>0</v>
      </c>
      <c r="AT72" s="33">
        <f>AP72-AR72+'Catch up Fee'!E72+AQ72</f>
        <v>2460.3021472661949</v>
      </c>
      <c r="AU72" s="167">
        <f t="shared" si="66"/>
        <v>135.31661809964072</v>
      </c>
      <c r="AV72" s="165">
        <v>0</v>
      </c>
      <c r="AW72" s="166">
        <f t="shared" si="48"/>
        <v>0</v>
      </c>
      <c r="AX72" s="33">
        <f>AT72-AV72+'Catch up Fee'!E72+AU72</f>
        <v>2795.6187653658358</v>
      </c>
      <c r="AY72" s="167">
        <f t="shared" si="67"/>
        <v>153.75903209512097</v>
      </c>
      <c r="AZ72" s="165">
        <v>0</v>
      </c>
      <c r="BA72" s="166">
        <f t="shared" si="49"/>
        <v>0</v>
      </c>
      <c r="BB72" s="33">
        <f>AX72-AZ72+'Catch up Fee'!E72+AY72</f>
        <v>3149.3777974609566</v>
      </c>
      <c r="BC72" s="167">
        <f t="shared" si="68"/>
        <v>173.2157788603526</v>
      </c>
      <c r="BD72" s="165">
        <v>0</v>
      </c>
      <c r="BE72" s="166">
        <f t="shared" si="50"/>
        <v>0</v>
      </c>
      <c r="BF72" s="33">
        <f>BB72-BD72+'Catch up Fee'!E72+BC72</f>
        <v>3522.5935763213092</v>
      </c>
      <c r="BG72" s="167">
        <f t="shared" si="69"/>
        <v>193.742646697672</v>
      </c>
      <c r="BH72" s="165">
        <v>0</v>
      </c>
      <c r="BI72" s="166">
        <f t="shared" si="51"/>
        <v>0</v>
      </c>
      <c r="BJ72" s="33">
        <f>BF72-BH72+'Catch up Fee'!E72+BG72</f>
        <v>3916.3362230189814</v>
      </c>
      <c r="BK72" s="167">
        <f t="shared" si="70"/>
        <v>215.39849226604397</v>
      </c>
      <c r="BL72" s="185">
        <f t="shared" si="52"/>
        <v>1000</v>
      </c>
    </row>
    <row r="73" spans="1:64">
      <c r="A73" s="10" t="s">
        <v>644</v>
      </c>
      <c r="B73" s="10" t="s">
        <v>129</v>
      </c>
      <c r="C73" s="80">
        <v>0</v>
      </c>
      <c r="D73" s="79">
        <f t="shared" si="53"/>
        <v>2400</v>
      </c>
      <c r="E73" s="79">
        <f>' 2018-2019'!J72</f>
        <v>2500</v>
      </c>
      <c r="F73" s="139">
        <f>' 2018-2019'!F73</f>
        <v>200</v>
      </c>
      <c r="G73" s="78">
        <f t="shared" si="54"/>
        <v>2400</v>
      </c>
      <c r="H73" s="159">
        <f t="shared" si="38"/>
        <v>2400</v>
      </c>
      <c r="I73" s="78">
        <f t="shared" si="55"/>
        <v>0</v>
      </c>
      <c r="J73" s="78">
        <f t="shared" si="71"/>
        <v>4753.0187143975209</v>
      </c>
      <c r="K73" s="157">
        <f t="shared" si="39"/>
        <v>23.76</v>
      </c>
      <c r="L73" s="157">
        <f t="shared" si="35"/>
        <v>130.69319999999999</v>
      </c>
      <c r="M73" s="78">
        <f t="shared" si="56"/>
        <v>2253.0187143975209</v>
      </c>
      <c r="N73" s="194">
        <f t="shared" si="57"/>
        <v>2253.0187143975209</v>
      </c>
      <c r="O73" s="78">
        <f t="shared" si="58"/>
        <v>253.91448560247892</v>
      </c>
      <c r="P73" s="165">
        <f>'2018-2019 B STATEMENT '!B327</f>
        <v>200</v>
      </c>
      <c r="Q73" s="166">
        <f t="shared" si="40"/>
        <v>1.9799999999999998</v>
      </c>
      <c r="R73" s="119">
        <f>E73+'Catch up Fee'!E73</f>
        <v>2700</v>
      </c>
      <c r="S73" s="167">
        <f t="shared" si="59"/>
        <v>137.5</v>
      </c>
      <c r="T73" s="165">
        <f>'2018-2019 B STATEMENT '!B354</f>
        <v>200</v>
      </c>
      <c r="U73" s="166">
        <f t="shared" si="41"/>
        <v>1.9799999999999998</v>
      </c>
      <c r="V73" s="33">
        <f>R73-T73+'Catch up Fee'!E73+S73</f>
        <v>2837.5</v>
      </c>
      <c r="W73" s="167">
        <f t="shared" si="60"/>
        <v>145.0625</v>
      </c>
      <c r="X73" s="165">
        <f>'2018-2019 B STATEMENT '!B391</f>
        <v>200</v>
      </c>
      <c r="Y73" s="166">
        <f t="shared" si="42"/>
        <v>1.9799999999999998</v>
      </c>
      <c r="Z73" s="33">
        <f>V73-X73+'Catch up Fee'!E73+W73</f>
        <v>2982.5625</v>
      </c>
      <c r="AA73" s="167">
        <f t="shared" si="61"/>
        <v>153.04093750000001</v>
      </c>
      <c r="AB73" s="165">
        <f>'2018-2019 B STATEMENT '!B414</f>
        <v>200</v>
      </c>
      <c r="AC73" s="166">
        <f t="shared" si="43"/>
        <v>1.9799999999999998</v>
      </c>
      <c r="AD73" s="33">
        <f>Z73-AB73+'Catch up Fee'!E73+AA73</f>
        <v>3135.6034374999999</v>
      </c>
      <c r="AE73" s="167">
        <f t="shared" si="62"/>
        <v>161.4581890625</v>
      </c>
      <c r="AF73" s="165">
        <f>'2018-2019 B STATEMENT '!B440</f>
        <v>200</v>
      </c>
      <c r="AG73" s="166">
        <f t="shared" si="44"/>
        <v>1.9799999999999998</v>
      </c>
      <c r="AH73" s="33">
        <f>AD73-AF73+'Catch up Fee'!E73+AE73</f>
        <v>3297.0616265624999</v>
      </c>
      <c r="AI73" s="167">
        <f t="shared" si="63"/>
        <v>170.33838946093749</v>
      </c>
      <c r="AJ73" s="165">
        <f>'2018-2019 B STATEMENT '!B460</f>
        <v>200</v>
      </c>
      <c r="AK73" s="166">
        <f t="shared" si="45"/>
        <v>1.9799999999999998</v>
      </c>
      <c r="AL73" s="33">
        <f>AH73-AJ73+'Catch up Fee'!E73+AI73</f>
        <v>3467.4000160234373</v>
      </c>
      <c r="AM73" s="167">
        <f t="shared" si="64"/>
        <v>179.70700088128905</v>
      </c>
      <c r="AN73" s="165">
        <f>'2018-2019 B STATEMENT '!B490</f>
        <v>200</v>
      </c>
      <c r="AO73" s="166">
        <f t="shared" si="46"/>
        <v>1.9799999999999998</v>
      </c>
      <c r="AP73" s="33">
        <f>AL73-AN73+'Catch up Fee'!E73+AM73</f>
        <v>3647.1070169047262</v>
      </c>
      <c r="AQ73" s="167">
        <f t="shared" si="65"/>
        <v>189.59088592975993</v>
      </c>
      <c r="AR73" s="165">
        <f>'2018-2019 B STATEMENT '!B507</f>
        <v>200</v>
      </c>
      <c r="AS73" s="166">
        <f t="shared" si="47"/>
        <v>1.9799999999999998</v>
      </c>
      <c r="AT73" s="33">
        <f>AP73-AR73+'Catch up Fee'!E73+AQ73</f>
        <v>3836.6979028344863</v>
      </c>
      <c r="AU73" s="167">
        <f t="shared" si="66"/>
        <v>200.01838465589674</v>
      </c>
      <c r="AV73" s="165">
        <f>'2018-2019 B STATEMENT '!B527</f>
        <v>200</v>
      </c>
      <c r="AW73" s="166">
        <f t="shared" si="48"/>
        <v>1.9799999999999998</v>
      </c>
      <c r="AX73" s="33">
        <f>AT73-AV73+'Catch up Fee'!E73+AU73</f>
        <v>4036.7162874903829</v>
      </c>
      <c r="AY73" s="167">
        <f t="shared" si="67"/>
        <v>211.01939581197107</v>
      </c>
      <c r="AZ73" s="165">
        <f>'2018-2019 B STATEMENT '!B545</f>
        <v>200</v>
      </c>
      <c r="BA73" s="166">
        <f t="shared" si="49"/>
        <v>1.9799999999999998</v>
      </c>
      <c r="BB73" s="33">
        <f>AX73-AZ73+'Catch up Fee'!E73+AY73</f>
        <v>4247.7356833023541</v>
      </c>
      <c r="BC73" s="167">
        <f t="shared" si="68"/>
        <v>222.62546258162948</v>
      </c>
      <c r="BD73" s="165">
        <f>'2018-2019 B STATEMENT '!B565</f>
        <v>200</v>
      </c>
      <c r="BE73" s="166">
        <f t="shared" si="50"/>
        <v>1.9799999999999998</v>
      </c>
      <c r="BF73" s="33">
        <f>BB73-BD73+'Catch up Fee'!E73+BC73</f>
        <v>4470.3611458839832</v>
      </c>
      <c r="BG73" s="167">
        <f t="shared" si="69"/>
        <v>234.86986302361908</v>
      </c>
      <c r="BH73" s="165">
        <f>'2018-2019 B STATEMENT '!B582</f>
        <v>200</v>
      </c>
      <c r="BI73" s="166">
        <f t="shared" si="51"/>
        <v>1.9799999999999998</v>
      </c>
      <c r="BJ73" s="33">
        <f>BF73-BH73+'Catch up Fee'!E73+BG73</f>
        <v>4705.2310089076027</v>
      </c>
      <c r="BK73" s="167">
        <f t="shared" si="70"/>
        <v>247.78770548991815</v>
      </c>
      <c r="BL73" s="185">
        <f t="shared" si="52"/>
        <v>2400</v>
      </c>
    </row>
    <row r="74" spans="1:64">
      <c r="A74" s="10" t="s">
        <v>645</v>
      </c>
      <c r="B74" s="10" t="s">
        <v>130</v>
      </c>
      <c r="C74" s="80">
        <v>0</v>
      </c>
      <c r="D74" s="79">
        <f t="shared" si="53"/>
        <v>2400</v>
      </c>
      <c r="E74" s="79">
        <f>' 2018-2019'!J73</f>
        <v>200</v>
      </c>
      <c r="F74" s="139">
        <f>' 2018-2019'!F74</f>
        <v>400</v>
      </c>
      <c r="G74" s="78">
        <f t="shared" si="54"/>
        <v>2400</v>
      </c>
      <c r="H74" s="159">
        <f t="shared" si="38"/>
        <v>1600</v>
      </c>
      <c r="I74" s="78">
        <f t="shared" si="55"/>
        <v>800</v>
      </c>
      <c r="J74" s="78">
        <f t="shared" si="71"/>
        <v>1339.0931863465023</v>
      </c>
      <c r="K74" s="157">
        <f t="shared" si="39"/>
        <v>15.84</v>
      </c>
      <c r="L74" s="157">
        <f t="shared" si="35"/>
        <v>87.128799999999998</v>
      </c>
      <c r="M74" s="78">
        <f t="shared" si="56"/>
        <v>339.09318634650231</v>
      </c>
      <c r="N74" s="194">
        <f t="shared" si="57"/>
        <v>339.09318634650231</v>
      </c>
      <c r="O74" s="78">
        <f t="shared" si="58"/>
        <v>1332.1956136534977</v>
      </c>
      <c r="P74" s="165">
        <v>0</v>
      </c>
      <c r="Q74" s="166">
        <f t="shared" si="40"/>
        <v>0</v>
      </c>
      <c r="R74" s="119">
        <f>E74+'Catch up Fee'!E74</f>
        <v>400</v>
      </c>
      <c r="S74" s="167">
        <f t="shared" si="59"/>
        <v>22</v>
      </c>
      <c r="T74" s="165">
        <v>0</v>
      </c>
      <c r="U74" s="166">
        <f t="shared" si="41"/>
        <v>0</v>
      </c>
      <c r="V74" s="33">
        <f>R74-T74+'Catch up Fee'!E74+S74</f>
        <v>622</v>
      </c>
      <c r="W74" s="167">
        <f t="shared" si="60"/>
        <v>34.21</v>
      </c>
      <c r="X74" s="165">
        <f>'2018-2019 B STATEMENT '!B387</f>
        <v>400</v>
      </c>
      <c r="Y74" s="166">
        <f t="shared" si="42"/>
        <v>3.9599999999999995</v>
      </c>
      <c r="Z74" s="33">
        <f>V74-X74+'Catch up Fee'!E74+W74</f>
        <v>456.21</v>
      </c>
      <c r="AA74" s="167">
        <f t="shared" si="61"/>
        <v>3.0915499999999989</v>
      </c>
      <c r="AB74" s="165">
        <f>'2018-2019 B STATEMENT '!B417</f>
        <v>200</v>
      </c>
      <c r="AC74" s="166">
        <f t="shared" si="43"/>
        <v>1.9799999999999998</v>
      </c>
      <c r="AD74" s="33">
        <f>Z74-AB74+'Catch up Fee'!E74+AA74</f>
        <v>459.30154999999996</v>
      </c>
      <c r="AE74" s="167">
        <f t="shared" si="62"/>
        <v>14.261585249999998</v>
      </c>
      <c r="AF74" s="165">
        <f>'2018-2019 B STATEMENT '!B433</f>
        <v>200</v>
      </c>
      <c r="AG74" s="166">
        <f t="shared" si="44"/>
        <v>1.9799999999999998</v>
      </c>
      <c r="AH74" s="33">
        <f>AD74-AF74+'Catch up Fee'!E74+AE74</f>
        <v>473.56313524999996</v>
      </c>
      <c r="AI74" s="167">
        <f t="shared" si="63"/>
        <v>15.045972438749997</v>
      </c>
      <c r="AJ74" s="165">
        <v>0</v>
      </c>
      <c r="AK74" s="166">
        <f t="shared" si="45"/>
        <v>0</v>
      </c>
      <c r="AL74" s="33">
        <f>AH74-AJ74+'Catch up Fee'!E74+AI74</f>
        <v>688.60910768874999</v>
      </c>
      <c r="AM74" s="167">
        <f t="shared" si="64"/>
        <v>37.873500922881249</v>
      </c>
      <c r="AN74" s="165">
        <f>'2018-2019 B STATEMENT '!B485</f>
        <v>400</v>
      </c>
      <c r="AO74" s="166">
        <f t="shared" si="46"/>
        <v>3.9599999999999995</v>
      </c>
      <c r="AP74" s="33">
        <f>AL74-AN74+'Catch up Fee'!E74+AM74</f>
        <v>526.48260861163124</v>
      </c>
      <c r="AQ74" s="167">
        <f t="shared" si="65"/>
        <v>6.9565434736397176</v>
      </c>
      <c r="AR74" s="165">
        <f>'2018-2019 B STATEMENT '!B505</f>
        <v>200</v>
      </c>
      <c r="AS74" s="166">
        <f t="shared" si="47"/>
        <v>1.9799999999999998</v>
      </c>
      <c r="AT74" s="33">
        <f>AP74-AR74+'Catch up Fee'!E74+AQ74</f>
        <v>533.43915208527096</v>
      </c>
      <c r="AU74" s="167">
        <f t="shared" si="66"/>
        <v>18.339153364689903</v>
      </c>
      <c r="AV74" s="165">
        <f>'2018-2019 B STATEMENT '!B519</f>
        <v>200</v>
      </c>
      <c r="AW74" s="166">
        <f t="shared" si="48"/>
        <v>1.9799999999999998</v>
      </c>
      <c r="AX74" s="33">
        <f>AT74-AV74+'Catch up Fee'!E74+AU74</f>
        <v>551.77830544996084</v>
      </c>
      <c r="AY74" s="167">
        <f t="shared" si="67"/>
        <v>19.347806799747847</v>
      </c>
      <c r="AZ74" s="165">
        <v>0</v>
      </c>
      <c r="BA74" s="166">
        <f t="shared" si="49"/>
        <v>0</v>
      </c>
      <c r="BB74" s="33">
        <f>AX74-AZ74+'Catch up Fee'!E74+AY74</f>
        <v>771.12611224970874</v>
      </c>
      <c r="BC74" s="167">
        <f t="shared" si="68"/>
        <v>42.411936173733984</v>
      </c>
      <c r="BD74" s="165">
        <v>0</v>
      </c>
      <c r="BE74" s="166">
        <f t="shared" si="50"/>
        <v>0</v>
      </c>
      <c r="BF74" s="33">
        <f>BB74-BD74+'Catch up Fee'!E74+BC74</f>
        <v>1013.5380484234428</v>
      </c>
      <c r="BG74" s="167">
        <f t="shared" si="69"/>
        <v>55.744592663289353</v>
      </c>
      <c r="BH74" s="165">
        <v>0</v>
      </c>
      <c r="BI74" s="166">
        <f t="shared" si="51"/>
        <v>0</v>
      </c>
      <c r="BJ74" s="33">
        <f>BF74-BH74+'Catch up Fee'!E74+BG74</f>
        <v>1269.2826410867322</v>
      </c>
      <c r="BK74" s="167">
        <f t="shared" si="70"/>
        <v>69.810545259770265</v>
      </c>
      <c r="BL74" s="185">
        <f t="shared" si="52"/>
        <v>1600</v>
      </c>
    </row>
    <row r="75" spans="1:64">
      <c r="A75" s="10" t="s">
        <v>646</v>
      </c>
      <c r="B75" s="10" t="s">
        <v>125</v>
      </c>
      <c r="C75" s="80">
        <v>0</v>
      </c>
      <c r="D75" s="79">
        <f t="shared" si="53"/>
        <v>2400</v>
      </c>
      <c r="E75" s="79">
        <f>' 2018-2019'!J74</f>
        <v>0</v>
      </c>
      <c r="F75" s="139">
        <f>' 2018-2019'!F75</f>
        <v>200</v>
      </c>
      <c r="G75" s="78">
        <f t="shared" si="54"/>
        <v>2400</v>
      </c>
      <c r="H75" s="159">
        <f t="shared" si="38"/>
        <v>3300</v>
      </c>
      <c r="I75" s="78">
        <f t="shared" si="55"/>
        <v>-900</v>
      </c>
      <c r="J75" s="78">
        <f t="shared" si="71"/>
        <v>-985.8055080048839</v>
      </c>
      <c r="K75" s="157">
        <f t="shared" si="39"/>
        <v>32.67</v>
      </c>
      <c r="L75" s="157">
        <f t="shared" si="35"/>
        <v>179.70314999999999</v>
      </c>
      <c r="M75" s="78">
        <f t="shared" si="56"/>
        <v>-85.805508004883905</v>
      </c>
      <c r="N75" s="194">
        <f t="shared" si="57"/>
        <v>-85.805508004883905</v>
      </c>
      <c r="O75" s="78">
        <f t="shared" si="58"/>
        <v>3532.8386580048837</v>
      </c>
      <c r="P75" s="165">
        <f>'2018-2019 B STATEMENT '!B331</f>
        <v>600</v>
      </c>
      <c r="Q75" s="166">
        <f t="shared" si="40"/>
        <v>5.9399999999999995</v>
      </c>
      <c r="R75" s="119">
        <f>E75+'Catch up Fee'!E75</f>
        <v>200</v>
      </c>
      <c r="S75" s="167">
        <f t="shared" si="59"/>
        <v>-22</v>
      </c>
      <c r="T75" s="165">
        <v>0</v>
      </c>
      <c r="U75" s="166">
        <f t="shared" si="41"/>
        <v>0</v>
      </c>
      <c r="V75" s="33">
        <f>R75-T75+'Catch up Fee'!E75+S75</f>
        <v>378</v>
      </c>
      <c r="W75" s="167">
        <f t="shared" si="60"/>
        <v>20.79</v>
      </c>
      <c r="X75" s="165">
        <v>0</v>
      </c>
      <c r="Y75" s="166">
        <f t="shared" si="42"/>
        <v>0</v>
      </c>
      <c r="Z75" s="33">
        <f>V75-X75+'Catch up Fee'!E75+W75</f>
        <v>598.79</v>
      </c>
      <c r="AA75" s="167">
        <f t="shared" si="61"/>
        <v>32.933450000000001</v>
      </c>
      <c r="AB75" s="165">
        <v>0</v>
      </c>
      <c r="AC75" s="166">
        <f t="shared" si="43"/>
        <v>0</v>
      </c>
      <c r="AD75" s="33">
        <f>Z75-AB75+'Catch up Fee'!E75+AA75</f>
        <v>831.72344999999996</v>
      </c>
      <c r="AE75" s="167">
        <f t="shared" si="62"/>
        <v>45.744789749999995</v>
      </c>
      <c r="AF75" s="165">
        <f>'2018-2019 B STATEMENT '!B445</f>
        <v>1100</v>
      </c>
      <c r="AG75" s="166">
        <f t="shared" si="44"/>
        <v>10.889999999999999</v>
      </c>
      <c r="AH75" s="33">
        <f>AD75-AF75+'Catch up Fee'!E75+AE75</f>
        <v>-22.531760250000048</v>
      </c>
      <c r="AI75" s="167">
        <f t="shared" si="63"/>
        <v>-61.739246813749993</v>
      </c>
      <c r="AJ75" s="165">
        <v>0</v>
      </c>
      <c r="AK75" s="166">
        <f t="shared" si="45"/>
        <v>0</v>
      </c>
      <c r="AL75" s="33">
        <f>AH75-AJ75+'Catch up Fee'!E75+AI75</f>
        <v>115.72899293624997</v>
      </c>
      <c r="AM75" s="167">
        <f t="shared" si="64"/>
        <v>6.3650946114937481</v>
      </c>
      <c r="AN75" s="165">
        <v>0</v>
      </c>
      <c r="AO75" s="166">
        <f t="shared" si="46"/>
        <v>0</v>
      </c>
      <c r="AP75" s="33">
        <f>AL75-AN75+'Catch up Fee'!E75+AM75</f>
        <v>322.0940875477437</v>
      </c>
      <c r="AQ75" s="167">
        <f t="shared" si="65"/>
        <v>17.715174815125902</v>
      </c>
      <c r="AR75" s="165">
        <f>'2018-2019 B STATEMENT '!B498</f>
        <v>400</v>
      </c>
      <c r="AS75" s="166">
        <f t="shared" si="47"/>
        <v>3.9599999999999995</v>
      </c>
      <c r="AT75" s="33">
        <f>AP75-AR75+'Catch up Fee'!E75+AQ75</f>
        <v>139.80926236286959</v>
      </c>
      <c r="AU75" s="167">
        <f t="shared" si="66"/>
        <v>-14.310490570042171</v>
      </c>
      <c r="AV75" s="165">
        <f>'2018-2019 B STATEMENT '!B511</f>
        <v>200</v>
      </c>
      <c r="AW75" s="166">
        <f t="shared" si="48"/>
        <v>1.9799999999999998</v>
      </c>
      <c r="AX75" s="33">
        <f>AT75-AV75+'Catch up Fee'!E75+AU75</f>
        <v>125.49877179282741</v>
      </c>
      <c r="AY75" s="167">
        <f t="shared" si="67"/>
        <v>-4.0975675513944925</v>
      </c>
      <c r="AZ75" s="165">
        <f>'2018-2019 B STATEMENT '!B572</f>
        <v>400</v>
      </c>
      <c r="BA75" s="166">
        <f t="shared" si="49"/>
        <v>3.9599999999999995</v>
      </c>
      <c r="BB75" s="33">
        <f>AX75-AZ75+'Catch up Fee'!E75+AY75</f>
        <v>-78.598795758567064</v>
      </c>
      <c r="BC75" s="167">
        <f t="shared" si="68"/>
        <v>-26.322933766721189</v>
      </c>
      <c r="BD75" s="165">
        <f>'2018-2019 B STATEMENT '!B587</f>
        <v>600</v>
      </c>
      <c r="BE75" s="166">
        <f t="shared" si="50"/>
        <v>5.9399999999999995</v>
      </c>
      <c r="BF75" s="33">
        <f>BB75-BD75+'Catch up Fee'!E75+BC75</f>
        <v>-504.9217295252883</v>
      </c>
      <c r="BG75" s="167">
        <f t="shared" si="69"/>
        <v>-60.77069512389086</v>
      </c>
      <c r="BH75" s="165">
        <v>0</v>
      </c>
      <c r="BI75" s="166">
        <f t="shared" si="51"/>
        <v>0</v>
      </c>
      <c r="BJ75" s="33">
        <f>BF75-BH75+'Catch up Fee'!E75+BG75</f>
        <v>-365.69242464917915</v>
      </c>
      <c r="BK75" s="167">
        <f t="shared" si="70"/>
        <v>-20.113083355704852</v>
      </c>
      <c r="BL75" s="185">
        <f t="shared" si="52"/>
        <v>3300</v>
      </c>
    </row>
    <row r="76" spans="1:64">
      <c r="A76" s="10" t="s">
        <v>647</v>
      </c>
      <c r="B76" s="10" t="s">
        <v>131</v>
      </c>
      <c r="C76" s="80">
        <v>0</v>
      </c>
      <c r="D76" s="79">
        <f t="shared" si="53"/>
        <v>2400</v>
      </c>
      <c r="E76" s="79">
        <f>' 2018-2019'!J75</f>
        <v>700</v>
      </c>
      <c r="F76" s="139">
        <f>' 2018-2019'!F76</f>
        <v>200</v>
      </c>
      <c r="G76" s="78">
        <f t="shared" si="54"/>
        <v>2400</v>
      </c>
      <c r="H76" s="159">
        <f t="shared" si="38"/>
        <v>400</v>
      </c>
      <c r="I76" s="78">
        <f t="shared" si="55"/>
        <v>2000</v>
      </c>
      <c r="J76" s="78">
        <f t="shared" si="71"/>
        <v>4069.3270098613675</v>
      </c>
      <c r="K76" s="157">
        <f t="shared" si="39"/>
        <v>3.9599999999999995</v>
      </c>
      <c r="L76" s="157">
        <f t="shared" si="35"/>
        <v>21.7822</v>
      </c>
      <c r="M76" s="78">
        <f t="shared" si="56"/>
        <v>1369.3270098613675</v>
      </c>
      <c r="N76" s="194">
        <f t="shared" si="57"/>
        <v>1369.3270098613675</v>
      </c>
      <c r="O76" s="78">
        <f t="shared" si="58"/>
        <v>-951.50480986136756</v>
      </c>
      <c r="P76" s="165">
        <v>0</v>
      </c>
      <c r="Q76" s="166">
        <f t="shared" si="40"/>
        <v>0</v>
      </c>
      <c r="R76" s="119">
        <f>E76+'Catch up Fee'!E76</f>
        <v>900</v>
      </c>
      <c r="S76" s="167">
        <f t="shared" si="59"/>
        <v>49.5</v>
      </c>
      <c r="T76" s="165">
        <v>0</v>
      </c>
      <c r="U76" s="166">
        <f t="shared" si="41"/>
        <v>0</v>
      </c>
      <c r="V76" s="33">
        <f>R76-T76+'Catch up Fee'!E76+S76</f>
        <v>1149.5</v>
      </c>
      <c r="W76" s="167">
        <f t="shared" si="60"/>
        <v>63.222500000000004</v>
      </c>
      <c r="X76" s="165">
        <f>'2018-2019 B STATEMENT '!B376</f>
        <v>400</v>
      </c>
      <c r="Y76" s="166">
        <f t="shared" si="42"/>
        <v>3.9599999999999995</v>
      </c>
      <c r="Z76" s="33">
        <f>V76-X76+'Catch up Fee'!E76+W76</f>
        <v>1012.7225</v>
      </c>
      <c r="AA76" s="167">
        <f t="shared" si="61"/>
        <v>33.699737499999998</v>
      </c>
      <c r="AB76" s="165">
        <v>0</v>
      </c>
      <c r="AC76" s="166">
        <f t="shared" si="43"/>
        <v>0</v>
      </c>
      <c r="AD76" s="33">
        <f>Z76-AB76+'Catch up Fee'!E76+AA76</f>
        <v>1246.4222374999999</v>
      </c>
      <c r="AE76" s="167">
        <f t="shared" si="62"/>
        <v>68.553223062499995</v>
      </c>
      <c r="AF76" s="165">
        <v>0</v>
      </c>
      <c r="AG76" s="166">
        <f t="shared" si="44"/>
        <v>0</v>
      </c>
      <c r="AH76" s="33">
        <f>AD76-AF76+'Catch up Fee'!E76+AE76</f>
        <v>1514.9754605624998</v>
      </c>
      <c r="AI76" s="167">
        <f t="shared" si="63"/>
        <v>83.323650330937497</v>
      </c>
      <c r="AJ76" s="165">
        <v>0</v>
      </c>
      <c r="AK76" s="166">
        <f t="shared" si="45"/>
        <v>0</v>
      </c>
      <c r="AL76" s="33">
        <f>AH76-AJ76+'Catch up Fee'!E76+AI76</f>
        <v>1798.2991108934373</v>
      </c>
      <c r="AM76" s="167">
        <f t="shared" si="64"/>
        <v>98.906451099139048</v>
      </c>
      <c r="AN76" s="165">
        <v>0</v>
      </c>
      <c r="AO76" s="166">
        <f t="shared" si="46"/>
        <v>0</v>
      </c>
      <c r="AP76" s="33">
        <f>AL76-AN76+'Catch up Fee'!E76+AM76</f>
        <v>2097.2055619925763</v>
      </c>
      <c r="AQ76" s="167">
        <f t="shared" si="65"/>
        <v>115.34630590959171</v>
      </c>
      <c r="AR76" s="165">
        <v>0</v>
      </c>
      <c r="AS76" s="166">
        <f t="shared" si="47"/>
        <v>0</v>
      </c>
      <c r="AT76" s="33">
        <f>AP76-AR76+'Catch up Fee'!E76+AQ76</f>
        <v>2412.5518679021679</v>
      </c>
      <c r="AU76" s="167">
        <f t="shared" si="66"/>
        <v>132.69035273461924</v>
      </c>
      <c r="AV76" s="165">
        <v>0</v>
      </c>
      <c r="AW76" s="166">
        <f t="shared" si="48"/>
        <v>0</v>
      </c>
      <c r="AX76" s="33">
        <f>AT76-AV76+'Catch up Fee'!E76+AU76</f>
        <v>2745.2422206367874</v>
      </c>
      <c r="AY76" s="167">
        <f t="shared" si="67"/>
        <v>150.98832213502331</v>
      </c>
      <c r="AZ76" s="165">
        <v>0</v>
      </c>
      <c r="BA76" s="166">
        <f t="shared" si="49"/>
        <v>0</v>
      </c>
      <c r="BB76" s="33">
        <f>AX76-AZ76+'Catch up Fee'!E76+AY76</f>
        <v>3096.2305427718106</v>
      </c>
      <c r="BC76" s="167">
        <f t="shared" si="68"/>
        <v>170.2926798524496</v>
      </c>
      <c r="BD76" s="165">
        <v>0</v>
      </c>
      <c r="BE76" s="166">
        <f t="shared" si="50"/>
        <v>0</v>
      </c>
      <c r="BF76" s="33">
        <f>BB76-BD76+'Catch up Fee'!E76+BC76</f>
        <v>3466.5232226242601</v>
      </c>
      <c r="BG76" s="167">
        <f t="shared" si="69"/>
        <v>190.65877724433432</v>
      </c>
      <c r="BH76" s="165">
        <v>0</v>
      </c>
      <c r="BI76" s="166">
        <f t="shared" si="51"/>
        <v>0</v>
      </c>
      <c r="BJ76" s="33">
        <f>BF76-BH76+'Catch up Fee'!E76+BG76</f>
        <v>3857.1819998685946</v>
      </c>
      <c r="BK76" s="167">
        <f t="shared" si="70"/>
        <v>212.14500999277271</v>
      </c>
      <c r="BL76" s="185">
        <f t="shared" si="52"/>
        <v>400</v>
      </c>
    </row>
    <row r="77" spans="1:64">
      <c r="A77" s="10" t="s">
        <v>648</v>
      </c>
      <c r="B77" s="10" t="s">
        <v>116</v>
      </c>
      <c r="C77" s="80">
        <v>0</v>
      </c>
      <c r="D77" s="79">
        <f t="shared" si="53"/>
        <v>2400</v>
      </c>
      <c r="E77" s="79">
        <f>' 2018-2019'!J76</f>
        <v>600</v>
      </c>
      <c r="F77" s="139">
        <f>' 2018-2019'!F77</f>
        <v>0</v>
      </c>
      <c r="G77" s="78">
        <f t="shared" si="54"/>
        <v>2400</v>
      </c>
      <c r="H77" s="159">
        <f t="shared" si="38"/>
        <v>0</v>
      </c>
      <c r="I77" s="78">
        <f t="shared" si="55"/>
        <v>2400</v>
      </c>
      <c r="J77" s="78">
        <f>I77+M77+E77+F77</f>
        <v>4598.0841186399648</v>
      </c>
      <c r="K77" s="157">
        <f t="shared" si="39"/>
        <v>0</v>
      </c>
      <c r="L77" s="157">
        <f t="shared" si="35"/>
        <v>0</v>
      </c>
      <c r="M77" s="78">
        <f t="shared" si="56"/>
        <v>1598.084118639965</v>
      </c>
      <c r="N77" s="194">
        <f t="shared" si="57"/>
        <v>1598.084118639965</v>
      </c>
      <c r="O77" s="78">
        <f t="shared" si="58"/>
        <v>-1598.084118639965</v>
      </c>
      <c r="P77" s="165">
        <v>0</v>
      </c>
      <c r="Q77" s="166">
        <f t="shared" si="40"/>
        <v>0</v>
      </c>
      <c r="R77" s="119">
        <f>E77+'Catch up Fee'!E77</f>
        <v>800</v>
      </c>
      <c r="S77" s="167">
        <f t="shared" si="59"/>
        <v>44</v>
      </c>
      <c r="T77" s="165">
        <v>0</v>
      </c>
      <c r="U77" s="166">
        <f t="shared" si="41"/>
        <v>0</v>
      </c>
      <c r="V77" s="33">
        <f>R77-T77+'Catch up Fee'!E77+S77</f>
        <v>1044</v>
      </c>
      <c r="W77" s="167">
        <f t="shared" si="60"/>
        <v>57.42</v>
      </c>
      <c r="X77" s="165">
        <v>0</v>
      </c>
      <c r="Y77" s="166">
        <f t="shared" si="42"/>
        <v>0</v>
      </c>
      <c r="Z77" s="33">
        <f>V77-X77+'Catch up Fee'!E77+W77</f>
        <v>1301.42</v>
      </c>
      <c r="AA77" s="167">
        <f t="shared" si="61"/>
        <v>71.578100000000006</v>
      </c>
      <c r="AB77" s="165">
        <v>0</v>
      </c>
      <c r="AC77" s="166">
        <f t="shared" si="43"/>
        <v>0</v>
      </c>
      <c r="AD77" s="33">
        <f>Z77-AB77+'Catch up Fee'!E77+AA77</f>
        <v>1572.9981</v>
      </c>
      <c r="AE77" s="167">
        <f t="shared" si="62"/>
        <v>86.514895500000009</v>
      </c>
      <c r="AF77" s="165">
        <v>0</v>
      </c>
      <c r="AG77" s="166">
        <f t="shared" si="44"/>
        <v>0</v>
      </c>
      <c r="AH77" s="33">
        <f>AD77-AF77+'Catch up Fee'!E77+AE77</f>
        <v>1859.5129955</v>
      </c>
      <c r="AI77" s="167">
        <f t="shared" si="63"/>
        <v>102.2732147525</v>
      </c>
      <c r="AJ77" s="165">
        <v>0</v>
      </c>
      <c r="AK77" s="166">
        <f t="shared" si="45"/>
        <v>0</v>
      </c>
      <c r="AL77" s="33">
        <f>AH77-AJ77+'Catch up Fee'!E77+AI77</f>
        <v>2161.7862102525</v>
      </c>
      <c r="AM77" s="167">
        <f t="shared" si="64"/>
        <v>118.89824156388751</v>
      </c>
      <c r="AN77" s="165">
        <v>0</v>
      </c>
      <c r="AO77" s="166">
        <f t="shared" si="46"/>
        <v>0</v>
      </c>
      <c r="AP77" s="33">
        <f>AL77-AN77+'Catch up Fee'!E77+AM77</f>
        <v>2480.6844518163875</v>
      </c>
      <c r="AQ77" s="167">
        <f t="shared" si="65"/>
        <v>136.43764484990132</v>
      </c>
      <c r="AR77" s="165">
        <v>0</v>
      </c>
      <c r="AS77" s="166">
        <f t="shared" si="47"/>
        <v>0</v>
      </c>
      <c r="AT77" s="33">
        <f>AP77-AR77+'Catch up Fee'!E77+AQ77</f>
        <v>2817.1220966662891</v>
      </c>
      <c r="AU77" s="167">
        <f t="shared" si="66"/>
        <v>154.94171531664591</v>
      </c>
      <c r="AV77" s="165">
        <v>0</v>
      </c>
      <c r="AW77" s="166">
        <f t="shared" si="48"/>
        <v>0</v>
      </c>
      <c r="AX77" s="33">
        <f>AT77-AV77+'Catch up Fee'!E77+AU77</f>
        <v>3172.063811982935</v>
      </c>
      <c r="AY77" s="167">
        <f t="shared" si="67"/>
        <v>174.46350965906143</v>
      </c>
      <c r="AZ77" s="165">
        <v>0</v>
      </c>
      <c r="BA77" s="166">
        <f t="shared" si="49"/>
        <v>0</v>
      </c>
      <c r="BB77" s="33">
        <f>AX77-AZ77+'Catch up Fee'!E77+AY77</f>
        <v>3546.5273216419964</v>
      </c>
      <c r="BC77" s="167">
        <f t="shared" si="68"/>
        <v>195.0590026903098</v>
      </c>
      <c r="BD77" s="165">
        <v>0</v>
      </c>
      <c r="BE77" s="166">
        <f t="shared" si="50"/>
        <v>0</v>
      </c>
      <c r="BF77" s="33">
        <f>BB77-BD77+'Catch up Fee'!E77+BC77</f>
        <v>3941.586324332306</v>
      </c>
      <c r="BG77" s="167">
        <f t="shared" si="69"/>
        <v>216.78724783827684</v>
      </c>
      <c r="BH77" s="165">
        <v>0</v>
      </c>
      <c r="BI77" s="166">
        <f t="shared" si="51"/>
        <v>0</v>
      </c>
      <c r="BJ77" s="33">
        <f>BF77-BH77+'Catch up Fee'!E77+BG77</f>
        <v>4358.3735721705825</v>
      </c>
      <c r="BK77" s="167">
        <f t="shared" si="70"/>
        <v>239.71054646938205</v>
      </c>
      <c r="BL77" s="185">
        <f t="shared" si="52"/>
        <v>0</v>
      </c>
    </row>
    <row r="78" spans="1:64">
      <c r="A78" s="10" t="s">
        <v>649</v>
      </c>
      <c r="B78" s="10" t="s">
        <v>132</v>
      </c>
      <c r="C78" s="80">
        <v>0</v>
      </c>
      <c r="D78" s="79">
        <f t="shared" si="53"/>
        <v>2400</v>
      </c>
      <c r="E78" s="79">
        <f>' 2018-2019'!J77</f>
        <v>2100</v>
      </c>
      <c r="F78" s="139">
        <f>' 2018-2019'!F78</f>
        <v>0</v>
      </c>
      <c r="G78" s="78">
        <f t="shared" si="54"/>
        <v>2400</v>
      </c>
      <c r="H78" s="159">
        <f t="shared" si="38"/>
        <v>1600</v>
      </c>
      <c r="I78" s="78">
        <f t="shared" si="55"/>
        <v>800</v>
      </c>
      <c r="J78" s="78">
        <f>I78+M78+E78+F78</f>
        <v>5040.3814992055486</v>
      </c>
      <c r="K78" s="157">
        <f t="shared" si="39"/>
        <v>15.84</v>
      </c>
      <c r="L78" s="157">
        <f t="shared" si="35"/>
        <v>87.128799999999998</v>
      </c>
      <c r="M78" s="78">
        <f t="shared" si="56"/>
        <v>2140.3814992055491</v>
      </c>
      <c r="N78" s="194">
        <f t="shared" si="57"/>
        <v>2140.3814992055491</v>
      </c>
      <c r="O78" s="78">
        <f t="shared" si="58"/>
        <v>-469.09269920554897</v>
      </c>
      <c r="P78" s="165">
        <f>'2018-2019 B STATEMENT '!B328</f>
        <v>200</v>
      </c>
      <c r="Q78" s="166">
        <f t="shared" si="40"/>
        <v>1.9799999999999998</v>
      </c>
      <c r="R78" s="119">
        <f>E78+'Catch up Fee'!E78</f>
        <v>2300</v>
      </c>
      <c r="S78" s="167">
        <f t="shared" si="59"/>
        <v>115.5</v>
      </c>
      <c r="T78" s="165">
        <f>'2018-2019 B STATEMENT '!B359</f>
        <v>200</v>
      </c>
      <c r="U78" s="166">
        <f t="shared" si="41"/>
        <v>1.9799999999999998</v>
      </c>
      <c r="V78" s="33">
        <f>R78-T78+'Catch up Fee'!E78+S78</f>
        <v>2415.5</v>
      </c>
      <c r="W78" s="167">
        <f t="shared" si="60"/>
        <v>121.85250000000001</v>
      </c>
      <c r="X78" s="165">
        <f>'2018-2019 B STATEMENT '!B392</f>
        <v>200</v>
      </c>
      <c r="Y78" s="166">
        <f t="shared" si="42"/>
        <v>1.9799999999999998</v>
      </c>
      <c r="Z78" s="33">
        <f>V78-X78+'Catch up Fee'!E78+W78</f>
        <v>2537.3525</v>
      </c>
      <c r="AA78" s="167">
        <f t="shared" si="61"/>
        <v>128.55438749999999</v>
      </c>
      <c r="AB78" s="165">
        <f>'2018-2019 B STATEMENT '!B415</f>
        <v>200</v>
      </c>
      <c r="AC78" s="166">
        <f t="shared" si="43"/>
        <v>1.9799999999999998</v>
      </c>
      <c r="AD78" s="33">
        <f>Z78-AB78+'Catch up Fee'!E78+AA78</f>
        <v>2665.9068874999998</v>
      </c>
      <c r="AE78" s="167">
        <f t="shared" si="62"/>
        <v>135.62487881249999</v>
      </c>
      <c r="AF78" s="165">
        <f>'2018-2019 B STATEMENT '!B441</f>
        <v>200</v>
      </c>
      <c r="AG78" s="166">
        <f t="shared" si="44"/>
        <v>1.9799999999999998</v>
      </c>
      <c r="AH78" s="33">
        <f>AD78-AF78+'Catch up Fee'!E78+AE78</f>
        <v>2801.5317663124997</v>
      </c>
      <c r="AI78" s="167">
        <f t="shared" si="63"/>
        <v>143.08424714718748</v>
      </c>
      <c r="AJ78" s="165">
        <f>'2018-2019 B STATEMENT '!B461</f>
        <v>200</v>
      </c>
      <c r="AK78" s="166">
        <f t="shared" si="45"/>
        <v>1.9799999999999998</v>
      </c>
      <c r="AL78" s="33">
        <f>AH78-AJ78+'Catch up Fee'!E78+AI78</f>
        <v>2944.6160134596871</v>
      </c>
      <c r="AM78" s="167">
        <f t="shared" si="64"/>
        <v>150.95388074028278</v>
      </c>
      <c r="AN78" s="165">
        <v>0</v>
      </c>
      <c r="AO78" s="166">
        <f t="shared" si="46"/>
        <v>0</v>
      </c>
      <c r="AP78" s="33">
        <f>AL78-AN78+'Catch up Fee'!E78+AM78</f>
        <v>3295.5698941999699</v>
      </c>
      <c r="AQ78" s="167">
        <f t="shared" si="65"/>
        <v>181.25634418099835</v>
      </c>
      <c r="AR78" s="165">
        <v>0</v>
      </c>
      <c r="AS78" s="166">
        <f t="shared" si="47"/>
        <v>0</v>
      </c>
      <c r="AT78" s="33">
        <f>AP78-AR78+'Catch up Fee'!E78+AQ78</f>
        <v>3676.8262383809683</v>
      </c>
      <c r="AU78" s="167">
        <f t="shared" si="66"/>
        <v>202.22544311095325</v>
      </c>
      <c r="AV78" s="165">
        <v>0</v>
      </c>
      <c r="AW78" s="166">
        <f t="shared" si="48"/>
        <v>0</v>
      </c>
      <c r="AX78" s="33">
        <f>AT78-AV78+'Catch up Fee'!E78+AU78</f>
        <v>4079.0516814919215</v>
      </c>
      <c r="AY78" s="167">
        <f t="shared" si="67"/>
        <v>224.34784248205568</v>
      </c>
      <c r="AZ78" s="165">
        <f>'2018-2019 B STATEMENT '!B543</f>
        <v>200</v>
      </c>
      <c r="BA78" s="166">
        <f t="shared" si="49"/>
        <v>1.9799999999999998</v>
      </c>
      <c r="BB78" s="33">
        <f>AX78-AZ78+'Catch up Fee'!E78+AY78</f>
        <v>4303.399523973977</v>
      </c>
      <c r="BC78" s="167">
        <f t="shared" si="68"/>
        <v>225.68697381856873</v>
      </c>
      <c r="BD78" s="165">
        <f>'2018-2019 B STATEMENT '!B563</f>
        <v>200</v>
      </c>
      <c r="BE78" s="166">
        <f t="shared" si="50"/>
        <v>1.9799999999999998</v>
      </c>
      <c r="BF78" s="33">
        <f>BB78-BD78+'Catch up Fee'!E78+BC78</f>
        <v>4529.0864977925457</v>
      </c>
      <c r="BG78" s="167">
        <f t="shared" si="69"/>
        <v>238.09975737859003</v>
      </c>
      <c r="BH78" s="165">
        <v>0</v>
      </c>
      <c r="BI78" s="166">
        <f t="shared" si="51"/>
        <v>0</v>
      </c>
      <c r="BJ78" s="33">
        <f>BF78-BH78+'Catch up Fee'!E78+BG78</f>
        <v>4967.1862551711356</v>
      </c>
      <c r="BK78" s="167">
        <f t="shared" si="70"/>
        <v>273.19524403441244</v>
      </c>
      <c r="BL78" s="185">
        <f t="shared" si="52"/>
        <v>1600</v>
      </c>
    </row>
    <row r="79" spans="1:64">
      <c r="A79" s="10" t="s">
        <v>650</v>
      </c>
      <c r="B79" s="10" t="s">
        <v>113</v>
      </c>
      <c r="C79" s="80">
        <v>0</v>
      </c>
      <c r="D79" s="79">
        <f t="shared" si="53"/>
        <v>2400</v>
      </c>
      <c r="E79" s="79">
        <f>' 2018-2019'!J78</f>
        <v>300</v>
      </c>
      <c r="F79" s="139">
        <f>' 2018-2019'!F79</f>
        <v>200</v>
      </c>
      <c r="G79" s="78">
        <f t="shared" si="54"/>
        <v>2400</v>
      </c>
      <c r="H79" s="159">
        <f t="shared" si="38"/>
        <v>0</v>
      </c>
      <c r="I79" s="78">
        <f t="shared" si="55"/>
        <v>2400</v>
      </c>
      <c r="J79" s="78">
        <f>I79+M79+E79</f>
        <v>4027.7218729122624</v>
      </c>
      <c r="K79" s="157">
        <f t="shared" si="39"/>
        <v>0</v>
      </c>
      <c r="L79" s="157">
        <f t="shared" ref="L79:L90" si="72">(H79-K79-C79)*5.5%</f>
        <v>0</v>
      </c>
      <c r="M79" s="78">
        <f t="shared" si="56"/>
        <v>1327.7218729122621</v>
      </c>
      <c r="N79" s="194">
        <f t="shared" si="57"/>
        <v>1327.7218729122621</v>
      </c>
      <c r="O79" s="78">
        <f t="shared" si="58"/>
        <v>-1327.7218729122621</v>
      </c>
      <c r="P79" s="165">
        <v>0</v>
      </c>
      <c r="Q79" s="166">
        <f t="shared" si="40"/>
        <v>0</v>
      </c>
      <c r="R79" s="119">
        <f>E79+'Catch up Fee'!E79</f>
        <v>500</v>
      </c>
      <c r="S79" s="167">
        <f t="shared" si="59"/>
        <v>27.5</v>
      </c>
      <c r="T79" s="165">
        <v>0</v>
      </c>
      <c r="U79" s="166">
        <f t="shared" si="41"/>
        <v>0</v>
      </c>
      <c r="V79" s="33">
        <f>R79-T79+'Catch up Fee'!E79+S79</f>
        <v>727.5</v>
      </c>
      <c r="W79" s="167">
        <f t="shared" si="60"/>
        <v>40.012500000000003</v>
      </c>
      <c r="X79" s="165">
        <v>0</v>
      </c>
      <c r="Y79" s="166">
        <f t="shared" si="42"/>
        <v>0</v>
      </c>
      <c r="Z79" s="33">
        <f>V79-X79+'Catch up Fee'!E79+W79</f>
        <v>967.51250000000005</v>
      </c>
      <c r="AA79" s="167">
        <f t="shared" si="61"/>
        <v>53.213187500000004</v>
      </c>
      <c r="AB79" s="165">
        <v>0</v>
      </c>
      <c r="AC79" s="166">
        <f t="shared" si="43"/>
        <v>0</v>
      </c>
      <c r="AD79" s="33">
        <f>Z79-AB79+'Catch up Fee'!E79+AA79</f>
        <v>1220.7256875</v>
      </c>
      <c r="AE79" s="167">
        <f t="shared" si="62"/>
        <v>67.1399128125</v>
      </c>
      <c r="AF79" s="165">
        <v>0</v>
      </c>
      <c r="AG79" s="166">
        <f t="shared" si="44"/>
        <v>0</v>
      </c>
      <c r="AH79" s="33">
        <f>AD79-AF79+'Catch up Fee'!E79+AE79</f>
        <v>1487.8656003125</v>
      </c>
      <c r="AI79" s="167">
        <f t="shared" si="63"/>
        <v>81.832608017187496</v>
      </c>
      <c r="AJ79" s="165">
        <v>0</v>
      </c>
      <c r="AK79" s="166">
        <f t="shared" si="45"/>
        <v>0</v>
      </c>
      <c r="AL79" s="33">
        <f>AH79-AJ79+'Catch up Fee'!E79+AI79</f>
        <v>1769.6982083296875</v>
      </c>
      <c r="AM79" s="167">
        <f t="shared" si="64"/>
        <v>97.333401458132812</v>
      </c>
      <c r="AN79" s="165">
        <v>0</v>
      </c>
      <c r="AO79" s="166">
        <f t="shared" si="46"/>
        <v>0</v>
      </c>
      <c r="AP79" s="33">
        <f>AL79-AN79+'Catch up Fee'!E79+AM79</f>
        <v>2067.0316097878203</v>
      </c>
      <c r="AQ79" s="167">
        <f t="shared" si="65"/>
        <v>113.68673853833012</v>
      </c>
      <c r="AR79" s="165">
        <v>0</v>
      </c>
      <c r="AS79" s="166">
        <f t="shared" si="47"/>
        <v>0</v>
      </c>
      <c r="AT79" s="33">
        <f>AP79-AR79+'Catch up Fee'!E79+AQ79</f>
        <v>2380.7183483261506</v>
      </c>
      <c r="AU79" s="167">
        <f t="shared" si="66"/>
        <v>130.93950915793829</v>
      </c>
      <c r="AV79" s="165">
        <v>0</v>
      </c>
      <c r="AW79" s="166">
        <f t="shared" si="48"/>
        <v>0</v>
      </c>
      <c r="AX79" s="33">
        <f>AT79-AV79+'Catch up Fee'!E79+AU79</f>
        <v>2711.6578574840887</v>
      </c>
      <c r="AY79" s="167">
        <f t="shared" si="67"/>
        <v>149.14118216162487</v>
      </c>
      <c r="AZ79" s="165">
        <v>0</v>
      </c>
      <c r="BA79" s="166">
        <f t="shared" si="49"/>
        <v>0</v>
      </c>
      <c r="BB79" s="33">
        <f>AX79-AZ79+'Catch up Fee'!E79+AY79</f>
        <v>3060.7990396457135</v>
      </c>
      <c r="BC79" s="167">
        <f t="shared" si="68"/>
        <v>168.34394718051425</v>
      </c>
      <c r="BD79" s="165">
        <v>0</v>
      </c>
      <c r="BE79" s="166">
        <f t="shared" si="50"/>
        <v>0</v>
      </c>
      <c r="BF79" s="33">
        <f>BB79-BD79+'Catch up Fee'!E79+BC79</f>
        <v>3429.1429868262276</v>
      </c>
      <c r="BG79" s="167">
        <f t="shared" si="69"/>
        <v>188.60286427544253</v>
      </c>
      <c r="BH79" s="165">
        <v>0</v>
      </c>
      <c r="BI79" s="166">
        <f t="shared" si="51"/>
        <v>0</v>
      </c>
      <c r="BJ79" s="33">
        <f>BF79-BH79+'Catch up Fee'!E79+BG79</f>
        <v>3817.7458511016703</v>
      </c>
      <c r="BK79" s="167">
        <f t="shared" si="70"/>
        <v>209.97602181059187</v>
      </c>
      <c r="BL79" s="185">
        <f t="shared" si="52"/>
        <v>0</v>
      </c>
    </row>
    <row r="80" spans="1:64">
      <c r="A80" s="10" t="s">
        <v>651</v>
      </c>
      <c r="B80" s="10" t="s">
        <v>124</v>
      </c>
      <c r="C80" s="80">
        <v>0</v>
      </c>
      <c r="D80" s="79">
        <f t="shared" si="53"/>
        <v>2400</v>
      </c>
      <c r="E80" s="79">
        <f>' 2018-2019'!J79</f>
        <v>1700</v>
      </c>
      <c r="F80" s="139">
        <f>' 2018-2019'!F80</f>
        <v>0</v>
      </c>
      <c r="G80" s="78">
        <f t="shared" si="54"/>
        <v>2400</v>
      </c>
      <c r="H80" s="159">
        <f t="shared" si="38"/>
        <v>0</v>
      </c>
      <c r="I80" s="78">
        <f t="shared" si="55"/>
        <v>2400</v>
      </c>
      <c r="J80" s="78">
        <f>I80+M80+E80+F80</f>
        <v>6689.412352974874</v>
      </c>
      <c r="K80" s="157">
        <f t="shared" si="39"/>
        <v>0</v>
      </c>
      <c r="L80" s="157">
        <f t="shared" si="72"/>
        <v>0</v>
      </c>
      <c r="M80" s="78">
        <f t="shared" si="56"/>
        <v>2589.412352974874</v>
      </c>
      <c r="N80" s="194">
        <f t="shared" si="57"/>
        <v>2589.412352974874</v>
      </c>
      <c r="O80" s="78">
        <f t="shared" si="58"/>
        <v>-2589.412352974874</v>
      </c>
      <c r="P80" s="165">
        <v>0</v>
      </c>
      <c r="Q80" s="166">
        <f t="shared" si="40"/>
        <v>0</v>
      </c>
      <c r="R80" s="119">
        <f>E80+'Catch up Fee'!E80</f>
        <v>1900</v>
      </c>
      <c r="S80" s="167">
        <f t="shared" si="59"/>
        <v>104.5</v>
      </c>
      <c r="T80" s="165">
        <v>0</v>
      </c>
      <c r="U80" s="166">
        <f t="shared" si="41"/>
        <v>0</v>
      </c>
      <c r="V80" s="33">
        <f>R80-T80+'Catch up Fee'!E80+S80</f>
        <v>2204.5</v>
      </c>
      <c r="W80" s="167">
        <f t="shared" si="60"/>
        <v>121.2475</v>
      </c>
      <c r="X80" s="165">
        <v>0</v>
      </c>
      <c r="Y80" s="166">
        <f t="shared" si="42"/>
        <v>0</v>
      </c>
      <c r="Z80" s="33">
        <f>V80-X80+'Catch up Fee'!E80+W80</f>
        <v>2525.7474999999999</v>
      </c>
      <c r="AA80" s="167">
        <f t="shared" si="61"/>
        <v>138.9161125</v>
      </c>
      <c r="AB80" s="165">
        <v>0</v>
      </c>
      <c r="AC80" s="166">
        <f t="shared" si="43"/>
        <v>0</v>
      </c>
      <c r="AD80" s="33">
        <f>Z80-AB80+'Catch up Fee'!E80+AA80</f>
        <v>2864.6636125</v>
      </c>
      <c r="AE80" s="167">
        <f t="shared" si="62"/>
        <v>157.55649868750001</v>
      </c>
      <c r="AF80" s="165">
        <v>0</v>
      </c>
      <c r="AG80" s="166">
        <f t="shared" si="44"/>
        <v>0</v>
      </c>
      <c r="AH80" s="33">
        <f>AD80-AF80+'Catch up Fee'!E80+AE80</f>
        <v>3222.2201111875002</v>
      </c>
      <c r="AI80" s="167">
        <f t="shared" si="63"/>
        <v>177.2221061153125</v>
      </c>
      <c r="AJ80" s="165">
        <v>0</v>
      </c>
      <c r="AK80" s="166">
        <f t="shared" si="45"/>
        <v>0</v>
      </c>
      <c r="AL80" s="33">
        <f>AH80-AJ80+'Catch up Fee'!E80+AI80</f>
        <v>3599.4422173028124</v>
      </c>
      <c r="AM80" s="167">
        <f t="shared" si="64"/>
        <v>197.96932195165468</v>
      </c>
      <c r="AN80" s="165">
        <v>0</v>
      </c>
      <c r="AO80" s="166">
        <f t="shared" si="46"/>
        <v>0</v>
      </c>
      <c r="AP80" s="33">
        <f>AL80-AN80+'Catch up Fee'!E80+AM80</f>
        <v>3997.4115392544672</v>
      </c>
      <c r="AQ80" s="167">
        <f t="shared" si="65"/>
        <v>219.85763465899569</v>
      </c>
      <c r="AR80" s="165">
        <v>0</v>
      </c>
      <c r="AS80" s="166">
        <f t="shared" si="47"/>
        <v>0</v>
      </c>
      <c r="AT80" s="33">
        <f>AP80-AR80+'Catch up Fee'!E80+AQ80</f>
        <v>4417.2691739134625</v>
      </c>
      <c r="AU80" s="167">
        <f t="shared" si="66"/>
        <v>242.94980456524044</v>
      </c>
      <c r="AV80" s="165">
        <v>0</v>
      </c>
      <c r="AW80" s="166">
        <f t="shared" si="48"/>
        <v>0</v>
      </c>
      <c r="AX80" s="33">
        <f>AT80-AV80+'Catch up Fee'!E80+AU80</f>
        <v>4860.2189784787033</v>
      </c>
      <c r="AY80" s="167">
        <f t="shared" si="67"/>
        <v>267.3120438163287</v>
      </c>
      <c r="AZ80" s="165">
        <v>0</v>
      </c>
      <c r="BA80" s="166">
        <f t="shared" si="49"/>
        <v>0</v>
      </c>
      <c r="BB80" s="33">
        <f>AX80-AZ80+'Catch up Fee'!E80+AY80</f>
        <v>5327.531022295032</v>
      </c>
      <c r="BC80" s="167">
        <f t="shared" si="68"/>
        <v>293.01420622622675</v>
      </c>
      <c r="BD80" s="165">
        <v>0</v>
      </c>
      <c r="BE80" s="166">
        <f t="shared" si="50"/>
        <v>0</v>
      </c>
      <c r="BF80" s="33">
        <f>BB80-BD80+'Catch up Fee'!E80+BC80</f>
        <v>5820.5452285212587</v>
      </c>
      <c r="BG80" s="167">
        <f t="shared" si="69"/>
        <v>320.12998756866921</v>
      </c>
      <c r="BH80" s="165">
        <v>0</v>
      </c>
      <c r="BI80" s="166">
        <f t="shared" si="51"/>
        <v>0</v>
      </c>
      <c r="BJ80" s="33">
        <f>BF80-BH80+'Catch up Fee'!E80+BG80</f>
        <v>6340.6752160899277</v>
      </c>
      <c r="BK80" s="167">
        <f t="shared" si="70"/>
        <v>348.73713688494604</v>
      </c>
      <c r="BL80" s="185">
        <f t="shared" si="52"/>
        <v>0</v>
      </c>
    </row>
    <row r="81" spans="1:64">
      <c r="A81" s="10" t="s">
        <v>652</v>
      </c>
      <c r="B81" s="10" t="s">
        <v>149</v>
      </c>
      <c r="C81" s="80">
        <v>0</v>
      </c>
      <c r="D81" s="79">
        <f t="shared" si="53"/>
        <v>2400</v>
      </c>
      <c r="E81" s="79">
        <f>' 2018-2019'!J80</f>
        <v>500</v>
      </c>
      <c r="F81" s="139">
        <f>' 2018-2019'!F81</f>
        <v>600</v>
      </c>
      <c r="G81" s="78">
        <f t="shared" si="54"/>
        <v>2400</v>
      </c>
      <c r="H81" s="159">
        <f t="shared" si="38"/>
        <v>700</v>
      </c>
      <c r="I81" s="78">
        <f t="shared" si="55"/>
        <v>1700</v>
      </c>
      <c r="J81" s="78">
        <f>I81+M81+E81</f>
        <v>3462.9994413868144</v>
      </c>
      <c r="K81" s="157">
        <f t="shared" si="39"/>
        <v>6.9299999999999988</v>
      </c>
      <c r="L81" s="157">
        <f t="shared" si="72"/>
        <v>38.118850000000002</v>
      </c>
      <c r="M81" s="78">
        <f t="shared" si="56"/>
        <v>1262.9994413868146</v>
      </c>
      <c r="N81" s="194">
        <f t="shared" si="57"/>
        <v>1262.9994413868146</v>
      </c>
      <c r="O81" s="78">
        <f t="shared" si="58"/>
        <v>-531.81059138681462</v>
      </c>
      <c r="P81" s="165">
        <v>0</v>
      </c>
      <c r="Q81" s="166">
        <f t="shared" si="40"/>
        <v>0</v>
      </c>
      <c r="R81" s="119">
        <f>E81+'Catch up Fee'!E81</f>
        <v>700</v>
      </c>
      <c r="S81" s="167">
        <f t="shared" si="59"/>
        <v>38.5</v>
      </c>
      <c r="T81" s="165">
        <v>0</v>
      </c>
      <c r="U81" s="166">
        <f t="shared" si="41"/>
        <v>0</v>
      </c>
      <c r="V81" s="33">
        <f>R81-T81+'Catch up Fee'!E81+S81</f>
        <v>938.5</v>
      </c>
      <c r="W81" s="167">
        <f t="shared" si="60"/>
        <v>51.6175</v>
      </c>
      <c r="X81" s="165">
        <f>'2018-2019 B STATEMENT '!B388</f>
        <v>200</v>
      </c>
      <c r="Y81" s="166">
        <f t="shared" si="42"/>
        <v>1.9799999999999998</v>
      </c>
      <c r="Z81" s="33">
        <f>V81-X81+'Catch up Fee'!E81+W81</f>
        <v>990.11749999999995</v>
      </c>
      <c r="AA81" s="167">
        <f t="shared" si="61"/>
        <v>43.456462500000001</v>
      </c>
      <c r="AB81" s="165">
        <v>0</v>
      </c>
      <c r="AC81" s="166">
        <f t="shared" si="43"/>
        <v>0</v>
      </c>
      <c r="AD81" s="33">
        <f>Z81-AB81+'Catch up Fee'!E81+AA81</f>
        <v>1233.5739624999999</v>
      </c>
      <c r="AE81" s="167">
        <f t="shared" si="62"/>
        <v>67.846567937499998</v>
      </c>
      <c r="AF81" s="165">
        <v>0</v>
      </c>
      <c r="AG81" s="166">
        <f t="shared" si="44"/>
        <v>0</v>
      </c>
      <c r="AH81" s="33">
        <f>AD81-AF81+'Catch up Fee'!E81+AE81</f>
        <v>1501.4205304374998</v>
      </c>
      <c r="AI81" s="167">
        <f t="shared" si="63"/>
        <v>82.578129174062482</v>
      </c>
      <c r="AJ81" s="165">
        <v>0</v>
      </c>
      <c r="AK81" s="166">
        <f t="shared" si="45"/>
        <v>0</v>
      </c>
      <c r="AL81" s="33">
        <f>AH81-AJ81+'Catch up Fee'!E81+AI81</f>
        <v>1783.9986596115623</v>
      </c>
      <c r="AM81" s="167">
        <f t="shared" si="64"/>
        <v>98.11992627863593</v>
      </c>
      <c r="AN81" s="165">
        <v>0</v>
      </c>
      <c r="AO81" s="166">
        <f t="shared" si="46"/>
        <v>0</v>
      </c>
      <c r="AP81" s="33">
        <f>AL81-AN81+'Catch up Fee'!E81+AM81</f>
        <v>2082.1185858901981</v>
      </c>
      <c r="AQ81" s="167">
        <f t="shared" si="65"/>
        <v>114.51652222396089</v>
      </c>
      <c r="AR81" s="165">
        <v>0</v>
      </c>
      <c r="AS81" s="166">
        <f t="shared" si="47"/>
        <v>0</v>
      </c>
      <c r="AT81" s="33">
        <f>AP81-AR81+'Catch up Fee'!E81+AQ81</f>
        <v>2396.6351081141588</v>
      </c>
      <c r="AU81" s="167">
        <f t="shared" si="66"/>
        <v>131.81493094627874</v>
      </c>
      <c r="AV81" s="165">
        <v>0</v>
      </c>
      <c r="AW81" s="166">
        <f t="shared" si="48"/>
        <v>0</v>
      </c>
      <c r="AX81" s="33">
        <f>AT81-AV81+'Catch up Fee'!E81+AU81</f>
        <v>2728.4500390604376</v>
      </c>
      <c r="AY81" s="167">
        <f t="shared" si="67"/>
        <v>150.06475214832406</v>
      </c>
      <c r="AZ81" s="165">
        <v>0</v>
      </c>
      <c r="BA81" s="166">
        <f t="shared" si="49"/>
        <v>0</v>
      </c>
      <c r="BB81" s="33">
        <f>AX81-AZ81+'Catch up Fee'!E81+AY81</f>
        <v>3078.5147912087618</v>
      </c>
      <c r="BC81" s="167">
        <f t="shared" si="68"/>
        <v>169.31831351648191</v>
      </c>
      <c r="BD81" s="165">
        <f>'2018-2019 B STATEMENT '!B566</f>
        <v>500</v>
      </c>
      <c r="BE81" s="166">
        <f t="shared" si="50"/>
        <v>4.9499999999999993</v>
      </c>
      <c r="BF81" s="33">
        <f>BB81-BD81+'Catch up Fee'!E81+BC81</f>
        <v>2947.8331047252436</v>
      </c>
      <c r="BG81" s="167">
        <f t="shared" si="69"/>
        <v>134.63082075988839</v>
      </c>
      <c r="BH81" s="165">
        <v>0</v>
      </c>
      <c r="BI81" s="166">
        <f t="shared" si="51"/>
        <v>0</v>
      </c>
      <c r="BJ81" s="33">
        <f>BF81-BH81+'Catch up Fee'!E81+BG81</f>
        <v>3282.4639254851322</v>
      </c>
      <c r="BK81" s="167">
        <f t="shared" si="70"/>
        <v>180.53551590168226</v>
      </c>
      <c r="BL81" s="185">
        <f t="shared" si="52"/>
        <v>700</v>
      </c>
    </row>
    <row r="82" spans="1:64">
      <c r="A82" s="10" t="s">
        <v>653</v>
      </c>
      <c r="B82" s="10" t="s">
        <v>148</v>
      </c>
      <c r="C82" s="80">
        <v>0</v>
      </c>
      <c r="D82" s="79">
        <f t="shared" si="53"/>
        <v>2400</v>
      </c>
      <c r="E82" s="79">
        <f>' 2018-2019'!J81</f>
        <v>0</v>
      </c>
      <c r="F82" s="139">
        <f>' 2018-2019'!F82</f>
        <v>2400</v>
      </c>
      <c r="G82" s="78">
        <f t="shared" si="54"/>
        <v>2400</v>
      </c>
      <c r="H82" s="159">
        <f t="shared" si="38"/>
        <v>600</v>
      </c>
      <c r="I82" s="78">
        <f t="shared" si="55"/>
        <v>1800</v>
      </c>
      <c r="J82" s="78">
        <f>I82+M82+E82</f>
        <v>2358.243081346418</v>
      </c>
      <c r="K82" s="157">
        <f t="shared" si="39"/>
        <v>5.9399999999999995</v>
      </c>
      <c r="L82" s="157">
        <f t="shared" si="72"/>
        <v>32.673299999999998</v>
      </c>
      <c r="M82" s="78">
        <f t="shared" si="56"/>
        <v>558.24308134641819</v>
      </c>
      <c r="N82" s="194">
        <f t="shared" si="57"/>
        <v>558.24308134641819</v>
      </c>
      <c r="O82" s="78">
        <f t="shared" si="58"/>
        <v>68.490218653581749</v>
      </c>
      <c r="P82" s="165">
        <v>0</v>
      </c>
      <c r="Q82" s="166">
        <f t="shared" si="40"/>
        <v>0</v>
      </c>
      <c r="R82" s="119">
        <f>E82+'Catch up Fee'!E82</f>
        <v>200</v>
      </c>
      <c r="S82" s="167">
        <f t="shared" si="59"/>
        <v>11</v>
      </c>
      <c r="T82" s="165">
        <f>'2018-2019 B STATEMENT '!B366</f>
        <v>400</v>
      </c>
      <c r="U82" s="166">
        <f t="shared" si="41"/>
        <v>3.9599999999999995</v>
      </c>
      <c r="V82" s="33">
        <f>R82-T82+'Catch up Fee'!E82+S82</f>
        <v>11</v>
      </c>
      <c r="W82" s="167">
        <f t="shared" si="60"/>
        <v>-21.395</v>
      </c>
      <c r="X82" s="165">
        <v>0</v>
      </c>
      <c r="Y82" s="166">
        <f t="shared" si="42"/>
        <v>0</v>
      </c>
      <c r="Z82" s="33">
        <f>V82-X82+'Catch up Fee'!E82+W82</f>
        <v>189.60499999999999</v>
      </c>
      <c r="AA82" s="167">
        <f t="shared" si="61"/>
        <v>10.428274999999999</v>
      </c>
      <c r="AB82" s="165">
        <f>'2018-2019 B STATEMENT '!B419</f>
        <v>200</v>
      </c>
      <c r="AC82" s="166">
        <f t="shared" si="43"/>
        <v>1.9799999999999998</v>
      </c>
      <c r="AD82" s="33">
        <f>Z82-AB82+'Catch up Fee'!E82+AA82</f>
        <v>200.033275</v>
      </c>
      <c r="AE82" s="167">
        <f t="shared" si="62"/>
        <v>1.8301250000001801E-3</v>
      </c>
      <c r="AF82" s="165">
        <v>0</v>
      </c>
      <c r="AG82" s="166">
        <f t="shared" si="44"/>
        <v>0</v>
      </c>
      <c r="AH82" s="33">
        <f>AD82-AF82+'Catch up Fee'!E82+AE82</f>
        <v>400.03510512500003</v>
      </c>
      <c r="AI82" s="167">
        <f t="shared" si="63"/>
        <v>22.001930781875</v>
      </c>
      <c r="AJ82" s="165">
        <v>0</v>
      </c>
      <c r="AK82" s="166">
        <f t="shared" si="45"/>
        <v>0</v>
      </c>
      <c r="AL82" s="33">
        <f>AH82-AJ82+'Catch up Fee'!E82+AI82</f>
        <v>622.03703590687496</v>
      </c>
      <c r="AM82" s="167">
        <f t="shared" si="64"/>
        <v>34.212036974878124</v>
      </c>
      <c r="AN82" s="165">
        <v>0</v>
      </c>
      <c r="AO82" s="166">
        <f t="shared" si="46"/>
        <v>0</v>
      </c>
      <c r="AP82" s="33">
        <f>AL82-AN82+'Catch up Fee'!E82+AM82</f>
        <v>856.24907288175314</v>
      </c>
      <c r="AQ82" s="167">
        <f t="shared" si="65"/>
        <v>47.093699008496422</v>
      </c>
      <c r="AR82" s="165">
        <v>0</v>
      </c>
      <c r="AS82" s="166">
        <f t="shared" si="47"/>
        <v>0</v>
      </c>
      <c r="AT82" s="33">
        <f>AP82-AR82+'Catch up Fee'!E82+AQ82</f>
        <v>1103.3427718902497</v>
      </c>
      <c r="AU82" s="167">
        <f t="shared" si="66"/>
        <v>60.683852453963731</v>
      </c>
      <c r="AV82" s="165">
        <v>0</v>
      </c>
      <c r="AW82" s="166">
        <f t="shared" si="48"/>
        <v>0</v>
      </c>
      <c r="AX82" s="33">
        <f>AT82-AV82+'Catch up Fee'!E82+AU82</f>
        <v>1364.0266243442134</v>
      </c>
      <c r="AY82" s="167">
        <f t="shared" si="67"/>
        <v>75.021464338931736</v>
      </c>
      <c r="AZ82" s="165">
        <v>0</v>
      </c>
      <c r="BA82" s="166">
        <f t="shared" si="49"/>
        <v>0</v>
      </c>
      <c r="BB82" s="33">
        <f>AX82-AZ82+'Catch up Fee'!E82+AY82</f>
        <v>1639.0480886831451</v>
      </c>
      <c r="BC82" s="167">
        <f t="shared" si="68"/>
        <v>90.147644877572986</v>
      </c>
      <c r="BD82" s="165">
        <v>0</v>
      </c>
      <c r="BE82" s="166">
        <f t="shared" si="50"/>
        <v>0</v>
      </c>
      <c r="BF82" s="33">
        <f>BB82-BD82+'Catch up Fee'!E82+BC82</f>
        <v>1929.1957335607181</v>
      </c>
      <c r="BG82" s="167">
        <f t="shared" si="69"/>
        <v>106.10576534583949</v>
      </c>
      <c r="BH82" s="165">
        <v>0</v>
      </c>
      <c r="BI82" s="166">
        <f t="shared" si="51"/>
        <v>0</v>
      </c>
      <c r="BJ82" s="33">
        <f>BF82-BH82+'Catch up Fee'!E82+BG82</f>
        <v>2235.3014989065578</v>
      </c>
      <c r="BK82" s="167">
        <f t="shared" si="70"/>
        <v>122.94158243986068</v>
      </c>
      <c r="BL82" s="185">
        <f t="shared" si="52"/>
        <v>600</v>
      </c>
    </row>
    <row r="83" spans="1:64">
      <c r="A83" s="10" t="s">
        <v>654</v>
      </c>
      <c r="B83" s="10" t="s">
        <v>127</v>
      </c>
      <c r="C83" s="80">
        <v>0</v>
      </c>
      <c r="D83" s="79">
        <f t="shared" si="53"/>
        <v>2400</v>
      </c>
      <c r="E83" s="79">
        <f>' 2018-2019'!J82</f>
        <v>0</v>
      </c>
      <c r="F83" s="139">
        <f>' 2018-2019'!F83</f>
        <v>200</v>
      </c>
      <c r="G83" s="78">
        <f t="shared" si="54"/>
        <v>2400</v>
      </c>
      <c r="H83" s="159">
        <f t="shared" si="38"/>
        <v>2700</v>
      </c>
      <c r="I83" s="78">
        <f t="shared" si="55"/>
        <v>-300</v>
      </c>
      <c r="J83" s="78">
        <f>I83+M83+E83</f>
        <v>-431.88094668580658</v>
      </c>
      <c r="K83" s="157">
        <f t="shared" si="39"/>
        <v>26.73</v>
      </c>
      <c r="L83" s="157">
        <f t="shared" si="72"/>
        <v>147.02985000000001</v>
      </c>
      <c r="M83" s="78">
        <f t="shared" si="56"/>
        <v>-131.88094668580658</v>
      </c>
      <c r="N83" s="194">
        <f t="shared" si="57"/>
        <v>-131.88094668580658</v>
      </c>
      <c r="O83" s="78">
        <f t="shared" si="58"/>
        <v>2952.1807966858064</v>
      </c>
      <c r="P83" s="165">
        <v>0</v>
      </c>
      <c r="Q83" s="166">
        <f t="shared" si="40"/>
        <v>0</v>
      </c>
      <c r="R83" s="119">
        <f>E83+'Catch up Fee'!E83</f>
        <v>200</v>
      </c>
      <c r="S83" s="167">
        <f t="shared" si="59"/>
        <v>11</v>
      </c>
      <c r="T83" s="165">
        <f>'2018-2019 B STATEMENT '!B360</f>
        <v>200</v>
      </c>
      <c r="U83" s="166">
        <f t="shared" si="41"/>
        <v>1.9799999999999998</v>
      </c>
      <c r="V83" s="33">
        <f>R83-T83+'Catch up Fee'!E83+S83</f>
        <v>211</v>
      </c>
      <c r="W83" s="167">
        <f t="shared" si="60"/>
        <v>0.60499999999999998</v>
      </c>
      <c r="X83" s="165">
        <f>'2018-2019 B STATEMENT '!B393</f>
        <v>200</v>
      </c>
      <c r="Y83" s="166">
        <f t="shared" si="42"/>
        <v>1.9799999999999998</v>
      </c>
      <c r="Z83" s="33">
        <f>V83-X83+'Catch up Fee'!E83+W83</f>
        <v>211.60499999999999</v>
      </c>
      <c r="AA83" s="167">
        <f t="shared" si="61"/>
        <v>0.63827499999999948</v>
      </c>
      <c r="AB83" s="165">
        <f>'2018-2019 B STATEMENT '!B407</f>
        <v>200</v>
      </c>
      <c r="AC83" s="166">
        <f t="shared" si="43"/>
        <v>1.9799999999999998</v>
      </c>
      <c r="AD83" s="33">
        <f>Z83-AB83+'Catch up Fee'!E83+AA83</f>
        <v>212.24327499999998</v>
      </c>
      <c r="AE83" s="167">
        <f t="shared" si="62"/>
        <v>0.67338012499999911</v>
      </c>
      <c r="AF83" s="165">
        <f>'2018-2019 B STATEMENT '!B434</f>
        <v>200</v>
      </c>
      <c r="AG83" s="166">
        <f t="shared" si="44"/>
        <v>1.9799999999999998</v>
      </c>
      <c r="AH83" s="33">
        <f>AD83-AF83+'Catch up Fee'!E83+AE83</f>
        <v>212.91665512499998</v>
      </c>
      <c r="AI83" s="167">
        <f t="shared" si="63"/>
        <v>0.71041603187499869</v>
      </c>
      <c r="AJ83" s="165">
        <f>'2018-2019 B STATEMENT '!B462</f>
        <v>200</v>
      </c>
      <c r="AK83" s="166">
        <f t="shared" si="45"/>
        <v>1.9799999999999998</v>
      </c>
      <c r="AL83" s="33">
        <f>AH83-AJ83+'Catch up Fee'!E83+AI83</f>
        <v>213.62707115687496</v>
      </c>
      <c r="AM83" s="167">
        <f t="shared" si="64"/>
        <v>0.74948891362812287</v>
      </c>
      <c r="AN83" s="165">
        <f>'2018-2019 B STATEMENT '!B486</f>
        <v>200</v>
      </c>
      <c r="AO83" s="166">
        <f t="shared" si="46"/>
        <v>1.9799999999999998</v>
      </c>
      <c r="AP83" s="33">
        <f>AL83-AN83+'Catch up Fee'!E83+AM83</f>
        <v>214.37656007050307</v>
      </c>
      <c r="AQ83" s="167">
        <f t="shared" si="65"/>
        <v>0.79071080387766912</v>
      </c>
      <c r="AR83" s="165">
        <f>'2018-2019 B STATEMENT '!B506</f>
        <v>200</v>
      </c>
      <c r="AS83" s="166">
        <f t="shared" si="47"/>
        <v>1.9799999999999998</v>
      </c>
      <c r="AT83" s="33">
        <f>AP83-AR83+'Catch up Fee'!E83+AQ83</f>
        <v>215.16727087438073</v>
      </c>
      <c r="AU83" s="167">
        <f t="shared" si="66"/>
        <v>0.83419989809094031</v>
      </c>
      <c r="AV83" s="165">
        <f>'2018-2019 B STATEMENT '!B520+'2018-2019 B STATEMENT '!B525</f>
        <v>700</v>
      </c>
      <c r="AW83" s="166">
        <f t="shared" si="48"/>
        <v>6.93</v>
      </c>
      <c r="AX83" s="33">
        <f>AT83-AV83+'Catch up Fee'!E83+AU83</f>
        <v>-283.99852922752831</v>
      </c>
      <c r="AY83" s="167">
        <f t="shared" si="67"/>
        <v>-54.119919107514058</v>
      </c>
      <c r="AZ83" s="165">
        <f>'2018-2019 B STATEMENT '!B538</f>
        <v>200</v>
      </c>
      <c r="BA83" s="166">
        <f t="shared" si="49"/>
        <v>1.9799999999999998</v>
      </c>
      <c r="BB83" s="33">
        <f>AX83-AZ83+'Catch up Fee'!E83+AY83</f>
        <v>-338.11844833504239</v>
      </c>
      <c r="BC83" s="167">
        <f t="shared" si="68"/>
        <v>-29.596514658427328</v>
      </c>
      <c r="BD83" s="165">
        <f>'2018-2019 B STATEMENT '!B567</f>
        <v>200</v>
      </c>
      <c r="BE83" s="166">
        <f t="shared" si="50"/>
        <v>1.9799999999999998</v>
      </c>
      <c r="BF83" s="33">
        <f>BB83-BD83+'Catch up Fee'!E83+BC83</f>
        <v>-367.71496299346967</v>
      </c>
      <c r="BG83" s="167">
        <f t="shared" si="69"/>
        <v>-31.224322964640834</v>
      </c>
      <c r="BH83" s="165">
        <f>'2018-2019 B STATEMENT '!B583</f>
        <v>200</v>
      </c>
      <c r="BI83" s="166">
        <f t="shared" si="51"/>
        <v>1.9799999999999998</v>
      </c>
      <c r="BJ83" s="33">
        <f>BF83-BH83+'Catch up Fee'!E83+BG83</f>
        <v>-398.93928595811053</v>
      </c>
      <c r="BK83" s="167">
        <f t="shared" si="70"/>
        <v>-32.941660727696082</v>
      </c>
      <c r="BL83" s="185">
        <f t="shared" si="52"/>
        <v>2700</v>
      </c>
    </row>
    <row r="84" spans="1:64">
      <c r="A84" s="10" t="s">
        <v>655</v>
      </c>
      <c r="B84" s="10" t="s">
        <v>147</v>
      </c>
      <c r="C84" s="80">
        <v>0</v>
      </c>
      <c r="D84" s="79">
        <f t="shared" si="53"/>
        <v>2400</v>
      </c>
      <c r="E84" s="79">
        <f>' 2018-2019'!J83</f>
        <v>0</v>
      </c>
      <c r="F84" s="139">
        <f>' 2018-2019'!F84</f>
        <v>400</v>
      </c>
      <c r="G84" s="78">
        <f t="shared" si="54"/>
        <v>2400</v>
      </c>
      <c r="H84" s="159">
        <f t="shared" si="38"/>
        <v>0</v>
      </c>
      <c r="I84" s="78">
        <f t="shared" si="55"/>
        <v>2400</v>
      </c>
      <c r="J84" s="78">
        <f>I84+M84+E84</f>
        <v>3457.3596271845599</v>
      </c>
      <c r="K84" s="157">
        <f t="shared" si="39"/>
        <v>0</v>
      </c>
      <c r="L84" s="157">
        <f t="shared" si="72"/>
        <v>0</v>
      </c>
      <c r="M84" s="78">
        <f t="shared" si="56"/>
        <v>1057.3596271845599</v>
      </c>
      <c r="N84" s="194">
        <f t="shared" si="57"/>
        <v>1057.3596271845599</v>
      </c>
      <c r="O84" s="78">
        <f t="shared" si="58"/>
        <v>-1057.3596271845599</v>
      </c>
      <c r="P84" s="165">
        <v>0</v>
      </c>
      <c r="Q84" s="166">
        <f t="shared" si="40"/>
        <v>0</v>
      </c>
      <c r="R84" s="119">
        <f>E84+'Catch up Fee'!E84</f>
        <v>200</v>
      </c>
      <c r="S84" s="167">
        <f t="shared" si="59"/>
        <v>11</v>
      </c>
      <c r="T84" s="165">
        <v>0</v>
      </c>
      <c r="U84" s="166">
        <f t="shared" si="41"/>
        <v>0</v>
      </c>
      <c r="V84" s="33">
        <f>R84-T84+'Catch up Fee'!E84+S84</f>
        <v>411</v>
      </c>
      <c r="W84" s="167">
        <f t="shared" si="60"/>
        <v>22.605</v>
      </c>
      <c r="X84" s="165">
        <v>0</v>
      </c>
      <c r="Y84" s="166">
        <f t="shared" si="42"/>
        <v>0</v>
      </c>
      <c r="Z84" s="33">
        <f>V84-X84+'Catch up Fee'!E84+W84</f>
        <v>633.60500000000002</v>
      </c>
      <c r="AA84" s="167">
        <f t="shared" si="61"/>
        <v>34.848275000000001</v>
      </c>
      <c r="AB84" s="165">
        <v>0</v>
      </c>
      <c r="AC84" s="166">
        <f t="shared" si="43"/>
        <v>0</v>
      </c>
      <c r="AD84" s="33">
        <f>Z84-AB84+'Catch up Fee'!E84+AA84</f>
        <v>868.45327500000008</v>
      </c>
      <c r="AE84" s="167">
        <f t="shared" si="62"/>
        <v>47.764930125000006</v>
      </c>
      <c r="AF84" s="165">
        <v>0</v>
      </c>
      <c r="AG84" s="166">
        <f t="shared" si="44"/>
        <v>0</v>
      </c>
      <c r="AH84" s="33">
        <f>AD84-AF84+'Catch up Fee'!E84+AE84</f>
        <v>1116.2182051250002</v>
      </c>
      <c r="AI84" s="167">
        <f t="shared" si="63"/>
        <v>61.392001281875011</v>
      </c>
      <c r="AJ84" s="165">
        <v>0</v>
      </c>
      <c r="AK84" s="166">
        <f t="shared" si="45"/>
        <v>0</v>
      </c>
      <c r="AL84" s="33">
        <f>AH84-AJ84+'Catch up Fee'!E84+AI84</f>
        <v>1377.6102064068752</v>
      </c>
      <c r="AM84" s="167">
        <f t="shared" si="64"/>
        <v>75.768561352378143</v>
      </c>
      <c r="AN84" s="165">
        <v>0</v>
      </c>
      <c r="AO84" s="166">
        <f t="shared" si="46"/>
        <v>0</v>
      </c>
      <c r="AP84" s="33">
        <f>AL84-AN84+'Catch up Fee'!E84+AM84</f>
        <v>1653.3787677592534</v>
      </c>
      <c r="AQ84" s="167">
        <f t="shared" si="65"/>
        <v>90.935832226758933</v>
      </c>
      <c r="AR84" s="165">
        <v>0</v>
      </c>
      <c r="AS84" s="166">
        <f t="shared" si="47"/>
        <v>0</v>
      </c>
      <c r="AT84" s="33">
        <f>AP84-AR84+'Catch up Fee'!E84+AQ84</f>
        <v>1944.3145999860124</v>
      </c>
      <c r="AU84" s="167">
        <f t="shared" si="66"/>
        <v>106.93730299923068</v>
      </c>
      <c r="AV84" s="165">
        <v>0</v>
      </c>
      <c r="AW84" s="166">
        <f t="shared" si="48"/>
        <v>0</v>
      </c>
      <c r="AX84" s="33">
        <f>AT84-AV84+'Catch up Fee'!E84+AU84</f>
        <v>2251.2519029852433</v>
      </c>
      <c r="AY84" s="167">
        <f t="shared" si="67"/>
        <v>123.81885466418838</v>
      </c>
      <c r="AZ84" s="165">
        <v>0</v>
      </c>
      <c r="BA84" s="166">
        <f t="shared" si="49"/>
        <v>0</v>
      </c>
      <c r="BB84" s="33">
        <f>AX84-AZ84+'Catch up Fee'!E84+AY84</f>
        <v>2575.0707576494315</v>
      </c>
      <c r="BC84" s="167">
        <f t="shared" si="68"/>
        <v>141.62889167071873</v>
      </c>
      <c r="BD84" s="165">
        <v>0</v>
      </c>
      <c r="BE84" s="166">
        <f t="shared" si="50"/>
        <v>0</v>
      </c>
      <c r="BF84" s="33">
        <f>BB84-BD84+'Catch up Fee'!E84+BC84</f>
        <v>2916.69964932015</v>
      </c>
      <c r="BG84" s="167">
        <f t="shared" si="69"/>
        <v>160.41848071260824</v>
      </c>
      <c r="BH84" s="165">
        <v>0</v>
      </c>
      <c r="BI84" s="166">
        <f t="shared" si="51"/>
        <v>0</v>
      </c>
      <c r="BJ84" s="33">
        <f>BF84-BH84+'Catch up Fee'!E84+BG84</f>
        <v>3277.118130032758</v>
      </c>
      <c r="BK84" s="167">
        <f t="shared" si="70"/>
        <v>180.2414971518017</v>
      </c>
      <c r="BL84" s="185">
        <f t="shared" si="52"/>
        <v>0</v>
      </c>
    </row>
    <row r="85" spans="1:64">
      <c r="A85" s="10" t="s">
        <v>656</v>
      </c>
      <c r="B85" s="10" t="s">
        <v>121</v>
      </c>
      <c r="C85" s="80">
        <v>0</v>
      </c>
      <c r="D85" s="79">
        <f t="shared" si="53"/>
        <v>2400</v>
      </c>
      <c r="E85" s="79">
        <f>' 2018-2019'!J84</f>
        <v>0</v>
      </c>
      <c r="F85" s="139">
        <f>' 2018-2019'!F85</f>
        <v>0</v>
      </c>
      <c r="G85" s="78">
        <f t="shared" si="54"/>
        <v>2400</v>
      </c>
      <c r="H85" s="159">
        <f t="shared" si="38"/>
        <v>2900</v>
      </c>
      <c r="I85" s="78">
        <f t="shared" si="55"/>
        <v>-500</v>
      </c>
      <c r="J85" s="78">
        <f>I85+M85+E85+F85</f>
        <v>-982.54726059736504</v>
      </c>
      <c r="K85" s="157">
        <f t="shared" si="39"/>
        <v>28.709999999999997</v>
      </c>
      <c r="L85" s="157">
        <f t="shared" si="72"/>
        <v>157.92095</v>
      </c>
      <c r="M85" s="78">
        <f t="shared" si="56"/>
        <v>-482.54726059736504</v>
      </c>
      <c r="N85" s="194">
        <f t="shared" si="57"/>
        <v>-482.54726059736504</v>
      </c>
      <c r="O85" s="78">
        <f t="shared" si="58"/>
        <v>3511.7582105973652</v>
      </c>
      <c r="P85" s="165">
        <f>'2018-2019 B STATEMENT '!B344</f>
        <v>200</v>
      </c>
      <c r="Q85" s="166">
        <f t="shared" si="40"/>
        <v>1.9799999999999998</v>
      </c>
      <c r="R85" s="119">
        <f>E85+'Catch up Fee'!E85</f>
        <v>200</v>
      </c>
      <c r="S85" s="167">
        <f t="shared" si="59"/>
        <v>0</v>
      </c>
      <c r="T85" s="165">
        <f>'2018-2019 B STATEMENT '!B364</f>
        <v>200</v>
      </c>
      <c r="U85" s="166">
        <f t="shared" si="41"/>
        <v>1.9799999999999998</v>
      </c>
      <c r="V85" s="33">
        <f>R85-T85+'Catch up Fee'!E85+S85</f>
        <v>200</v>
      </c>
      <c r="W85" s="167">
        <f t="shared" si="60"/>
        <v>0</v>
      </c>
      <c r="X85" s="165">
        <f>'2018-2019 B STATEMENT '!B399</f>
        <v>1000</v>
      </c>
      <c r="Y85" s="166">
        <f t="shared" si="42"/>
        <v>9.8999999999999986</v>
      </c>
      <c r="Z85" s="33">
        <f>V85-X85+'Catch up Fee'!E85+W85</f>
        <v>-600</v>
      </c>
      <c r="AA85" s="167">
        <f t="shared" si="61"/>
        <v>-88</v>
      </c>
      <c r="AB85" s="165">
        <f>'2018-2019 B STATEMENT '!B422</f>
        <v>200</v>
      </c>
      <c r="AC85" s="166">
        <f t="shared" si="43"/>
        <v>1.9799999999999998</v>
      </c>
      <c r="AD85" s="33">
        <f>Z85-AB85+'Catch up Fee'!E85+AA85</f>
        <v>-688</v>
      </c>
      <c r="AE85" s="167">
        <f t="shared" si="62"/>
        <v>-48.84</v>
      </c>
      <c r="AF85" s="165">
        <f>'2018-2019 B STATEMENT '!B446</f>
        <v>200</v>
      </c>
      <c r="AG85" s="166">
        <f t="shared" si="44"/>
        <v>1.9799999999999998</v>
      </c>
      <c r="AH85" s="33">
        <f>AD85-AF85+'Catch up Fee'!E85+AE85</f>
        <v>-736.84</v>
      </c>
      <c r="AI85" s="167">
        <f t="shared" si="63"/>
        <v>-51.526200000000003</v>
      </c>
      <c r="AJ85" s="165">
        <f>'2018-2019 B STATEMENT '!B473</f>
        <v>200</v>
      </c>
      <c r="AK85" s="166">
        <f t="shared" si="45"/>
        <v>1.9799999999999998</v>
      </c>
      <c r="AL85" s="33">
        <f>AH85-AJ85+'Catch up Fee'!E85+AI85</f>
        <v>-788.36620000000005</v>
      </c>
      <c r="AM85" s="167">
        <f t="shared" si="64"/>
        <v>-54.360141000000006</v>
      </c>
      <c r="AN85" s="165">
        <v>0</v>
      </c>
      <c r="AO85" s="166">
        <f t="shared" si="46"/>
        <v>0</v>
      </c>
      <c r="AP85" s="33">
        <f>AL85-AN85+'Catch up Fee'!E85+AM85</f>
        <v>-642.72634100000005</v>
      </c>
      <c r="AQ85" s="167">
        <f t="shared" si="65"/>
        <v>-35.349948755</v>
      </c>
      <c r="AR85" s="165">
        <v>0</v>
      </c>
      <c r="AS85" s="166">
        <f t="shared" si="47"/>
        <v>0</v>
      </c>
      <c r="AT85" s="33">
        <f>AP85-AR85+'Catch up Fee'!E85+AQ85</f>
        <v>-478.07628975500006</v>
      </c>
      <c r="AU85" s="167">
        <f t="shared" si="66"/>
        <v>-26.294195936525004</v>
      </c>
      <c r="AV85" s="165">
        <v>0</v>
      </c>
      <c r="AW85" s="166">
        <f t="shared" si="48"/>
        <v>0</v>
      </c>
      <c r="AX85" s="33">
        <f>AT85-AV85+'Catch up Fee'!E85+AU85</f>
        <v>-304.37048569152506</v>
      </c>
      <c r="AY85" s="167">
        <f t="shared" si="67"/>
        <v>-16.740376713033879</v>
      </c>
      <c r="AZ85" s="165">
        <f>'2018-2019 B STATEMENT '!B547</f>
        <v>500</v>
      </c>
      <c r="BA85" s="166">
        <f t="shared" si="49"/>
        <v>4.9499999999999993</v>
      </c>
      <c r="BB85" s="33">
        <f>AX85-AZ85+'Catch up Fee'!E85+AY85</f>
        <v>-621.11086240455904</v>
      </c>
      <c r="BC85" s="167">
        <f t="shared" si="68"/>
        <v>-61.661097432250756</v>
      </c>
      <c r="BD85" s="165">
        <f>'2018-2019 B STATEMENT '!B568</f>
        <v>200</v>
      </c>
      <c r="BE85" s="166">
        <f t="shared" si="50"/>
        <v>1.9799999999999998</v>
      </c>
      <c r="BF85" s="33">
        <f>BB85-BD85+'Catch up Fee'!E85+BC85</f>
        <v>-682.77195983680986</v>
      </c>
      <c r="BG85" s="167">
        <f t="shared" si="69"/>
        <v>-48.552457791024544</v>
      </c>
      <c r="BH85" s="165">
        <f>'2018-2019 B STATEMENT '!B586</f>
        <v>200</v>
      </c>
      <c r="BI85" s="166">
        <f t="shared" si="51"/>
        <v>1.9799999999999998</v>
      </c>
      <c r="BJ85" s="33">
        <f>BF85-BH85+'Catch up Fee'!E85+BG85</f>
        <v>-731.32441762783435</v>
      </c>
      <c r="BK85" s="167">
        <f t="shared" si="70"/>
        <v>-51.222842969530888</v>
      </c>
      <c r="BL85" s="185">
        <f t="shared" si="52"/>
        <v>2900</v>
      </c>
    </row>
    <row r="86" spans="1:64">
      <c r="A86" s="10" t="s">
        <v>657</v>
      </c>
      <c r="B86" s="10" t="s">
        <v>145</v>
      </c>
      <c r="C86" s="80">
        <v>0</v>
      </c>
      <c r="D86" s="79">
        <f t="shared" si="53"/>
        <v>2400</v>
      </c>
      <c r="E86" s="79">
        <f>' 2018-2019'!J85</f>
        <v>1050</v>
      </c>
      <c r="F86" s="139">
        <f>' 2018-2019'!F86</f>
        <v>600</v>
      </c>
      <c r="G86" s="78">
        <f t="shared" si="54"/>
        <v>2400</v>
      </c>
      <c r="H86" s="159">
        <f t="shared" si="38"/>
        <v>1400</v>
      </c>
      <c r="I86" s="78">
        <f t="shared" si="55"/>
        <v>1000</v>
      </c>
      <c r="J86" s="78">
        <f>I86+M86+E86</f>
        <v>3339.3117869550988</v>
      </c>
      <c r="K86" s="157">
        <f t="shared" si="39"/>
        <v>13.86</v>
      </c>
      <c r="L86" s="157">
        <f t="shared" si="72"/>
        <v>76.237700000000004</v>
      </c>
      <c r="M86" s="78">
        <f t="shared" si="56"/>
        <v>1289.3117869550986</v>
      </c>
      <c r="N86" s="194">
        <f t="shared" si="57"/>
        <v>1289.3117869550986</v>
      </c>
      <c r="O86" s="78">
        <f t="shared" si="58"/>
        <v>173.06591304490155</v>
      </c>
      <c r="P86" s="165">
        <f>'2018-2019 B STATEMENT '!B334</f>
        <v>400</v>
      </c>
      <c r="Q86" s="166">
        <f t="shared" si="40"/>
        <v>3.9599999999999995</v>
      </c>
      <c r="R86" s="119">
        <f>E86+'Catch up Fee'!E86</f>
        <v>1250</v>
      </c>
      <c r="S86" s="167">
        <f t="shared" si="59"/>
        <v>46.75</v>
      </c>
      <c r="T86" s="165">
        <f>'2018-2019 B STATEMENT '!B361</f>
        <v>200</v>
      </c>
      <c r="U86" s="166">
        <f t="shared" si="41"/>
        <v>1.9799999999999998</v>
      </c>
      <c r="V86" s="33">
        <f>R86-T86+'Catch up Fee'!E86+S86</f>
        <v>1296.75</v>
      </c>
      <c r="W86" s="167">
        <f t="shared" si="60"/>
        <v>60.321249999999999</v>
      </c>
      <c r="X86" s="165">
        <f>'2018-2019 B STATEMENT '!B394</f>
        <v>200</v>
      </c>
      <c r="Y86" s="166">
        <f t="shared" si="42"/>
        <v>1.9799999999999998</v>
      </c>
      <c r="Z86" s="33">
        <f>V86-X86+'Catch up Fee'!E86+W86</f>
        <v>1357.07125</v>
      </c>
      <c r="AA86" s="167">
        <f t="shared" si="61"/>
        <v>63.638918749999995</v>
      </c>
      <c r="AB86" s="165">
        <v>0</v>
      </c>
      <c r="AC86" s="166">
        <f t="shared" si="43"/>
        <v>0</v>
      </c>
      <c r="AD86" s="33">
        <f>Z86-AB86+'Catch up Fee'!E86+AA86</f>
        <v>1620.7101687499999</v>
      </c>
      <c r="AE86" s="167">
        <f t="shared" si="62"/>
        <v>89.139059281249999</v>
      </c>
      <c r="AF86" s="165">
        <f>'2018-2019 B STATEMENT '!B448</f>
        <v>400</v>
      </c>
      <c r="AG86" s="166">
        <f t="shared" si="44"/>
        <v>3.9599999999999995</v>
      </c>
      <c r="AH86" s="33">
        <f>AD86-AF86+'Catch up Fee'!E86+AE86</f>
        <v>1509.8492280312498</v>
      </c>
      <c r="AI86" s="167">
        <f t="shared" si="63"/>
        <v>61.041707541718743</v>
      </c>
      <c r="AJ86" s="165">
        <v>0</v>
      </c>
      <c r="AK86" s="166">
        <f t="shared" si="45"/>
        <v>0</v>
      </c>
      <c r="AL86" s="33">
        <f>AH86-AJ86+'Catch up Fee'!E86+AI86</f>
        <v>1770.8909355729686</v>
      </c>
      <c r="AM86" s="167">
        <f t="shared" si="64"/>
        <v>97.399001456513275</v>
      </c>
      <c r="AN86" s="165">
        <f>'2018-2019 B STATEMENT '!B477</f>
        <v>200</v>
      </c>
      <c r="AO86" s="166">
        <f t="shared" si="46"/>
        <v>1.9799999999999998</v>
      </c>
      <c r="AP86" s="33">
        <f>AL86-AN86+'Catch up Fee'!E86+AM86</f>
        <v>1868.289937029482</v>
      </c>
      <c r="AQ86" s="167">
        <f t="shared" si="65"/>
        <v>91.755946536621508</v>
      </c>
      <c r="AR86" s="165">
        <v>0</v>
      </c>
      <c r="AS86" s="166">
        <f t="shared" si="47"/>
        <v>0</v>
      </c>
      <c r="AT86" s="33">
        <f>AP86-AR86+'Catch up Fee'!E86+AQ86</f>
        <v>2160.0458835661034</v>
      </c>
      <c r="AU86" s="167">
        <f t="shared" si="66"/>
        <v>118.80252359613569</v>
      </c>
      <c r="AV86" s="165">
        <v>0</v>
      </c>
      <c r="AW86" s="166">
        <f t="shared" si="48"/>
        <v>0</v>
      </c>
      <c r="AX86" s="33">
        <f>AT86-AV86+'Catch up Fee'!E86+AU86</f>
        <v>2478.8484071622393</v>
      </c>
      <c r="AY86" s="167">
        <f t="shared" si="67"/>
        <v>136.33666239392315</v>
      </c>
      <c r="AZ86" s="165">
        <v>0</v>
      </c>
      <c r="BA86" s="166">
        <f t="shared" si="49"/>
        <v>0</v>
      </c>
      <c r="BB86" s="33">
        <f>AX86-AZ86+'Catch up Fee'!E86+AY86</f>
        <v>2815.1850695561625</v>
      </c>
      <c r="BC86" s="167">
        <f t="shared" si="68"/>
        <v>154.83517882558894</v>
      </c>
      <c r="BD86" s="165">
        <v>0</v>
      </c>
      <c r="BE86" s="166">
        <f t="shared" si="50"/>
        <v>0</v>
      </c>
      <c r="BF86" s="33">
        <f>BB86-BD86+'Catch up Fee'!E86+BC86</f>
        <v>3170.0202483817516</v>
      </c>
      <c r="BG86" s="167">
        <f t="shared" si="69"/>
        <v>174.35111366099633</v>
      </c>
      <c r="BH86" s="165">
        <v>0</v>
      </c>
      <c r="BI86" s="166">
        <f t="shared" si="51"/>
        <v>0</v>
      </c>
      <c r="BJ86" s="33">
        <f>BF86-BH86+'Catch up Fee'!E86+BG86</f>
        <v>3544.3713620427479</v>
      </c>
      <c r="BK86" s="167">
        <f t="shared" si="70"/>
        <v>194.94042491235115</v>
      </c>
      <c r="BL86" s="185">
        <f t="shared" si="52"/>
        <v>1400</v>
      </c>
    </row>
    <row r="87" spans="1:64">
      <c r="A87" s="10" t="s">
        <v>658</v>
      </c>
      <c r="B87" s="10" t="s">
        <v>146</v>
      </c>
      <c r="C87" s="79">
        <v>100</v>
      </c>
      <c r="D87" s="79">
        <f t="shared" si="53"/>
        <v>2400</v>
      </c>
      <c r="E87" s="79">
        <f>' 2018-2019'!J86</f>
        <v>1000</v>
      </c>
      <c r="F87" s="139">
        <f>' 2018-2019'!F87</f>
        <v>3400</v>
      </c>
      <c r="G87" s="78">
        <f t="shared" si="54"/>
        <v>2500</v>
      </c>
      <c r="H87" s="159">
        <f t="shared" si="38"/>
        <v>100</v>
      </c>
      <c r="I87" s="78">
        <f t="shared" si="55"/>
        <v>2300</v>
      </c>
      <c r="J87" s="78">
        <f>I87+M87+E87</f>
        <v>5205.5155613929983</v>
      </c>
      <c r="K87" s="157">
        <f t="shared" si="39"/>
        <v>0.98999999999999988</v>
      </c>
      <c r="L87" s="157">
        <f t="shared" si="72"/>
        <v>-5.4449999999999721E-2</v>
      </c>
      <c r="M87" s="78">
        <f t="shared" si="56"/>
        <v>1905.5155613929985</v>
      </c>
      <c r="N87" s="194">
        <f t="shared" si="57"/>
        <v>1905.5155613929985</v>
      </c>
      <c r="O87" s="78">
        <f t="shared" si="58"/>
        <v>-1806.5600113929986</v>
      </c>
      <c r="P87" s="165">
        <v>0</v>
      </c>
      <c r="Q87" s="166">
        <f t="shared" si="40"/>
        <v>0</v>
      </c>
      <c r="R87" s="119">
        <f>E87+'Catch up Fee'!E87</f>
        <v>1200</v>
      </c>
      <c r="S87" s="167">
        <f t="shared" si="59"/>
        <v>66</v>
      </c>
      <c r="T87" s="165">
        <v>0</v>
      </c>
      <c r="U87" s="166">
        <f t="shared" si="41"/>
        <v>0</v>
      </c>
      <c r="V87" s="33">
        <f>R87-T87+'Catch up Fee'!E87+S87</f>
        <v>1466</v>
      </c>
      <c r="W87" s="167">
        <f t="shared" si="60"/>
        <v>80.63</v>
      </c>
      <c r="X87" s="165">
        <v>0</v>
      </c>
      <c r="Y87" s="166">
        <f t="shared" si="42"/>
        <v>0</v>
      </c>
      <c r="Z87" s="33">
        <f>V87-X87+'Catch up Fee'!E87+W87</f>
        <v>1746.63</v>
      </c>
      <c r="AA87" s="167">
        <f t="shared" si="61"/>
        <v>96.06465</v>
      </c>
      <c r="AB87" s="165">
        <v>0</v>
      </c>
      <c r="AC87" s="166">
        <f t="shared" si="43"/>
        <v>0</v>
      </c>
      <c r="AD87" s="33">
        <f>Z87-AB87+'Catch up Fee'!E87+AA87</f>
        <v>2042.6946500000001</v>
      </c>
      <c r="AE87" s="167">
        <f t="shared" si="62"/>
        <v>112.34820575000001</v>
      </c>
      <c r="AF87" s="165">
        <v>0</v>
      </c>
      <c r="AG87" s="166">
        <f t="shared" si="44"/>
        <v>0</v>
      </c>
      <c r="AH87" s="33">
        <f>AD87-AF87+'Catch up Fee'!E87+AE87</f>
        <v>2355.0428557500004</v>
      </c>
      <c r="AI87" s="167">
        <f t="shared" si="63"/>
        <v>129.52735706625003</v>
      </c>
      <c r="AJ87" s="165">
        <f>'2018-2019 B STATEMENT '!B475</f>
        <v>100</v>
      </c>
      <c r="AK87" s="166">
        <f t="shared" si="45"/>
        <v>0.98999999999999988</v>
      </c>
      <c r="AL87" s="33">
        <f>AH87-AJ87+'Catch up Fee'!E87+AI87</f>
        <v>2584.5702128162502</v>
      </c>
      <c r="AM87" s="167">
        <f t="shared" si="64"/>
        <v>136.65136170489376</v>
      </c>
      <c r="AN87" s="165">
        <v>0</v>
      </c>
      <c r="AO87" s="166">
        <f t="shared" si="46"/>
        <v>0</v>
      </c>
      <c r="AP87" s="33">
        <f>AL87-AN87+'Catch up Fee'!E87+AM87</f>
        <v>2921.2215745211438</v>
      </c>
      <c r="AQ87" s="167">
        <f t="shared" si="65"/>
        <v>160.66718659866291</v>
      </c>
      <c r="AR87" s="165">
        <v>0</v>
      </c>
      <c r="AS87" s="166">
        <f t="shared" si="47"/>
        <v>0</v>
      </c>
      <c r="AT87" s="33">
        <f>AP87-AR87+'Catch up Fee'!E87+AQ87</f>
        <v>3281.8887611198065</v>
      </c>
      <c r="AU87" s="167">
        <f t="shared" si="66"/>
        <v>180.50388186158935</v>
      </c>
      <c r="AV87" s="165">
        <v>0</v>
      </c>
      <c r="AW87" s="166">
        <f t="shared" si="48"/>
        <v>0</v>
      </c>
      <c r="AX87" s="33">
        <f>AT87-AV87+'Catch up Fee'!E87+AU87</f>
        <v>3662.392642981396</v>
      </c>
      <c r="AY87" s="167">
        <f t="shared" si="67"/>
        <v>201.43159536397678</v>
      </c>
      <c r="AZ87" s="165">
        <v>0</v>
      </c>
      <c r="BA87" s="166">
        <f t="shared" si="49"/>
        <v>0</v>
      </c>
      <c r="BB87" s="33">
        <f>AX87-AZ87+'Catch up Fee'!E87+AY87</f>
        <v>4063.8242383453726</v>
      </c>
      <c r="BC87" s="167">
        <f t="shared" si="68"/>
        <v>223.5103331089955</v>
      </c>
      <c r="BD87" s="165">
        <v>0</v>
      </c>
      <c r="BE87" s="166">
        <f t="shared" si="50"/>
        <v>0</v>
      </c>
      <c r="BF87" s="33">
        <f>BB87-BD87+'Catch up Fee'!E87+BC87</f>
        <v>4487.3345714543684</v>
      </c>
      <c r="BG87" s="167">
        <f t="shared" si="69"/>
        <v>246.80340142999026</v>
      </c>
      <c r="BH87" s="165">
        <v>0</v>
      </c>
      <c r="BI87" s="166">
        <f t="shared" si="51"/>
        <v>0</v>
      </c>
      <c r="BJ87" s="33">
        <f>BF87-BH87+'Catch up Fee'!E87+BG87</f>
        <v>4934.1379728843585</v>
      </c>
      <c r="BK87" s="167">
        <f t="shared" si="70"/>
        <v>271.37758850863975</v>
      </c>
      <c r="BL87" s="185">
        <f t="shared" si="52"/>
        <v>100</v>
      </c>
    </row>
    <row r="88" spans="1:64">
      <c r="A88" s="10" t="s">
        <v>659</v>
      </c>
      <c r="B88" s="10" t="s">
        <v>133</v>
      </c>
      <c r="C88" s="80">
        <v>0</v>
      </c>
      <c r="D88" s="79">
        <f t="shared" si="53"/>
        <v>2400</v>
      </c>
      <c r="E88" s="79">
        <f>' 2018-2019'!J87</f>
        <v>2400</v>
      </c>
      <c r="F88" s="139">
        <f>' 2018-2019'!F88</f>
        <v>0</v>
      </c>
      <c r="G88" s="78">
        <f t="shared" si="54"/>
        <v>2400</v>
      </c>
      <c r="H88" s="159">
        <f t="shared" si="38"/>
        <v>0</v>
      </c>
      <c r="I88" s="78">
        <f t="shared" si="55"/>
        <v>2400</v>
      </c>
      <c r="J88" s="78">
        <f>I88+M88+E88+F88</f>
        <v>8020.2575930061794</v>
      </c>
      <c r="K88" s="157">
        <f t="shared" si="39"/>
        <v>0</v>
      </c>
      <c r="L88" s="157">
        <f t="shared" si="72"/>
        <v>0</v>
      </c>
      <c r="M88" s="78">
        <f t="shared" si="56"/>
        <v>3220.2575930061794</v>
      </c>
      <c r="N88" s="194">
        <f t="shared" si="57"/>
        <v>3220.2575930061794</v>
      </c>
      <c r="O88" s="78">
        <f t="shared" si="58"/>
        <v>-3220.2575930061794</v>
      </c>
      <c r="P88" s="165">
        <v>0</v>
      </c>
      <c r="Q88" s="166">
        <f t="shared" si="40"/>
        <v>0</v>
      </c>
      <c r="R88" s="119">
        <f>E88+'Catch up Fee'!E88</f>
        <v>2600</v>
      </c>
      <c r="S88" s="167">
        <f t="shared" si="59"/>
        <v>143</v>
      </c>
      <c r="T88" s="165">
        <v>0</v>
      </c>
      <c r="U88" s="166">
        <f t="shared" si="41"/>
        <v>0</v>
      </c>
      <c r="V88" s="33">
        <f>R88-T88+'Catch up Fee'!E88+S88</f>
        <v>2943</v>
      </c>
      <c r="W88" s="167">
        <f t="shared" si="60"/>
        <v>161.86500000000001</v>
      </c>
      <c r="X88" s="165">
        <v>0</v>
      </c>
      <c r="Y88" s="166">
        <f t="shared" si="42"/>
        <v>0</v>
      </c>
      <c r="Z88" s="33">
        <f>V88-X88+'Catch up Fee'!E88+W88</f>
        <v>3304.8649999999998</v>
      </c>
      <c r="AA88" s="167">
        <f t="shared" si="61"/>
        <v>181.76757499999999</v>
      </c>
      <c r="AB88" s="165">
        <v>0</v>
      </c>
      <c r="AC88" s="166">
        <f t="shared" si="43"/>
        <v>0</v>
      </c>
      <c r="AD88" s="33">
        <f>Z88-AB88+'Catch up Fee'!E88+AA88</f>
        <v>3686.6325749999996</v>
      </c>
      <c r="AE88" s="167">
        <f t="shared" si="62"/>
        <v>202.76479162499999</v>
      </c>
      <c r="AF88" s="165">
        <v>0</v>
      </c>
      <c r="AG88" s="166">
        <f t="shared" si="44"/>
        <v>0</v>
      </c>
      <c r="AH88" s="33">
        <f>AD88-AF88+'Catch up Fee'!E88+AE88</f>
        <v>4089.3973666249994</v>
      </c>
      <c r="AI88" s="167">
        <f t="shared" si="63"/>
        <v>224.91685516437497</v>
      </c>
      <c r="AJ88" s="165">
        <v>0</v>
      </c>
      <c r="AK88" s="166">
        <f t="shared" si="45"/>
        <v>0</v>
      </c>
      <c r="AL88" s="33">
        <f>AH88-AJ88+'Catch up Fee'!E88+AI88</f>
        <v>4514.3142217893746</v>
      </c>
      <c r="AM88" s="167">
        <f t="shared" si="64"/>
        <v>248.2872821984156</v>
      </c>
      <c r="AN88" s="165">
        <v>0</v>
      </c>
      <c r="AO88" s="166">
        <f t="shared" si="46"/>
        <v>0</v>
      </c>
      <c r="AP88" s="33">
        <f>AL88-AN88+'Catch up Fee'!E88+AM88</f>
        <v>4962.6015039877902</v>
      </c>
      <c r="AQ88" s="167">
        <f t="shared" si="65"/>
        <v>272.94308271932846</v>
      </c>
      <c r="AR88" s="165">
        <v>0</v>
      </c>
      <c r="AS88" s="166">
        <f t="shared" si="47"/>
        <v>0</v>
      </c>
      <c r="AT88" s="33">
        <f>AP88-AR88+'Catch up Fee'!E88+AQ88</f>
        <v>5435.5445867071185</v>
      </c>
      <c r="AU88" s="167">
        <f t="shared" si="66"/>
        <v>298.95495226889153</v>
      </c>
      <c r="AV88" s="165">
        <v>0</v>
      </c>
      <c r="AW88" s="166">
        <f t="shared" si="48"/>
        <v>0</v>
      </c>
      <c r="AX88" s="33">
        <f>AT88-AV88+'Catch up Fee'!E88+AU88</f>
        <v>5934.4995389760097</v>
      </c>
      <c r="AY88" s="167">
        <f t="shared" si="67"/>
        <v>326.39747464368054</v>
      </c>
      <c r="AZ88" s="165">
        <v>0</v>
      </c>
      <c r="BA88" s="166">
        <f t="shared" si="49"/>
        <v>0</v>
      </c>
      <c r="BB88" s="33">
        <f>AX88-AZ88+'Catch up Fee'!E88+AY88</f>
        <v>6460.8970136196904</v>
      </c>
      <c r="BC88" s="167">
        <f t="shared" si="68"/>
        <v>355.34933574908297</v>
      </c>
      <c r="BD88" s="165">
        <v>0</v>
      </c>
      <c r="BE88" s="166">
        <f t="shared" si="50"/>
        <v>0</v>
      </c>
      <c r="BF88" s="33">
        <f>BB88-BD88+'Catch up Fee'!E88+BC88</f>
        <v>7016.2463493687737</v>
      </c>
      <c r="BG88" s="167">
        <f t="shared" si="69"/>
        <v>385.89354921528258</v>
      </c>
      <c r="BH88" s="165">
        <v>0</v>
      </c>
      <c r="BI88" s="166">
        <f t="shared" si="51"/>
        <v>0</v>
      </c>
      <c r="BJ88" s="33">
        <f>BF88-BH88+'Catch up Fee'!E88+BG88</f>
        <v>7602.139898584056</v>
      </c>
      <c r="BK88" s="167">
        <f t="shared" si="70"/>
        <v>418.11769442212307</v>
      </c>
      <c r="BL88" s="185">
        <f t="shared" si="52"/>
        <v>0</v>
      </c>
    </row>
    <row r="89" spans="1:64">
      <c r="A89" s="10" t="s">
        <v>660</v>
      </c>
      <c r="B89" s="10" t="s">
        <v>134</v>
      </c>
      <c r="C89" s="80">
        <v>0</v>
      </c>
      <c r="D89" s="79">
        <f t="shared" si="53"/>
        <v>2400</v>
      </c>
      <c r="E89" s="79">
        <f>' 2018-2019'!J88</f>
        <v>1300</v>
      </c>
      <c r="F89" s="139">
        <f>' 2018-2019'!F89</f>
        <v>200</v>
      </c>
      <c r="G89" s="78">
        <f t="shared" si="54"/>
        <v>2400</v>
      </c>
      <c r="H89" s="159">
        <f t="shared" si="38"/>
        <v>0</v>
      </c>
      <c r="I89" s="78">
        <f t="shared" si="55"/>
        <v>2400</v>
      </c>
      <c r="J89" s="78">
        <f>I89+M89+E89</f>
        <v>5928.9293586712702</v>
      </c>
      <c r="K89" s="157">
        <f t="shared" si="39"/>
        <v>0</v>
      </c>
      <c r="L89" s="157">
        <f t="shared" si="72"/>
        <v>0</v>
      </c>
      <c r="M89" s="78">
        <f t="shared" si="56"/>
        <v>2228.9293586712702</v>
      </c>
      <c r="N89" s="194">
        <f t="shared" si="57"/>
        <v>2228.9293586712702</v>
      </c>
      <c r="O89" s="78">
        <f t="shared" si="58"/>
        <v>-2228.9293586712702</v>
      </c>
      <c r="P89" s="165"/>
      <c r="Q89" s="166">
        <f t="shared" si="40"/>
        <v>0</v>
      </c>
      <c r="R89" s="119">
        <f>E89+'Catch up Fee'!E89</f>
        <v>1500</v>
      </c>
      <c r="S89" s="167">
        <f t="shared" si="59"/>
        <v>82.5</v>
      </c>
      <c r="T89" s="165"/>
      <c r="U89" s="166">
        <f t="shared" si="41"/>
        <v>0</v>
      </c>
      <c r="V89" s="33">
        <f>R89-T89+'Catch up Fee'!E89+S89</f>
        <v>1782.5</v>
      </c>
      <c r="W89" s="167">
        <f t="shared" si="60"/>
        <v>98.037499999999994</v>
      </c>
      <c r="X89" s="165">
        <v>0</v>
      </c>
      <c r="Y89" s="166">
        <f t="shared" si="42"/>
        <v>0</v>
      </c>
      <c r="Z89" s="33">
        <f>V89-X89+'Catch up Fee'!E89+W89</f>
        <v>2080.5374999999999</v>
      </c>
      <c r="AA89" s="167">
        <f t="shared" si="61"/>
        <v>114.42956249999999</v>
      </c>
      <c r="AB89" s="165">
        <v>0</v>
      </c>
      <c r="AC89" s="166">
        <f t="shared" si="43"/>
        <v>0</v>
      </c>
      <c r="AD89" s="33">
        <f>Z89-AB89+'Catch up Fee'!E89+AA89</f>
        <v>2394.9670624999999</v>
      </c>
      <c r="AE89" s="167">
        <f t="shared" si="62"/>
        <v>131.7231884375</v>
      </c>
      <c r="AF89" s="165">
        <v>0</v>
      </c>
      <c r="AG89" s="166">
        <f t="shared" si="44"/>
        <v>0</v>
      </c>
      <c r="AH89" s="33">
        <f>AD89-AF89+'Catch up Fee'!E89+AE89</f>
        <v>2726.6902509375</v>
      </c>
      <c r="AI89" s="167">
        <f t="shared" si="63"/>
        <v>149.96796380156249</v>
      </c>
      <c r="AJ89" s="165">
        <v>0</v>
      </c>
      <c r="AK89" s="166">
        <f t="shared" si="45"/>
        <v>0</v>
      </c>
      <c r="AL89" s="33">
        <f>AH89-AJ89+'Catch up Fee'!E89+AI89</f>
        <v>3076.6582147390623</v>
      </c>
      <c r="AM89" s="167">
        <f t="shared" si="64"/>
        <v>169.21620181064841</v>
      </c>
      <c r="AN89" s="165">
        <v>0</v>
      </c>
      <c r="AO89" s="166">
        <f t="shared" si="46"/>
        <v>0</v>
      </c>
      <c r="AP89" s="33">
        <f>AL89-AN89+'Catch up Fee'!E89+AM89</f>
        <v>3445.8744165497105</v>
      </c>
      <c r="AQ89" s="167">
        <f t="shared" si="65"/>
        <v>189.52309291023408</v>
      </c>
      <c r="AR89" s="165">
        <v>0</v>
      </c>
      <c r="AS89" s="166">
        <f t="shared" si="47"/>
        <v>0</v>
      </c>
      <c r="AT89" s="33">
        <f>AP89-AR89+'Catch up Fee'!E89+AQ89</f>
        <v>3835.3975094599446</v>
      </c>
      <c r="AU89" s="167">
        <f t="shared" si="66"/>
        <v>210.94686302029695</v>
      </c>
      <c r="AV89" s="165">
        <v>0</v>
      </c>
      <c r="AW89" s="166">
        <f t="shared" si="48"/>
        <v>0</v>
      </c>
      <c r="AX89" s="33">
        <f>AT89-AV89+'Catch up Fee'!E89+AU89</f>
        <v>4246.3443724802419</v>
      </c>
      <c r="AY89" s="167">
        <f t="shared" si="67"/>
        <v>233.5489404864133</v>
      </c>
      <c r="AZ89" s="165">
        <v>0</v>
      </c>
      <c r="BA89" s="166">
        <f t="shared" si="49"/>
        <v>0</v>
      </c>
      <c r="BB89" s="33">
        <f>AX89-AZ89+'Catch up Fee'!E89+AY89</f>
        <v>4679.8933129666548</v>
      </c>
      <c r="BC89" s="167">
        <f t="shared" si="68"/>
        <v>257.39413221316602</v>
      </c>
      <c r="BD89" s="165">
        <v>0</v>
      </c>
      <c r="BE89" s="166">
        <f t="shared" si="50"/>
        <v>0</v>
      </c>
      <c r="BF89" s="33">
        <f>BB89-BD89+'Catch up Fee'!E89+BC89</f>
        <v>5137.2874451798207</v>
      </c>
      <c r="BG89" s="167">
        <f t="shared" si="69"/>
        <v>282.55080948489012</v>
      </c>
      <c r="BH89" s="165">
        <v>0</v>
      </c>
      <c r="BI89" s="166">
        <f t="shared" si="51"/>
        <v>0</v>
      </c>
      <c r="BJ89" s="33">
        <f>BF89-BH89+'Catch up Fee'!E89+BG89</f>
        <v>5619.8382546647108</v>
      </c>
      <c r="BK89" s="167">
        <f t="shared" si="70"/>
        <v>309.09110400655908</v>
      </c>
      <c r="BL89" s="185">
        <f t="shared" si="52"/>
        <v>0</v>
      </c>
    </row>
    <row r="90" spans="1:64">
      <c r="A90" s="10" t="s">
        <v>661</v>
      </c>
      <c r="B90" s="10" t="s">
        <v>116</v>
      </c>
      <c r="C90" s="80">
        <v>0</v>
      </c>
      <c r="D90" s="79">
        <f t="shared" si="53"/>
        <v>2400</v>
      </c>
      <c r="E90" s="79">
        <f>' 2018-2019'!J89</f>
        <v>1800</v>
      </c>
      <c r="F90" s="139">
        <f>' 2018-2019'!F90</f>
        <v>0</v>
      </c>
      <c r="G90" s="78">
        <f t="shared" si="54"/>
        <v>2400</v>
      </c>
      <c r="H90" s="159">
        <f t="shared" si="38"/>
        <v>2400</v>
      </c>
      <c r="I90" s="78">
        <f t="shared" si="55"/>
        <v>0</v>
      </c>
      <c r="J90" s="78">
        <f>I90+M90+E90+F90</f>
        <v>2996.1911843822563</v>
      </c>
      <c r="K90" s="157">
        <f t="shared" si="39"/>
        <v>23.759999999999998</v>
      </c>
      <c r="L90" s="157">
        <f t="shared" si="72"/>
        <v>130.69319999999999</v>
      </c>
      <c r="M90" s="78">
        <f t="shared" si="56"/>
        <v>1196.1911843822566</v>
      </c>
      <c r="N90" s="194">
        <f t="shared" si="57"/>
        <v>1196.1911843822566</v>
      </c>
      <c r="O90" s="78">
        <f>H90-K90-M90+L90</f>
        <v>1310.7420156177432</v>
      </c>
      <c r="P90" s="165"/>
      <c r="Q90" s="166">
        <f t="shared" si="40"/>
        <v>0</v>
      </c>
      <c r="R90" s="119">
        <f>E90+'Catch up Fee'!E90</f>
        <v>2000</v>
      </c>
      <c r="S90" s="167">
        <f t="shared" si="59"/>
        <v>110</v>
      </c>
      <c r="T90" s="165">
        <v>1000</v>
      </c>
      <c r="U90" s="166">
        <f t="shared" si="41"/>
        <v>9.8999999999999986</v>
      </c>
      <c r="V90" s="33">
        <f>R90-T90+'Catch up Fee'!E90+S90</f>
        <v>1310</v>
      </c>
      <c r="W90" s="167">
        <f t="shared" si="60"/>
        <v>17.05</v>
      </c>
      <c r="X90" s="165">
        <v>0</v>
      </c>
      <c r="Y90" s="166">
        <f t="shared" si="42"/>
        <v>0</v>
      </c>
      <c r="Z90" s="33">
        <f>V90-X90+'Catch up Fee'!E90+W90</f>
        <v>1527.05</v>
      </c>
      <c r="AA90" s="167">
        <f t="shared" si="61"/>
        <v>83.987749999999991</v>
      </c>
      <c r="AB90" s="165">
        <v>0</v>
      </c>
      <c r="AC90" s="166">
        <f t="shared" si="43"/>
        <v>0</v>
      </c>
      <c r="AD90" s="33">
        <f>Z90-AB90+'Catch up Fee'!E90+AA90</f>
        <v>1811.03775</v>
      </c>
      <c r="AE90" s="167">
        <f t="shared" si="62"/>
        <v>99.607076249999992</v>
      </c>
      <c r="AF90" s="165">
        <v>0</v>
      </c>
      <c r="AG90" s="166">
        <f t="shared" si="44"/>
        <v>0</v>
      </c>
      <c r="AH90" s="33">
        <f>AD90-AF90+'Catch up Fee'!E90+AE90</f>
        <v>2110.6448262499998</v>
      </c>
      <c r="AI90" s="167">
        <f t="shared" si="63"/>
        <v>116.08546544375</v>
      </c>
      <c r="AJ90" s="165">
        <v>400</v>
      </c>
      <c r="AK90" s="166">
        <f t="shared" si="45"/>
        <v>3.9599999999999995</v>
      </c>
      <c r="AL90" s="33">
        <f>AH90-AJ90+'Catch up Fee'!E90+AI90</f>
        <v>2026.7302916937499</v>
      </c>
      <c r="AM90" s="167">
        <f t="shared" si="64"/>
        <v>89.47016604315624</v>
      </c>
      <c r="AN90" s="165">
        <v>0</v>
      </c>
      <c r="AO90" s="166">
        <f t="shared" si="46"/>
        <v>0</v>
      </c>
      <c r="AP90" s="33">
        <f>AL90-AN90+'Catch up Fee'!E90+AM90</f>
        <v>2316.2004577369057</v>
      </c>
      <c r="AQ90" s="167">
        <f t="shared" si="65"/>
        <v>127.39102517552982</v>
      </c>
      <c r="AR90" s="165">
        <v>1000</v>
      </c>
      <c r="AS90" s="166">
        <f t="shared" si="47"/>
        <v>9.8999999999999986</v>
      </c>
      <c r="AT90" s="33">
        <f>AP90-AR90+'Catch up Fee'!E90+AQ90</f>
        <v>1643.5914829124356</v>
      </c>
      <c r="AU90" s="167">
        <f t="shared" si="66"/>
        <v>35.397531560183957</v>
      </c>
      <c r="AV90" s="165">
        <v>0</v>
      </c>
      <c r="AW90" s="166">
        <f t="shared" si="48"/>
        <v>0</v>
      </c>
      <c r="AX90" s="33">
        <f>AT90-AV90+'Catch up Fee'!E90+AU90</f>
        <v>1878.9890144726196</v>
      </c>
      <c r="AY90" s="167">
        <f t="shared" si="67"/>
        <v>103.34439579599407</v>
      </c>
      <c r="AZ90" s="165">
        <v>0</v>
      </c>
      <c r="BA90" s="166">
        <f t="shared" si="49"/>
        <v>0</v>
      </c>
      <c r="BB90" s="33">
        <f>AX90-AZ90+'Catch up Fee'!E90+AY90</f>
        <v>2182.3334102686135</v>
      </c>
      <c r="BC90" s="167">
        <f t="shared" si="68"/>
        <v>120.02833756477375</v>
      </c>
      <c r="BD90" s="165">
        <v>0</v>
      </c>
      <c r="BE90" s="166">
        <f t="shared" si="50"/>
        <v>0</v>
      </c>
      <c r="BF90" s="33">
        <f>BB90-BD90+'Catch up Fee'!E90+BC90</f>
        <v>2502.3617478333872</v>
      </c>
      <c r="BG90" s="167">
        <f t="shared" si="69"/>
        <v>137.6298961308363</v>
      </c>
      <c r="BH90" s="165">
        <v>0</v>
      </c>
      <c r="BI90" s="166">
        <f t="shared" si="51"/>
        <v>0</v>
      </c>
      <c r="BJ90" s="33">
        <f>BF90-BH90+'Catch up Fee'!E90+BG90</f>
        <v>2839.9916439642234</v>
      </c>
      <c r="BK90" s="167">
        <f t="shared" si="70"/>
        <v>156.19954041803229</v>
      </c>
      <c r="BL90" s="185">
        <f t="shared" si="52"/>
        <v>2400</v>
      </c>
    </row>
    <row r="92" spans="1:64" ht="14.65" thickBot="1">
      <c r="C92" s="117">
        <f t="shared" ref="C92:BL92" si="73">SUM(C2:C90)</f>
        <v>1100</v>
      </c>
      <c r="D92" s="117">
        <f t="shared" si="73"/>
        <v>213600</v>
      </c>
      <c r="E92" s="117">
        <f t="shared" si="73"/>
        <v>108990</v>
      </c>
      <c r="G92" s="117">
        <f t="shared" si="73"/>
        <v>214700</v>
      </c>
      <c r="H92" s="117">
        <f t="shared" si="73"/>
        <v>107188.89</v>
      </c>
      <c r="I92" s="117">
        <f t="shared" si="73"/>
        <v>106411.11</v>
      </c>
      <c r="J92" s="117">
        <f t="shared" si="73"/>
        <v>354742.76395330287</v>
      </c>
      <c r="K92" s="117">
        <f t="shared" si="73"/>
        <v>1080.9700109999999</v>
      </c>
      <c r="L92" s="117">
        <f t="shared" si="73"/>
        <v>5775.4355993949994</v>
      </c>
      <c r="M92" s="117">
        <f t="shared" si="73"/>
        <v>139341.65395330277</v>
      </c>
      <c r="N92" s="195">
        <f t="shared" si="73"/>
        <v>139341.65395330277</v>
      </c>
      <c r="O92" s="117">
        <f t="shared" si="73"/>
        <v>-27458.298364907732</v>
      </c>
      <c r="P92" s="172">
        <f t="shared" si="73"/>
        <v>11000</v>
      </c>
      <c r="Q92" s="177">
        <f t="shared" si="73"/>
        <v>108.90000000000002</v>
      </c>
      <c r="R92" s="117">
        <f t="shared" si="73"/>
        <v>124290</v>
      </c>
      <c r="S92" s="176">
        <f t="shared" si="73"/>
        <v>6230.95</v>
      </c>
      <c r="T92" s="172">
        <f t="shared" si="73"/>
        <v>10710</v>
      </c>
      <c r="U92" s="177">
        <f t="shared" si="73"/>
        <v>106.029</v>
      </c>
      <c r="V92" s="117">
        <f t="shared" si="73"/>
        <v>137610.95000000001</v>
      </c>
      <c r="W92" s="176">
        <f t="shared" si="73"/>
        <v>6979.5522500000025</v>
      </c>
      <c r="X92" s="172">
        <f t="shared" si="73"/>
        <v>14510</v>
      </c>
      <c r="Y92" s="177">
        <f t="shared" si="73"/>
        <v>143.64899999999994</v>
      </c>
      <c r="Z92" s="117">
        <f t="shared" si="73"/>
        <v>147880.50225000008</v>
      </c>
      <c r="AA92" s="176">
        <f t="shared" si="73"/>
        <v>7335.3776237500024</v>
      </c>
      <c r="AB92" s="172">
        <f t="shared" si="73"/>
        <v>6450</v>
      </c>
      <c r="AC92" s="177">
        <f t="shared" si="73"/>
        <v>63.854999999999961</v>
      </c>
      <c r="AD92" s="117">
        <f t="shared" si="73"/>
        <v>166565.87987374989</v>
      </c>
      <c r="AE92" s="176">
        <f t="shared" si="73"/>
        <v>8806.3733930562521</v>
      </c>
      <c r="AF92" s="172">
        <f t="shared" si="73"/>
        <v>8000</v>
      </c>
      <c r="AG92" s="177">
        <f t="shared" si="73"/>
        <v>79.199999999999989</v>
      </c>
      <c r="AH92" s="117">
        <f t="shared" si="73"/>
        <v>185172.25326680625</v>
      </c>
      <c r="AI92" s="176">
        <f t="shared" si="73"/>
        <v>9744.4739296743446</v>
      </c>
      <c r="AJ92" s="172">
        <f t="shared" si="73"/>
        <v>13550</v>
      </c>
      <c r="AK92" s="177">
        <f t="shared" si="73"/>
        <v>134.14500000000001</v>
      </c>
      <c r="AL92" s="117">
        <f t="shared" si="73"/>
        <v>199166.7271964805</v>
      </c>
      <c r="AM92" s="176">
        <f t="shared" si="73"/>
        <v>10208.919995806429</v>
      </c>
      <c r="AN92" s="172">
        <f t="shared" si="73"/>
        <v>4538.8899999999994</v>
      </c>
      <c r="AO92" s="177">
        <f t="shared" si="73"/>
        <v>44.935010999999982</v>
      </c>
      <c r="AP92" s="117">
        <f t="shared" si="73"/>
        <v>222636.75719228707</v>
      </c>
      <c r="AQ92" s="176">
        <f t="shared" si="73"/>
        <v>11995.382695575781</v>
      </c>
      <c r="AR92" s="172">
        <f t="shared" si="73"/>
        <v>5810</v>
      </c>
      <c r="AS92" s="177">
        <f t="shared" si="73"/>
        <v>57.518999999999984</v>
      </c>
      <c r="AT92" s="117">
        <f t="shared" si="73"/>
        <v>246622.13988786278</v>
      </c>
      <c r="AU92" s="176">
        <f t="shared" si="73"/>
        <v>13244.667693832454</v>
      </c>
      <c r="AV92" s="172">
        <f t="shared" si="73"/>
        <v>11400</v>
      </c>
      <c r="AW92" s="177">
        <f t="shared" si="73"/>
        <v>112.85999999999999</v>
      </c>
      <c r="AX92" s="117">
        <f t="shared" si="73"/>
        <v>266266.80758169515</v>
      </c>
      <c r="AY92" s="176">
        <f t="shared" si="73"/>
        <v>14017.674416993226</v>
      </c>
      <c r="AZ92" s="172">
        <f t="shared" si="73"/>
        <v>7620</v>
      </c>
      <c r="BA92" s="177">
        <f t="shared" si="73"/>
        <v>75.437999999999988</v>
      </c>
      <c r="BB92" s="117">
        <f t="shared" si="73"/>
        <v>290464.4819986886</v>
      </c>
      <c r="BC92" s="176">
        <f t="shared" si="73"/>
        <v>15556.44650992787</v>
      </c>
      <c r="BD92" s="172">
        <f t="shared" si="73"/>
        <v>10500</v>
      </c>
      <c r="BE92" s="177">
        <f t="shared" si="73"/>
        <v>103.95000000000003</v>
      </c>
      <c r="BF92" s="117">
        <f t="shared" si="73"/>
        <v>313320.92850861634</v>
      </c>
      <c r="BG92" s="176">
        <f t="shared" si="73"/>
        <v>16655.151067973908</v>
      </c>
      <c r="BH92" s="172">
        <f t="shared" si="73"/>
        <v>5100</v>
      </c>
      <c r="BI92" s="177">
        <f t="shared" si="73"/>
        <v>50.489999999999988</v>
      </c>
      <c r="BJ92" s="117">
        <f t="shared" si="73"/>
        <v>342676.07957659016</v>
      </c>
      <c r="BK92" s="176">
        <f t="shared" si="73"/>
        <v>18566.684376712459</v>
      </c>
      <c r="BL92" s="117">
        <f t="shared" si="73"/>
        <v>107188.89</v>
      </c>
    </row>
    <row r="93" spans="1:64" ht="14.65" thickTop="1">
      <c r="C93" s="170"/>
      <c r="D93" s="170"/>
      <c r="E93" s="170"/>
      <c r="G93" s="170"/>
      <c r="H93" s="170"/>
      <c r="I93" s="170"/>
      <c r="J93" s="170"/>
      <c r="K93" s="170"/>
      <c r="L93" s="170"/>
      <c r="M93" s="170"/>
      <c r="N93" s="198"/>
      <c r="O93" s="170"/>
      <c r="P93" s="173"/>
      <c r="Q93" s="178"/>
      <c r="R93" s="170"/>
      <c r="S93" s="179"/>
      <c r="T93" s="173"/>
      <c r="U93" s="178"/>
      <c r="V93" s="170"/>
      <c r="W93" s="179"/>
      <c r="X93" s="173"/>
      <c r="Y93" s="178"/>
      <c r="Z93" s="170"/>
      <c r="AA93" s="179"/>
      <c r="AB93" s="173"/>
      <c r="AC93" s="178"/>
      <c r="AD93" s="170"/>
      <c r="AE93" s="179"/>
      <c r="AF93" s="173"/>
      <c r="AG93" s="178"/>
      <c r="AH93" s="170"/>
      <c r="AI93" s="179"/>
      <c r="AJ93" s="173"/>
      <c r="AK93" s="178"/>
      <c r="AL93" s="170"/>
      <c r="AM93" s="179"/>
      <c r="AN93" s="173"/>
      <c r="AO93" s="178"/>
      <c r="AP93" s="170"/>
      <c r="AQ93" s="179"/>
      <c r="AR93" s="173"/>
      <c r="AS93" s="178"/>
      <c r="AT93" s="170"/>
      <c r="AU93" s="179"/>
      <c r="AV93" s="173"/>
      <c r="AW93" s="178"/>
      <c r="AX93" s="170"/>
      <c r="AY93" s="179"/>
      <c r="AZ93" s="173"/>
      <c r="BA93" s="178"/>
      <c r="BB93" s="170"/>
      <c r="BC93" s="179"/>
      <c r="BD93" s="173"/>
      <c r="BE93" s="178"/>
      <c r="BF93" s="170"/>
      <c r="BG93" s="179"/>
      <c r="BH93" s="173"/>
      <c r="BI93" s="178"/>
      <c r="BJ93" s="170"/>
      <c r="BK93" s="179"/>
      <c r="BL93" s="170"/>
    </row>
    <row r="94" spans="1:64" ht="171">
      <c r="C94" s="170"/>
      <c r="D94" s="170"/>
      <c r="E94" s="170"/>
      <c r="F94" s="203" t="s">
        <v>406</v>
      </c>
      <c r="G94" s="170"/>
      <c r="H94" s="146"/>
      <c r="I94" s="207" t="s">
        <v>409</v>
      </c>
      <c r="J94" s="170"/>
      <c r="K94" s="170"/>
      <c r="L94" s="170"/>
      <c r="M94" s="170"/>
      <c r="N94" s="198"/>
      <c r="O94" s="204"/>
      <c r="P94" s="173">
        <f>AVERAGE(P92,T92,X92,AB92,AF92,AJ92,AN92,AR92,AV92,AZ92,BD92,BH92)</f>
        <v>9099.0741666666672</v>
      </c>
      <c r="Q94" s="178"/>
      <c r="R94" s="171" t="s">
        <v>399</v>
      </c>
      <c r="S94" s="179"/>
      <c r="T94" s="173"/>
      <c r="U94" s="178"/>
      <c r="V94" s="170"/>
      <c r="W94" s="179"/>
      <c r="X94" s="173"/>
      <c r="Y94" s="178"/>
      <c r="Z94" s="170"/>
      <c r="AA94" s="179"/>
      <c r="AB94" s="173"/>
      <c r="AC94" s="178"/>
      <c r="AD94" s="170"/>
      <c r="AE94" s="179"/>
      <c r="AF94" s="173"/>
      <c r="AG94" s="178"/>
      <c r="AH94" s="170"/>
      <c r="AI94" s="179"/>
      <c r="AJ94" s="173"/>
      <c r="AK94" s="178"/>
      <c r="AL94" s="170"/>
      <c r="AM94" s="179"/>
      <c r="AN94" s="173"/>
      <c r="AO94" s="178"/>
      <c r="AP94" s="170"/>
      <c r="AQ94" s="179"/>
      <c r="AR94" s="173"/>
      <c r="AS94" s="178"/>
      <c r="AT94" s="170"/>
      <c r="AU94" s="179"/>
      <c r="AV94" s="173"/>
      <c r="AW94" s="178"/>
      <c r="AX94" s="170"/>
      <c r="AY94" s="179"/>
      <c r="AZ94" s="173"/>
      <c r="BA94" s="178"/>
      <c r="BB94" s="170"/>
      <c r="BC94" s="179"/>
      <c r="BD94" s="173"/>
      <c r="BE94" s="178"/>
      <c r="BF94" s="170"/>
      <c r="BG94" s="179"/>
      <c r="BH94" s="173"/>
      <c r="BI94" s="178"/>
      <c r="BJ94" s="170"/>
      <c r="BK94" s="179"/>
      <c r="BL94" s="170"/>
    </row>
    <row r="95" spans="1:64" ht="35.65">
      <c r="C95" s="170"/>
      <c r="D95" s="170"/>
      <c r="E95" s="170"/>
      <c r="G95" s="170"/>
      <c r="H95" s="205"/>
      <c r="I95" s="207" t="s">
        <v>408</v>
      </c>
      <c r="J95" s="170"/>
      <c r="K95" s="170"/>
      <c r="L95" s="170"/>
      <c r="M95" s="170"/>
      <c r="N95" s="198"/>
      <c r="O95" s="170"/>
      <c r="P95" s="173"/>
      <c r="Q95" s="178"/>
      <c r="R95" s="170"/>
      <c r="S95" s="179"/>
      <c r="T95" s="173"/>
      <c r="U95" s="178"/>
      <c r="V95" s="170"/>
      <c r="W95" s="179"/>
      <c r="X95" s="173"/>
      <c r="Y95" s="178"/>
      <c r="Z95" s="170"/>
      <c r="AA95" s="179"/>
      <c r="AB95" s="173"/>
      <c r="AC95" s="178"/>
      <c r="AD95" s="170"/>
      <c r="AE95" s="179"/>
      <c r="AF95" s="173"/>
      <c r="AG95" s="178"/>
      <c r="AH95" s="170"/>
      <c r="AI95" s="179"/>
      <c r="AJ95" s="173"/>
      <c r="AK95" s="178"/>
      <c r="AL95" s="170"/>
      <c r="AM95" s="179"/>
      <c r="AN95" s="173"/>
      <c r="AO95" s="178"/>
      <c r="AP95" s="170"/>
      <c r="AQ95" s="179"/>
      <c r="AR95" s="173"/>
      <c r="AS95" s="178"/>
      <c r="AT95" s="170"/>
      <c r="AU95" s="179"/>
      <c r="AV95" s="173"/>
      <c r="AW95" s="178"/>
      <c r="AX95" s="170"/>
      <c r="AY95" s="179"/>
      <c r="AZ95" s="173"/>
      <c r="BA95" s="178"/>
      <c r="BB95" s="170"/>
      <c r="BC95" s="179"/>
      <c r="BD95" s="173"/>
      <c r="BE95" s="178"/>
      <c r="BF95" s="170"/>
      <c r="BG95" s="179"/>
      <c r="BH95" s="173"/>
      <c r="BI95" s="178"/>
      <c r="BJ95" s="170"/>
      <c r="BK95" s="179"/>
      <c r="BL95" s="170"/>
    </row>
    <row r="96" spans="1:64" ht="35.65">
      <c r="C96" s="170"/>
      <c r="D96" s="170"/>
      <c r="E96" s="170"/>
      <c r="G96" s="170"/>
      <c r="H96" s="175"/>
      <c r="I96" s="207" t="s">
        <v>410</v>
      </c>
      <c r="J96" s="170"/>
      <c r="K96" s="170"/>
      <c r="L96" s="170"/>
      <c r="M96" s="170"/>
      <c r="N96" s="198"/>
      <c r="O96" s="170"/>
      <c r="P96" s="173"/>
      <c r="Q96" s="178"/>
      <c r="R96" s="170"/>
      <c r="S96" s="179"/>
      <c r="T96" s="173"/>
      <c r="U96" s="178"/>
      <c r="V96" s="170"/>
      <c r="W96" s="179"/>
      <c r="X96" s="173"/>
      <c r="Y96" s="178"/>
      <c r="Z96" s="170"/>
      <c r="AA96" s="179"/>
      <c r="AB96" s="173"/>
      <c r="AC96" s="178"/>
      <c r="AD96" s="170"/>
      <c r="AE96" s="179"/>
      <c r="AF96" s="173"/>
      <c r="AG96" s="178"/>
      <c r="AH96" s="170"/>
      <c r="AI96" s="179"/>
      <c r="AJ96" s="173"/>
      <c r="AK96" s="178"/>
      <c r="AL96" s="170"/>
      <c r="AM96" s="179"/>
      <c r="AN96" s="173"/>
      <c r="AO96" s="178"/>
      <c r="AP96" s="170"/>
      <c r="AQ96" s="179"/>
      <c r="AR96" s="173"/>
      <c r="AS96" s="178"/>
      <c r="AT96" s="170"/>
      <c r="AU96" s="179"/>
      <c r="AV96" s="173"/>
      <c r="AW96" s="178"/>
      <c r="AX96" s="170"/>
      <c r="AY96" s="179"/>
      <c r="AZ96" s="173"/>
      <c r="BA96" s="178"/>
      <c r="BB96" s="170"/>
      <c r="BC96" s="179"/>
      <c r="BD96" s="173"/>
      <c r="BE96" s="178"/>
      <c r="BF96" s="170"/>
      <c r="BG96" s="179"/>
      <c r="BH96" s="173"/>
      <c r="BI96" s="178"/>
      <c r="BJ96" s="170"/>
      <c r="BK96" s="179"/>
      <c r="BL96" s="170"/>
    </row>
    <row r="97" spans="3:64">
      <c r="C97" s="170"/>
      <c r="D97" s="170"/>
      <c r="E97" s="170"/>
      <c r="G97" s="170"/>
      <c r="H97" s="170"/>
      <c r="I97" s="170"/>
      <c r="J97" s="170"/>
      <c r="K97" s="170"/>
      <c r="L97" s="170"/>
      <c r="M97" s="170"/>
      <c r="N97" s="198"/>
      <c r="O97" s="170"/>
      <c r="P97" s="173"/>
      <c r="Q97" s="178"/>
      <c r="R97" s="170"/>
      <c r="S97" s="179"/>
      <c r="T97" s="173"/>
      <c r="U97" s="178"/>
      <c r="V97" s="170"/>
      <c r="W97" s="179"/>
      <c r="X97" s="173"/>
      <c r="Y97" s="178"/>
      <c r="Z97" s="170"/>
      <c r="AA97" s="179"/>
      <c r="AB97" s="173"/>
      <c r="AC97" s="178"/>
      <c r="AD97" s="170"/>
      <c r="AE97" s="179"/>
      <c r="AF97" s="173"/>
      <c r="AG97" s="178"/>
      <c r="AH97" s="170"/>
      <c r="AI97" s="179"/>
      <c r="AJ97" s="173"/>
      <c r="AK97" s="178"/>
      <c r="AL97" s="170"/>
      <c r="AM97" s="179"/>
      <c r="AN97" s="173"/>
      <c r="AO97" s="178"/>
      <c r="AP97" s="170"/>
      <c r="AQ97" s="179"/>
      <c r="AR97" s="173"/>
      <c r="AS97" s="178"/>
      <c r="AT97" s="170"/>
      <c r="AU97" s="179"/>
      <c r="AV97" s="173"/>
      <c r="AW97" s="178"/>
      <c r="AX97" s="170"/>
      <c r="AY97" s="179"/>
      <c r="AZ97" s="173"/>
      <c r="BA97" s="178"/>
      <c r="BB97" s="170"/>
      <c r="BC97" s="179"/>
      <c r="BD97" s="173"/>
      <c r="BE97" s="178"/>
      <c r="BF97" s="170"/>
      <c r="BG97" s="179"/>
      <c r="BH97" s="173"/>
      <c r="BI97" s="178"/>
      <c r="BJ97" s="170"/>
      <c r="BK97" s="179"/>
      <c r="BL97" s="170"/>
    </row>
  </sheetData>
  <autoFilter ref="A1:BL90" xr:uid="{00000000-0009-0000-0000-000003000000}"/>
  <conditionalFormatting sqref="H2:H90">
    <cfRule type="cellIs" dxfId="50" priority="21" operator="lessThan">
      <formula>1199.99</formula>
    </cfRule>
    <cfRule type="cellIs" dxfId="49" priority="22" operator="between">
      <formula>1199.99</formula>
      <formula>2399.99</formula>
    </cfRule>
    <cfRule type="cellIs" dxfId="48" priority="23" operator="greaterThan">
      <formula>2400</formula>
    </cfRule>
    <cfRule type="cellIs" dxfId="47" priority="25" operator="between">
      <formula>1200</formula>
      <formula>2399.99</formula>
    </cfRule>
    <cfRule type="iconSet" priority="27">
      <iconSet iconSet="3Arrows">
        <cfvo type="percent" val="0"/>
        <cfvo type="percent" val="33"/>
        <cfvo type="percent" val="67"/>
      </iconSet>
    </cfRule>
    <cfRule type="cellIs" dxfId="46" priority="31" operator="between">
      <formula>1201</formula>
      <formula>2401</formula>
    </cfRule>
    <cfRule type="cellIs" dxfId="45" priority="32" operator="lessThan">
      <formula>1200</formula>
    </cfRule>
    <cfRule type="cellIs" dxfId="44" priority="33" operator="greaterThan">
      <formula>2400</formula>
    </cfRule>
  </conditionalFormatting>
  <conditionalFormatting sqref="H12">
    <cfRule type="iconSet" priority="19">
      <iconSet iconSet="3Arrows">
        <cfvo type="percent" val="0"/>
        <cfvo type="percent" val="33"/>
        <cfvo type="percent" val="67"/>
      </iconSet>
    </cfRule>
  </conditionalFormatting>
  <conditionalFormatting sqref="H13">
    <cfRule type="iconSet" priority="18">
      <iconSet iconSet="3Arrows">
        <cfvo type="percent" val="0"/>
        <cfvo type="percent" val="33"/>
        <cfvo type="percent" val="67"/>
      </iconSet>
    </cfRule>
  </conditionalFormatting>
  <conditionalFormatting sqref="H14">
    <cfRule type="iconSet" priority="17">
      <iconSet iconSet="3Arrows">
        <cfvo type="percent" val="0"/>
        <cfvo type="percent" val="33"/>
        <cfvo type="percent" val="67"/>
      </iconSet>
    </cfRule>
  </conditionalFormatting>
  <conditionalFormatting sqref="H18">
    <cfRule type="iconSet" priority="16">
      <iconSet iconSet="3Arrows">
        <cfvo type="percent" val="0"/>
        <cfvo type="percent" val="33"/>
        <cfvo type="percent" val="67"/>
      </iconSet>
    </cfRule>
  </conditionalFormatting>
  <conditionalFormatting sqref="H19">
    <cfRule type="iconSet" priority="15">
      <iconSet iconSet="3Arrows">
        <cfvo type="percent" val="0"/>
        <cfvo type="percent" val="33"/>
        <cfvo type="percent" val="67"/>
      </iconSet>
    </cfRule>
  </conditionalFormatting>
  <conditionalFormatting sqref="H21">
    <cfRule type="iconSet" priority="14">
      <iconSet iconSet="3Arrows">
        <cfvo type="percent" val="0"/>
        <cfvo type="percent" val="33"/>
        <cfvo type="percent" val="67"/>
      </iconSet>
    </cfRule>
  </conditionalFormatting>
  <conditionalFormatting sqref="H25:H26">
    <cfRule type="iconSet" priority="13">
      <iconSet iconSet="3Arrows">
        <cfvo type="percent" val="0"/>
        <cfvo type="percent" val="33"/>
        <cfvo type="percent" val="67"/>
      </iconSet>
    </cfRule>
  </conditionalFormatting>
  <conditionalFormatting sqref="H26">
    <cfRule type="iconSet" priority="12">
      <iconSet iconSet="3Arrows">
        <cfvo type="percent" val="0"/>
        <cfvo type="percent" val="33"/>
        <cfvo type="percent" val="67"/>
      </iconSet>
    </cfRule>
  </conditionalFormatting>
  <conditionalFormatting sqref="H27">
    <cfRule type="iconSet" priority="10">
      <iconSet iconSet="3Arrows">
        <cfvo type="percent" val="0"/>
        <cfvo type="percent" val="33"/>
        <cfvo type="percent" val="67"/>
      </iconSet>
    </cfRule>
  </conditionalFormatting>
  <conditionalFormatting sqref="H42">
    <cfRule type="iconSet" priority="9">
      <iconSet iconSet="3Arrows">
        <cfvo type="percent" val="0"/>
        <cfvo type="percent" val="33"/>
        <cfvo type="percent" val="67"/>
      </iconSet>
    </cfRule>
  </conditionalFormatting>
  <conditionalFormatting sqref="H44">
    <cfRule type="iconSet" priority="8">
      <iconSet iconSet="3Arrows">
        <cfvo type="percent" val="0"/>
        <cfvo type="percent" val="33"/>
        <cfvo type="percent" val="67"/>
      </iconSet>
    </cfRule>
  </conditionalFormatting>
  <conditionalFormatting sqref="H48">
    <cfRule type="iconSet" priority="7">
      <iconSet iconSet="3Arrows">
        <cfvo type="percent" val="0"/>
        <cfvo type="percent" val="33"/>
        <cfvo type="percent" val="67"/>
      </iconSet>
    </cfRule>
  </conditionalFormatting>
  <conditionalFormatting sqref="H54">
    <cfRule type="iconSet" priority="5">
      <iconSet iconSet="3Arrows">
        <cfvo type="percent" val="0"/>
        <cfvo type="percent" val="33"/>
        <cfvo type="percent" val="67"/>
      </iconSet>
    </cfRule>
  </conditionalFormatting>
  <conditionalFormatting sqref="H55">
    <cfRule type="iconSet" priority="4">
      <iconSet iconSet="3Arrows">
        <cfvo type="percent" val="0"/>
        <cfvo type="percent" val="33"/>
        <cfvo type="percent" val="67"/>
      </iconSet>
    </cfRule>
  </conditionalFormatting>
  <conditionalFormatting sqref="H75">
    <cfRule type="iconSet" priority="20">
      <iconSet iconSet="3Arrows">
        <cfvo type="percent" val="0"/>
        <cfvo type="percent" val="33"/>
        <cfvo type="percent" val="67"/>
      </iconSet>
    </cfRule>
  </conditionalFormatting>
  <conditionalFormatting sqref="H83">
    <cfRule type="iconSet" priority="3">
      <iconSet iconSet="3Arrows">
        <cfvo type="percent" val="0"/>
        <cfvo type="percent" val="33"/>
        <cfvo type="percent" val="67"/>
      </iconSet>
    </cfRule>
  </conditionalFormatting>
  <conditionalFormatting sqref="H85">
    <cfRule type="iconSet" priority="2">
      <iconSet iconSet="3Arrows">
        <cfvo type="percent" val="0"/>
        <cfvo type="percent" val="33"/>
        <cfvo type="percent" val="67"/>
      </iconSet>
    </cfRule>
  </conditionalFormatting>
  <conditionalFormatting sqref="H86">
    <cfRule type="iconSet" priority="1">
      <iconSet iconSet="3Arrows">
        <cfvo type="percent" val="0"/>
        <cfvo type="percent" val="33"/>
        <cfvo type="percent" val="67"/>
      </iconSet>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BN95"/>
  <sheetViews>
    <sheetView zoomScale="70" zoomScaleNormal="70" workbookViewId="0">
      <pane ySplit="1" topLeftCell="A2" activePane="bottomLeft" state="frozen"/>
      <selection activeCell="AD1" sqref="AD1"/>
      <selection pane="bottomLeft" activeCell="A2" sqref="A2:A90"/>
    </sheetView>
  </sheetViews>
  <sheetFormatPr defaultColWidth="9.1328125" defaultRowHeight="14.25"/>
  <cols>
    <col min="1" max="1" width="22" customWidth="1"/>
    <col min="2" max="2" width="15.59765625" customWidth="1"/>
    <col min="3" max="3" width="17" customWidth="1"/>
    <col min="4" max="4" width="15.59765625" customWidth="1"/>
    <col min="5" max="5" width="19.3984375" customWidth="1"/>
    <col min="6" max="6" width="19.3984375" style="140" customWidth="1"/>
    <col min="7" max="7" width="14.3984375" customWidth="1"/>
    <col min="8" max="8" width="16.1328125" style="10" bestFit="1" customWidth="1"/>
    <col min="9" max="10" width="13.1328125" customWidth="1"/>
    <col min="11" max="11" width="16.3984375" bestFit="1" customWidth="1"/>
    <col min="12" max="12" width="11.265625" customWidth="1"/>
    <col min="13" max="13" width="17.3984375" bestFit="1" customWidth="1"/>
    <col min="14" max="14" width="19.265625" style="196" bestFit="1" customWidth="1"/>
    <col min="15" max="15" width="14.1328125" customWidth="1"/>
    <col min="16" max="16" width="12.3984375" style="125" bestFit="1" customWidth="1"/>
    <col min="17" max="17" width="16.3984375" style="146" bestFit="1" customWidth="1"/>
    <col min="18" max="18" width="18" bestFit="1" customWidth="1"/>
    <col min="19" max="19" width="12.265625" style="168" bestFit="1" customWidth="1"/>
    <col min="20" max="20" width="13.1328125" style="125" bestFit="1" customWidth="1"/>
    <col min="21" max="21" width="9.1328125" style="146"/>
    <col min="22" max="22" width="14.3984375" customWidth="1"/>
    <col min="23" max="23" width="12.73046875" style="168" bestFit="1" customWidth="1"/>
    <col min="24" max="24" width="12.1328125" style="125" bestFit="1" customWidth="1"/>
    <col min="25" max="25" width="16.3984375" style="146" bestFit="1" customWidth="1"/>
    <col min="26" max="26" width="14.3984375" customWidth="1"/>
    <col min="27" max="27" width="12.73046875" style="168" bestFit="1" customWidth="1"/>
    <col min="28" max="28" width="12" style="125" bestFit="1" customWidth="1"/>
    <col min="29" max="29" width="9.1328125" style="146"/>
    <col min="30" max="30" width="17.265625" bestFit="1" customWidth="1"/>
    <col min="31" max="31" width="12.73046875" style="168" bestFit="1" customWidth="1"/>
    <col min="32" max="32" width="12.59765625" style="125" bestFit="1" customWidth="1"/>
    <col min="33" max="33" width="9.1328125" style="146"/>
    <col min="34" max="34" width="14.3984375" customWidth="1"/>
    <col min="35" max="35" width="12.73046875" style="168" bestFit="1" customWidth="1"/>
    <col min="36" max="36" width="12.1328125" style="125" bestFit="1" customWidth="1"/>
    <col min="37" max="37" width="9.1328125" style="146"/>
    <col min="38" max="38" width="14.3984375" customWidth="1"/>
    <col min="39" max="39" width="12.73046875" style="168" bestFit="1" customWidth="1"/>
    <col min="40" max="40" width="12.1328125" style="125" bestFit="1" customWidth="1"/>
    <col min="41" max="41" width="16.3984375" style="146" bestFit="1" customWidth="1"/>
    <col min="42" max="42" width="17.265625" bestFit="1" customWidth="1"/>
    <col min="43" max="43" width="12.73046875" style="168" bestFit="1" customWidth="1"/>
    <col min="44" max="44" width="12.1328125" style="125" bestFit="1" customWidth="1"/>
    <col min="45" max="45" width="9.1328125" style="146"/>
    <col min="46" max="46" width="14.3984375" customWidth="1"/>
    <col min="47" max="47" width="12.73046875" style="168" bestFit="1" customWidth="1"/>
    <col min="48" max="48" width="13.3984375" style="125" customWidth="1"/>
    <col min="49" max="49" width="9.1328125" style="146"/>
    <col min="50" max="50" width="14.3984375" customWidth="1"/>
    <col min="51" max="51" width="12.73046875" style="168" bestFit="1" customWidth="1"/>
    <col min="52" max="52" width="12.1328125" style="125" bestFit="1" customWidth="1"/>
    <col min="53" max="53" width="9.1328125" style="146"/>
    <col min="54" max="54" width="14.3984375" customWidth="1"/>
    <col min="55" max="55" width="12.73046875" style="168" bestFit="1" customWidth="1"/>
    <col min="56" max="56" width="12.73046875" style="125" bestFit="1" customWidth="1"/>
    <col min="57" max="57" width="9.1328125" style="146"/>
    <col min="58" max="58" width="14.3984375" customWidth="1"/>
    <col min="59" max="59" width="12.73046875" style="168" bestFit="1" customWidth="1"/>
    <col min="60" max="60" width="11.86328125" style="125" bestFit="1" customWidth="1"/>
    <col min="61" max="61" width="9.1328125" style="146"/>
    <col min="62" max="62" width="14.3984375" customWidth="1"/>
    <col min="63" max="63" width="12.73046875" style="168" bestFit="1" customWidth="1"/>
    <col min="64" max="64" width="12.73046875" customWidth="1"/>
  </cols>
  <sheetData>
    <row r="1" spans="1:66" s="14" customFormat="1" ht="78.75" customHeight="1">
      <c r="A1" s="11" t="s">
        <v>0</v>
      </c>
      <c r="B1" s="11" t="s">
        <v>106</v>
      </c>
      <c r="C1" s="113" t="s">
        <v>388</v>
      </c>
      <c r="D1" s="113" t="s">
        <v>389</v>
      </c>
      <c r="E1" s="113" t="s">
        <v>390</v>
      </c>
      <c r="F1" s="138" t="s">
        <v>391</v>
      </c>
      <c r="G1" s="186" t="s">
        <v>225</v>
      </c>
      <c r="H1" s="12" t="s">
        <v>228</v>
      </c>
      <c r="I1" s="189" t="s">
        <v>227</v>
      </c>
      <c r="J1" s="12" t="s">
        <v>229</v>
      </c>
      <c r="K1" s="12" t="s">
        <v>226</v>
      </c>
      <c r="L1" s="12" t="s">
        <v>231</v>
      </c>
      <c r="M1" s="12" t="s">
        <v>235</v>
      </c>
      <c r="N1" s="193" t="s">
        <v>236</v>
      </c>
      <c r="O1" s="12" t="s">
        <v>230</v>
      </c>
      <c r="P1" s="115">
        <v>44013</v>
      </c>
      <c r="Q1" s="114" t="s">
        <v>384</v>
      </c>
      <c r="R1" s="118" t="s">
        <v>234</v>
      </c>
      <c r="S1" s="35" t="s">
        <v>99</v>
      </c>
      <c r="T1" s="115">
        <v>44044</v>
      </c>
      <c r="U1" s="114" t="s">
        <v>384</v>
      </c>
      <c r="V1" s="118" t="s">
        <v>234</v>
      </c>
      <c r="W1" s="35" t="s">
        <v>99</v>
      </c>
      <c r="X1" s="115">
        <v>44075</v>
      </c>
      <c r="Y1" s="114" t="s">
        <v>384</v>
      </c>
      <c r="Z1" s="118" t="s">
        <v>234</v>
      </c>
      <c r="AA1" s="35" t="s">
        <v>99</v>
      </c>
      <c r="AB1" s="115">
        <v>44105</v>
      </c>
      <c r="AC1" s="114" t="s">
        <v>384</v>
      </c>
      <c r="AD1" s="118" t="s">
        <v>234</v>
      </c>
      <c r="AE1" s="35" t="s">
        <v>99</v>
      </c>
      <c r="AF1" s="115">
        <v>44136</v>
      </c>
      <c r="AG1" s="114" t="s">
        <v>384</v>
      </c>
      <c r="AH1" s="118" t="s">
        <v>234</v>
      </c>
      <c r="AI1" s="35" t="s">
        <v>99</v>
      </c>
      <c r="AJ1" s="115">
        <v>44166</v>
      </c>
      <c r="AK1" s="114" t="s">
        <v>384</v>
      </c>
      <c r="AL1" s="118" t="s">
        <v>234</v>
      </c>
      <c r="AM1" s="35" t="s">
        <v>99</v>
      </c>
      <c r="AN1" s="115">
        <v>44197</v>
      </c>
      <c r="AO1" s="114" t="s">
        <v>384</v>
      </c>
      <c r="AP1" s="118" t="s">
        <v>234</v>
      </c>
      <c r="AQ1" s="35" t="s">
        <v>99</v>
      </c>
      <c r="AR1" s="115">
        <v>44228</v>
      </c>
      <c r="AS1" s="114" t="s">
        <v>384</v>
      </c>
      <c r="AT1" s="118" t="s">
        <v>234</v>
      </c>
      <c r="AU1" s="35" t="s">
        <v>99</v>
      </c>
      <c r="AV1" s="115">
        <v>44256</v>
      </c>
      <c r="AW1" s="114" t="s">
        <v>185</v>
      </c>
      <c r="AX1" s="118" t="s">
        <v>234</v>
      </c>
      <c r="AY1" s="35" t="s">
        <v>99</v>
      </c>
      <c r="AZ1" s="115">
        <v>44287</v>
      </c>
      <c r="BA1" s="114" t="s">
        <v>185</v>
      </c>
      <c r="BB1" s="118" t="s">
        <v>234</v>
      </c>
      <c r="BC1" s="35" t="s">
        <v>99</v>
      </c>
      <c r="BD1" s="115">
        <v>44317</v>
      </c>
      <c r="BE1" s="114" t="s">
        <v>185</v>
      </c>
      <c r="BF1" s="118" t="s">
        <v>234</v>
      </c>
      <c r="BG1" s="35" t="s">
        <v>99</v>
      </c>
      <c r="BH1" s="115">
        <v>44348</v>
      </c>
      <c r="BI1" s="114" t="s">
        <v>185</v>
      </c>
      <c r="BJ1" s="118" t="s">
        <v>234</v>
      </c>
      <c r="BK1" s="35" t="s">
        <v>99</v>
      </c>
      <c r="BL1" s="86" t="s">
        <v>217</v>
      </c>
    </row>
    <row r="2" spans="1:66">
      <c r="A2" s="10" t="s">
        <v>573</v>
      </c>
      <c r="B2" s="121" t="s">
        <v>107</v>
      </c>
      <c r="C2" s="80">
        <v>0</v>
      </c>
      <c r="D2" s="79">
        <f t="shared" ref="D2:D33" si="0">200*12</f>
        <v>2400</v>
      </c>
      <c r="E2" s="79">
        <f>'2019-2020 New'!J2</f>
        <v>4271.7906390441922</v>
      </c>
      <c r="F2" s="139">
        <f>'2019-2020 New'!F2</f>
        <v>200</v>
      </c>
      <c r="G2" s="187">
        <f t="shared" ref="G2:G33" si="1">C2+D2</f>
        <v>2400</v>
      </c>
      <c r="H2" s="159">
        <f t="shared" ref="H2:H33" si="2">BL2</f>
        <v>2600</v>
      </c>
      <c r="I2" s="190">
        <f t="shared" ref="I2:I33" si="3">G2-H2-C2</f>
        <v>-200</v>
      </c>
      <c r="J2" s="78">
        <f>I2+M2+E2</f>
        <v>8124.8911415906632</v>
      </c>
      <c r="K2" s="78">
        <f t="shared" ref="K2:K33" si="4">Q2+U2+Y2+AC2+AG2+AK2+AO2+AS2+AW2+BA2+BE2+BI2</f>
        <v>26.18</v>
      </c>
      <c r="L2" s="78">
        <f t="shared" ref="L2:L33" si="5">(H2-K2-C2)*5.5%</f>
        <v>141.56010000000001</v>
      </c>
      <c r="M2" s="78">
        <f t="shared" ref="M2:M33" si="6">S2+W2+AA2+AE2+AI2+AM2+AQ2+AU2+AY2+BC2+BG2+BK2</f>
        <v>4053.100502546471</v>
      </c>
      <c r="N2" s="194">
        <f t="shared" ref="N2:N33" si="7">M2</f>
        <v>4053.100502546471</v>
      </c>
      <c r="O2" s="78">
        <f t="shared" ref="O2:O33" si="8">H2-K2-M2+L2</f>
        <v>-1337.720402546471</v>
      </c>
      <c r="P2" s="165">
        <f>'2018-2019 B STATEMENT '!B606</f>
        <v>800</v>
      </c>
      <c r="Q2" s="166">
        <f t="shared" ref="Q2:Q33" si="9">P2*0.99%</f>
        <v>7.919999999999999</v>
      </c>
      <c r="R2" s="119">
        <f t="shared" ref="R2:R33" si="10">E2+200</f>
        <v>4471.7906390441922</v>
      </c>
      <c r="S2" s="167">
        <f t="shared" ref="S2:S33" si="11">(R2-P2)*0.055</f>
        <v>201.94848514743057</v>
      </c>
      <c r="T2" s="165">
        <v>0</v>
      </c>
      <c r="U2" s="166">
        <f t="shared" ref="U2:U33" si="12">T2*0.99%</f>
        <v>0</v>
      </c>
      <c r="V2" s="33">
        <f t="shared" ref="V2:V33" si="13">R2-T2+200+S2</f>
        <v>4873.739124191623</v>
      </c>
      <c r="W2" s="167">
        <f t="shared" ref="W2:W33" si="14">(V2-T2)*0.055</f>
        <v>268.05565183053926</v>
      </c>
      <c r="X2" s="165">
        <v>0</v>
      </c>
      <c r="Y2" s="166">
        <f t="shared" ref="Y2:Y33" si="15">X2*0.99%</f>
        <v>0</v>
      </c>
      <c r="Z2" s="33">
        <f t="shared" ref="Z2:Z33" si="16">V2-X2+200+W2</f>
        <v>5341.7947760221623</v>
      </c>
      <c r="AA2" s="167">
        <f t="shared" ref="AA2:AA33" si="17">(Z2-X2)*0.055</f>
        <v>293.79871268121894</v>
      </c>
      <c r="AB2" s="165">
        <v>0</v>
      </c>
      <c r="AC2" s="166">
        <f t="shared" ref="AC2:AC33" si="18">AB2*0.99%</f>
        <v>0</v>
      </c>
      <c r="AD2" s="33">
        <f t="shared" ref="AD2:AD33" si="19">Z2-AB2+200+AA2</f>
        <v>5835.5934887033809</v>
      </c>
      <c r="AE2" s="167">
        <f t="shared" ref="AE2:AE33" si="20">(AD2-AB2)*0.055</f>
        <v>320.95764187868593</v>
      </c>
      <c r="AF2" s="165">
        <v>0</v>
      </c>
      <c r="AG2" s="166">
        <f t="shared" ref="AG2:AG33" si="21">AF2*0.99%</f>
        <v>0</v>
      </c>
      <c r="AH2" s="33">
        <f t="shared" ref="AH2:AH33" si="22">AD2-AF2+200+AE2</f>
        <v>6356.5511305820664</v>
      </c>
      <c r="AI2" s="167">
        <f t="shared" ref="AI2:AI33" si="23">(AH2-AF2)*0.055</f>
        <v>349.61031218201367</v>
      </c>
      <c r="AJ2" s="165">
        <f>'2018-2019 B STATEMENT '!B699</f>
        <v>1000</v>
      </c>
      <c r="AK2" s="166">
        <f t="shared" ref="AK2:AK33" si="24">AJ2*0.99%</f>
        <v>9.8999999999999986</v>
      </c>
      <c r="AL2" s="33">
        <f t="shared" ref="AL2:AL33" si="25">AH2-AJ2+200+AI2</f>
        <v>5906.1614427640798</v>
      </c>
      <c r="AM2" s="167">
        <f t="shared" ref="AM2:AM33" si="26">(AL2-AJ2)*0.055</f>
        <v>269.83887935202438</v>
      </c>
      <c r="AN2" s="165">
        <v>0</v>
      </c>
      <c r="AO2" s="166">
        <f t="shared" ref="AO2:AO33" si="27">AN2*0.99%</f>
        <v>0</v>
      </c>
      <c r="AP2" s="33">
        <f t="shared" ref="AP2:AP33" si="28">AL2-AN2+200+AM2</f>
        <v>6376.0003221161041</v>
      </c>
      <c r="AQ2" s="167">
        <f t="shared" ref="AQ2:AQ33" si="29">(AP2-AN2)*0.055</f>
        <v>350.68001771638575</v>
      </c>
      <c r="AR2" s="165">
        <f>'2018-2019 B STATEMENT '!B723</f>
        <v>400</v>
      </c>
      <c r="AS2" s="166">
        <f t="shared" ref="AS2:AS33" si="30">AR2*0.99%</f>
        <v>3.9599999999999995</v>
      </c>
      <c r="AT2" s="33">
        <f t="shared" ref="AT2:AT33" si="31">AP2-AR2+200+AQ2</f>
        <v>6526.6803398324901</v>
      </c>
      <c r="AU2" s="167">
        <f t="shared" ref="AU2:AU33" si="32">(AT2-AR2)*0.055</f>
        <v>336.96741869078693</v>
      </c>
      <c r="AV2" s="165">
        <v>0</v>
      </c>
      <c r="AW2" s="166">
        <f t="shared" ref="AW2:AW33" si="33">AV2*1.1%</f>
        <v>0</v>
      </c>
      <c r="AX2" s="33">
        <f t="shared" ref="AX2:AX33" si="34">AT2-AV2+200+AU2</f>
        <v>7063.6477585232769</v>
      </c>
      <c r="AY2" s="167">
        <f t="shared" ref="AY2:AY33" si="35">(AX2-AV2)*0.055</f>
        <v>388.50062671878021</v>
      </c>
      <c r="AZ2" s="165">
        <f>'2018-2019 B STATEMENT '!B746</f>
        <v>400</v>
      </c>
      <c r="BA2" s="166">
        <f t="shared" ref="BA2:BA33" si="36">AZ2*1.1%</f>
        <v>4.4000000000000004</v>
      </c>
      <c r="BB2" s="33">
        <f t="shared" ref="BB2:BB33" si="37">AX2-AZ2+200+AY2</f>
        <v>7252.148385242057</v>
      </c>
      <c r="BC2" s="167">
        <f t="shared" ref="BC2:BC33" si="38">(BB2-AZ2)*0.055</f>
        <v>376.86816118831314</v>
      </c>
      <c r="BD2" s="165">
        <v>0</v>
      </c>
      <c r="BE2" s="166">
        <f t="shared" ref="BE2:BE33" si="39">BD2*1.1%</f>
        <v>0</v>
      </c>
      <c r="BF2" s="33">
        <f t="shared" ref="BF2:BF33" si="40">BB2-BD2+200+BC2</f>
        <v>7829.01654643037</v>
      </c>
      <c r="BG2" s="167">
        <f t="shared" ref="BG2:BG33" si="41">(BF2-BD2)*0.055</f>
        <v>430.59591005367037</v>
      </c>
      <c r="BH2" s="165">
        <v>0</v>
      </c>
      <c r="BI2" s="166">
        <f t="shared" ref="BI2:BI33" si="42">BH2*1.1%</f>
        <v>0</v>
      </c>
      <c r="BJ2" s="33">
        <f t="shared" ref="BJ2:BJ33" si="43">BF2-BH2+200+BG2</f>
        <v>8459.6124564840411</v>
      </c>
      <c r="BK2" s="167">
        <f t="shared" ref="BK2:BK33" si="44">(BJ2-BH2)*0.055</f>
        <v>465.27868510662228</v>
      </c>
      <c r="BL2" s="87">
        <f t="shared" ref="BL2:BL33" si="45">P2+T2+X2+AB2+AF2+AJ2+AR2+AN2+AV2+AZ2+BD2+BH2</f>
        <v>2600</v>
      </c>
    </row>
    <row r="3" spans="1:66">
      <c r="A3" s="10" t="s">
        <v>574</v>
      </c>
      <c r="B3" s="121" t="s">
        <v>136</v>
      </c>
      <c r="C3" s="80">
        <v>0</v>
      </c>
      <c r="D3" s="79">
        <f t="shared" si="0"/>
        <v>2400</v>
      </c>
      <c r="E3" s="79">
        <f>'2019-2020 New'!J3</f>
        <v>1115.2596271845598</v>
      </c>
      <c r="F3" s="139">
        <f>'2019-2020 New'!F3</f>
        <v>1600</v>
      </c>
      <c r="G3" s="187">
        <f t="shared" si="1"/>
        <v>2400</v>
      </c>
      <c r="H3" s="159">
        <f t="shared" si="2"/>
        <v>1400</v>
      </c>
      <c r="I3" s="190">
        <f t="shared" si="3"/>
        <v>1000</v>
      </c>
      <c r="J3" s="78">
        <f t="shared" ref="J3:J66" si="46">I3+M3+E3</f>
        <v>3831.6716879526457</v>
      </c>
      <c r="K3" s="78">
        <f t="shared" si="4"/>
        <v>15.399999999999999</v>
      </c>
      <c r="L3" s="78">
        <f t="shared" si="5"/>
        <v>76.152999999999992</v>
      </c>
      <c r="M3" s="78">
        <f t="shared" si="6"/>
        <v>1716.4120607680863</v>
      </c>
      <c r="N3" s="194">
        <f t="shared" si="7"/>
        <v>1716.4120607680863</v>
      </c>
      <c r="O3" s="78">
        <f t="shared" si="8"/>
        <v>-255.65906076808645</v>
      </c>
      <c r="P3" s="165">
        <v>0</v>
      </c>
      <c r="Q3" s="166">
        <f t="shared" si="9"/>
        <v>0</v>
      </c>
      <c r="R3" s="119">
        <f t="shared" si="10"/>
        <v>1315.2596271845598</v>
      </c>
      <c r="S3" s="167">
        <f t="shared" si="11"/>
        <v>72.339279495150791</v>
      </c>
      <c r="T3" s="165">
        <v>0</v>
      </c>
      <c r="U3" s="166">
        <f t="shared" si="12"/>
        <v>0</v>
      </c>
      <c r="V3" s="33">
        <f t="shared" si="13"/>
        <v>1587.5989066797106</v>
      </c>
      <c r="W3" s="167">
        <f t="shared" si="14"/>
        <v>87.317939867384084</v>
      </c>
      <c r="X3" s="165">
        <v>0</v>
      </c>
      <c r="Y3" s="166">
        <f t="shared" si="15"/>
        <v>0</v>
      </c>
      <c r="Z3" s="33">
        <f t="shared" si="16"/>
        <v>1874.9168465470946</v>
      </c>
      <c r="AA3" s="167">
        <f t="shared" si="17"/>
        <v>103.12042656009019</v>
      </c>
      <c r="AB3" s="165">
        <v>0</v>
      </c>
      <c r="AC3" s="166">
        <f t="shared" si="18"/>
        <v>0</v>
      </c>
      <c r="AD3" s="33">
        <f t="shared" si="19"/>
        <v>2178.0372731071848</v>
      </c>
      <c r="AE3" s="167">
        <f t="shared" si="20"/>
        <v>119.79205002089516</v>
      </c>
      <c r="AF3" s="165">
        <v>0</v>
      </c>
      <c r="AG3" s="166">
        <f t="shared" si="21"/>
        <v>0</v>
      </c>
      <c r="AH3" s="33">
        <f t="shared" si="22"/>
        <v>2497.82932312808</v>
      </c>
      <c r="AI3" s="167">
        <f t="shared" si="23"/>
        <v>137.3806127720444</v>
      </c>
      <c r="AJ3" s="165">
        <v>0</v>
      </c>
      <c r="AK3" s="166">
        <f t="shared" si="24"/>
        <v>0</v>
      </c>
      <c r="AL3" s="33">
        <f t="shared" si="25"/>
        <v>2835.2099359001245</v>
      </c>
      <c r="AM3" s="167">
        <f t="shared" si="26"/>
        <v>155.93654647450686</v>
      </c>
      <c r="AN3" s="165">
        <v>0</v>
      </c>
      <c r="AO3" s="166">
        <f t="shared" si="27"/>
        <v>0</v>
      </c>
      <c r="AP3" s="33">
        <f t="shared" si="28"/>
        <v>3191.1464823746314</v>
      </c>
      <c r="AQ3" s="167">
        <f t="shared" si="29"/>
        <v>175.51305653060473</v>
      </c>
      <c r="AR3" s="165">
        <v>0</v>
      </c>
      <c r="AS3" s="166">
        <f t="shared" si="30"/>
        <v>0</v>
      </c>
      <c r="AT3" s="33">
        <f t="shared" si="31"/>
        <v>3566.6595389052363</v>
      </c>
      <c r="AU3" s="167">
        <f t="shared" si="32"/>
        <v>196.16627463978799</v>
      </c>
      <c r="AV3" s="165">
        <f>'2018-2019 B STATEMENT '!B740</f>
        <v>800</v>
      </c>
      <c r="AW3" s="166">
        <f t="shared" si="33"/>
        <v>8.8000000000000007</v>
      </c>
      <c r="AX3" s="33">
        <f t="shared" si="34"/>
        <v>3162.8258135450242</v>
      </c>
      <c r="AY3" s="167">
        <f t="shared" si="35"/>
        <v>129.95541974497633</v>
      </c>
      <c r="AZ3" s="165">
        <f>'2018-2019 B STATEMENT '!B751</f>
        <v>200</v>
      </c>
      <c r="BA3" s="166">
        <f t="shared" si="36"/>
        <v>2.2000000000000002</v>
      </c>
      <c r="BB3" s="33">
        <f t="shared" si="37"/>
        <v>3292.7812332900003</v>
      </c>
      <c r="BC3" s="167">
        <f t="shared" si="38"/>
        <v>170.10296783095001</v>
      </c>
      <c r="BD3" s="165">
        <f>'2018-2019 B STATEMENT '!B767</f>
        <v>200</v>
      </c>
      <c r="BE3" s="166">
        <f t="shared" si="39"/>
        <v>2.2000000000000002</v>
      </c>
      <c r="BF3" s="33">
        <f t="shared" si="40"/>
        <v>3462.8842011209504</v>
      </c>
      <c r="BG3" s="167">
        <f t="shared" si="41"/>
        <v>179.45863106165228</v>
      </c>
      <c r="BH3" s="165">
        <f>'2018-2019 B STATEMENT '!B780</f>
        <v>200</v>
      </c>
      <c r="BI3" s="166">
        <f t="shared" si="42"/>
        <v>2.2000000000000002</v>
      </c>
      <c r="BJ3" s="33">
        <f t="shared" si="43"/>
        <v>3642.3428321826027</v>
      </c>
      <c r="BK3" s="167">
        <f t="shared" si="44"/>
        <v>189.32885577004316</v>
      </c>
      <c r="BL3" s="87">
        <f t="shared" si="45"/>
        <v>1400</v>
      </c>
    </row>
    <row r="4" spans="1:66">
      <c r="A4" s="10" t="s">
        <v>575</v>
      </c>
      <c r="B4" s="121" t="s">
        <v>108</v>
      </c>
      <c r="C4" s="80">
        <v>0</v>
      </c>
      <c r="D4" s="79">
        <f t="shared" si="0"/>
        <v>2400</v>
      </c>
      <c r="E4" s="79">
        <f>'2019-2020 New'!J4</f>
        <v>5168.4463643676672</v>
      </c>
      <c r="F4" s="139">
        <f>'2019-2020 New'!F4</f>
        <v>0</v>
      </c>
      <c r="G4" s="187">
        <f t="shared" si="1"/>
        <v>2400</v>
      </c>
      <c r="H4" s="159">
        <f t="shared" si="2"/>
        <v>0</v>
      </c>
      <c r="I4" s="190">
        <f t="shared" si="3"/>
        <v>2400</v>
      </c>
      <c r="J4" s="78">
        <f t="shared" si="46"/>
        <v>13283.648544864302</v>
      </c>
      <c r="K4" s="78">
        <f t="shared" si="4"/>
        <v>0</v>
      </c>
      <c r="L4" s="78">
        <f t="shared" si="5"/>
        <v>0</v>
      </c>
      <c r="M4" s="78">
        <f t="shared" si="6"/>
        <v>5715.2021804966344</v>
      </c>
      <c r="N4" s="194">
        <f t="shared" si="7"/>
        <v>5715.2021804966344</v>
      </c>
      <c r="O4" s="78">
        <f t="shared" si="8"/>
        <v>-5715.2021804966344</v>
      </c>
      <c r="P4" s="165">
        <v>0</v>
      </c>
      <c r="Q4" s="166">
        <f t="shared" si="9"/>
        <v>0</v>
      </c>
      <c r="R4" s="119">
        <f t="shared" si="10"/>
        <v>5368.4463643676672</v>
      </c>
      <c r="S4" s="167">
        <f t="shared" si="11"/>
        <v>295.26455004022171</v>
      </c>
      <c r="T4" s="165">
        <v>0</v>
      </c>
      <c r="U4" s="166">
        <f t="shared" si="12"/>
        <v>0</v>
      </c>
      <c r="V4" s="33">
        <f t="shared" si="13"/>
        <v>5863.7109144078886</v>
      </c>
      <c r="W4" s="167">
        <f t="shared" si="14"/>
        <v>322.50410029243386</v>
      </c>
      <c r="X4" s="165">
        <v>0</v>
      </c>
      <c r="Y4" s="166">
        <f t="shared" si="15"/>
        <v>0</v>
      </c>
      <c r="Z4" s="33">
        <f t="shared" si="16"/>
        <v>6386.2150147003222</v>
      </c>
      <c r="AA4" s="167">
        <f t="shared" si="17"/>
        <v>351.24182580851772</v>
      </c>
      <c r="AB4" s="165">
        <v>0</v>
      </c>
      <c r="AC4" s="166">
        <f t="shared" si="18"/>
        <v>0</v>
      </c>
      <c r="AD4" s="33">
        <f t="shared" si="19"/>
        <v>6937.4568405088403</v>
      </c>
      <c r="AE4" s="167">
        <f t="shared" si="20"/>
        <v>381.56012622798625</v>
      </c>
      <c r="AF4" s="165">
        <v>0</v>
      </c>
      <c r="AG4" s="166">
        <f t="shared" si="21"/>
        <v>0</v>
      </c>
      <c r="AH4" s="33">
        <f t="shared" si="22"/>
        <v>7519.0169667368264</v>
      </c>
      <c r="AI4" s="167">
        <f t="shared" si="23"/>
        <v>413.54593317052547</v>
      </c>
      <c r="AJ4" s="165">
        <v>0</v>
      </c>
      <c r="AK4" s="166">
        <f t="shared" si="24"/>
        <v>0</v>
      </c>
      <c r="AL4" s="33">
        <f t="shared" si="25"/>
        <v>8132.5628999073515</v>
      </c>
      <c r="AM4" s="167">
        <f t="shared" si="26"/>
        <v>447.29095949490431</v>
      </c>
      <c r="AN4" s="165">
        <v>0</v>
      </c>
      <c r="AO4" s="166">
        <f t="shared" si="27"/>
        <v>0</v>
      </c>
      <c r="AP4" s="33">
        <f t="shared" si="28"/>
        <v>8779.8538594022575</v>
      </c>
      <c r="AQ4" s="167">
        <f t="shared" si="29"/>
        <v>482.89196226712414</v>
      </c>
      <c r="AR4" s="165">
        <v>0</v>
      </c>
      <c r="AS4" s="166">
        <f t="shared" si="30"/>
        <v>0</v>
      </c>
      <c r="AT4" s="33">
        <f t="shared" si="31"/>
        <v>9462.7458216693813</v>
      </c>
      <c r="AU4" s="167">
        <f t="shared" si="32"/>
        <v>520.45102019181593</v>
      </c>
      <c r="AV4" s="165">
        <v>0</v>
      </c>
      <c r="AW4" s="166">
        <f t="shared" si="33"/>
        <v>0</v>
      </c>
      <c r="AX4" s="33">
        <f t="shared" si="34"/>
        <v>10183.196841861198</v>
      </c>
      <c r="AY4" s="167">
        <f t="shared" si="35"/>
        <v>560.07582630236584</v>
      </c>
      <c r="AZ4" s="165">
        <v>0</v>
      </c>
      <c r="BA4" s="166">
        <f t="shared" si="36"/>
        <v>0</v>
      </c>
      <c r="BB4" s="33">
        <f t="shared" si="37"/>
        <v>10943.272668163563</v>
      </c>
      <c r="BC4" s="167">
        <f t="shared" si="38"/>
        <v>601.87999674899595</v>
      </c>
      <c r="BD4" s="165">
        <v>0</v>
      </c>
      <c r="BE4" s="166">
        <f t="shared" si="39"/>
        <v>0</v>
      </c>
      <c r="BF4" s="33">
        <f t="shared" si="40"/>
        <v>11745.152664912559</v>
      </c>
      <c r="BG4" s="167">
        <f t="shared" si="41"/>
        <v>645.98339657019073</v>
      </c>
      <c r="BH4" s="165">
        <v>0</v>
      </c>
      <c r="BI4" s="166">
        <f t="shared" si="42"/>
        <v>0</v>
      </c>
      <c r="BJ4" s="33">
        <f t="shared" si="43"/>
        <v>12591.13606148275</v>
      </c>
      <c r="BK4" s="167">
        <f t="shared" si="44"/>
        <v>692.51248338155131</v>
      </c>
      <c r="BL4" s="87">
        <f t="shared" si="45"/>
        <v>0</v>
      </c>
    </row>
    <row r="5" spans="1:66">
      <c r="A5" s="10" t="s">
        <v>576</v>
      </c>
      <c r="B5" s="121" t="s">
        <v>109</v>
      </c>
      <c r="C5" s="80">
        <v>0</v>
      </c>
      <c r="D5" s="79">
        <f t="shared" si="0"/>
        <v>2400</v>
      </c>
      <c r="E5" s="79">
        <f>'2019-2020 New'!J5</f>
        <v>7640.0160958543793</v>
      </c>
      <c r="F5" s="139">
        <f>'2019-2020 New'!F5</f>
        <v>0</v>
      </c>
      <c r="G5" s="187">
        <f t="shared" si="1"/>
        <v>2400</v>
      </c>
      <c r="H5" s="159">
        <f t="shared" si="2"/>
        <v>0</v>
      </c>
      <c r="I5" s="190">
        <f t="shared" si="3"/>
        <v>2400</v>
      </c>
      <c r="J5" s="78">
        <f t="shared" si="46"/>
        <v>17982.61541994222</v>
      </c>
      <c r="K5" s="78">
        <f t="shared" si="4"/>
        <v>0</v>
      </c>
      <c r="L5" s="78">
        <f t="shared" si="5"/>
        <v>0</v>
      </c>
      <c r="M5" s="78">
        <f t="shared" si="6"/>
        <v>7942.5993240878424</v>
      </c>
      <c r="N5" s="194">
        <f t="shared" si="7"/>
        <v>7942.5993240878424</v>
      </c>
      <c r="O5" s="78">
        <f t="shared" si="8"/>
        <v>-7942.5993240878424</v>
      </c>
      <c r="P5" s="165">
        <v>0</v>
      </c>
      <c r="Q5" s="166">
        <f t="shared" si="9"/>
        <v>0</v>
      </c>
      <c r="R5" s="119">
        <f t="shared" si="10"/>
        <v>7840.0160958543793</v>
      </c>
      <c r="S5" s="167">
        <f t="shared" si="11"/>
        <v>431.20088527199084</v>
      </c>
      <c r="T5" s="165">
        <v>0</v>
      </c>
      <c r="U5" s="166">
        <f t="shared" si="12"/>
        <v>0</v>
      </c>
      <c r="V5" s="33">
        <f t="shared" si="13"/>
        <v>8471.2169811263702</v>
      </c>
      <c r="W5" s="167">
        <f t="shared" si="14"/>
        <v>465.91693396195035</v>
      </c>
      <c r="X5" s="165">
        <v>0</v>
      </c>
      <c r="Y5" s="166">
        <f t="shared" si="15"/>
        <v>0</v>
      </c>
      <c r="Z5" s="33">
        <f t="shared" si="16"/>
        <v>9137.1339150883214</v>
      </c>
      <c r="AA5" s="167">
        <f t="shared" si="17"/>
        <v>502.54236532985766</v>
      </c>
      <c r="AB5" s="165">
        <v>0</v>
      </c>
      <c r="AC5" s="166">
        <f t="shared" si="18"/>
        <v>0</v>
      </c>
      <c r="AD5" s="33">
        <f t="shared" si="19"/>
        <v>9839.6762804181799</v>
      </c>
      <c r="AE5" s="167">
        <f t="shared" si="20"/>
        <v>541.18219542299994</v>
      </c>
      <c r="AF5" s="165">
        <v>0</v>
      </c>
      <c r="AG5" s="166">
        <f t="shared" si="21"/>
        <v>0</v>
      </c>
      <c r="AH5" s="33">
        <f t="shared" si="22"/>
        <v>10580.85847584118</v>
      </c>
      <c r="AI5" s="167">
        <f t="shared" si="23"/>
        <v>581.94721617126493</v>
      </c>
      <c r="AJ5" s="165">
        <v>0</v>
      </c>
      <c r="AK5" s="166">
        <f t="shared" si="24"/>
        <v>0</v>
      </c>
      <c r="AL5" s="33">
        <f t="shared" si="25"/>
        <v>11362.805692012445</v>
      </c>
      <c r="AM5" s="167">
        <f t="shared" si="26"/>
        <v>624.95431306068451</v>
      </c>
      <c r="AN5" s="165">
        <v>0</v>
      </c>
      <c r="AO5" s="166">
        <f t="shared" si="27"/>
        <v>0</v>
      </c>
      <c r="AP5" s="33">
        <f t="shared" si="28"/>
        <v>12187.760005073131</v>
      </c>
      <c r="AQ5" s="167">
        <f t="shared" si="29"/>
        <v>670.32680027902222</v>
      </c>
      <c r="AR5" s="165">
        <v>0</v>
      </c>
      <c r="AS5" s="166">
        <f t="shared" si="30"/>
        <v>0</v>
      </c>
      <c r="AT5" s="33">
        <f t="shared" si="31"/>
        <v>13058.086805352154</v>
      </c>
      <c r="AU5" s="167">
        <f t="shared" si="32"/>
        <v>718.19477429436847</v>
      </c>
      <c r="AV5" s="165">
        <v>0</v>
      </c>
      <c r="AW5" s="166">
        <f t="shared" si="33"/>
        <v>0</v>
      </c>
      <c r="AX5" s="33">
        <f t="shared" si="34"/>
        <v>13976.281579646522</v>
      </c>
      <c r="AY5" s="167">
        <f t="shared" si="35"/>
        <v>768.69548688055875</v>
      </c>
      <c r="AZ5" s="165">
        <v>0</v>
      </c>
      <c r="BA5" s="166">
        <f t="shared" si="36"/>
        <v>0</v>
      </c>
      <c r="BB5" s="33">
        <f t="shared" si="37"/>
        <v>14944.977066527081</v>
      </c>
      <c r="BC5" s="167">
        <f t="shared" si="38"/>
        <v>821.97373865898942</v>
      </c>
      <c r="BD5" s="165">
        <v>0</v>
      </c>
      <c r="BE5" s="166">
        <f t="shared" si="39"/>
        <v>0</v>
      </c>
      <c r="BF5" s="33">
        <f t="shared" si="40"/>
        <v>15966.95080518607</v>
      </c>
      <c r="BG5" s="167">
        <f t="shared" si="41"/>
        <v>878.18229428523387</v>
      </c>
      <c r="BH5" s="165">
        <v>0</v>
      </c>
      <c r="BI5" s="166">
        <f t="shared" si="42"/>
        <v>0</v>
      </c>
      <c r="BJ5" s="33">
        <f t="shared" si="43"/>
        <v>17045.133099471303</v>
      </c>
      <c r="BK5" s="167">
        <f t="shared" si="44"/>
        <v>937.48232047092165</v>
      </c>
      <c r="BL5" s="87">
        <f t="shared" si="45"/>
        <v>0</v>
      </c>
    </row>
    <row r="6" spans="1:66" s="85" customFormat="1">
      <c r="A6" s="10" t="s">
        <v>577</v>
      </c>
      <c r="B6" s="121" t="s">
        <v>110</v>
      </c>
      <c r="C6" s="80">
        <v>0</v>
      </c>
      <c r="D6" s="79">
        <f t="shared" si="0"/>
        <v>2400</v>
      </c>
      <c r="E6" s="79">
        <f>'2019-2020 New'!J6</f>
        <v>459.86650311879976</v>
      </c>
      <c r="F6" s="139">
        <f>'2019-2020 New'!F6</f>
        <v>0</v>
      </c>
      <c r="G6" s="187">
        <f t="shared" si="1"/>
        <v>2400</v>
      </c>
      <c r="H6" s="159">
        <f t="shared" si="2"/>
        <v>1088.67</v>
      </c>
      <c r="I6" s="190">
        <f t="shared" si="3"/>
        <v>1311.33</v>
      </c>
      <c r="J6" s="78">
        <f t="shared" si="46"/>
        <v>2267.4990188656948</v>
      </c>
      <c r="K6" s="78">
        <f t="shared" si="4"/>
        <v>10.777832999999999</v>
      </c>
      <c r="L6" s="78">
        <f t="shared" si="5"/>
        <v>59.284069185</v>
      </c>
      <c r="M6" s="78">
        <f t="shared" si="6"/>
        <v>496.30251574689504</v>
      </c>
      <c r="N6" s="194">
        <f t="shared" si="7"/>
        <v>496.30251574689504</v>
      </c>
      <c r="O6" s="78">
        <f t="shared" si="8"/>
        <v>640.8737204381049</v>
      </c>
      <c r="P6" s="165">
        <v>0</v>
      </c>
      <c r="Q6" s="166">
        <f t="shared" si="9"/>
        <v>0</v>
      </c>
      <c r="R6" s="119">
        <f t="shared" si="10"/>
        <v>659.86650311879976</v>
      </c>
      <c r="S6" s="167">
        <f t="shared" si="11"/>
        <v>36.292657671533988</v>
      </c>
      <c r="T6" s="165">
        <f>'2018-2019 B STATEMENT '!B642</f>
        <v>1088.67</v>
      </c>
      <c r="U6" s="166">
        <f t="shared" si="12"/>
        <v>10.777832999999999</v>
      </c>
      <c r="V6" s="33">
        <f t="shared" si="13"/>
        <v>-192.51083920966633</v>
      </c>
      <c r="W6" s="167">
        <f t="shared" si="14"/>
        <v>-70.464946156531653</v>
      </c>
      <c r="X6" s="165">
        <v>0</v>
      </c>
      <c r="Y6" s="166">
        <f t="shared" si="15"/>
        <v>0</v>
      </c>
      <c r="Z6" s="33">
        <f t="shared" si="16"/>
        <v>-62.975785366197982</v>
      </c>
      <c r="AA6" s="167">
        <f t="shared" si="17"/>
        <v>-3.463668195140889</v>
      </c>
      <c r="AB6" s="165">
        <v>0</v>
      </c>
      <c r="AC6" s="166">
        <f t="shared" si="18"/>
        <v>0</v>
      </c>
      <c r="AD6" s="33">
        <f t="shared" si="19"/>
        <v>133.56054643866113</v>
      </c>
      <c r="AE6" s="167">
        <f t="shared" si="20"/>
        <v>7.3458300541263624</v>
      </c>
      <c r="AF6" s="165">
        <v>0</v>
      </c>
      <c r="AG6" s="166">
        <f t="shared" si="21"/>
        <v>0</v>
      </c>
      <c r="AH6" s="33">
        <f t="shared" si="22"/>
        <v>340.9063764927875</v>
      </c>
      <c r="AI6" s="167">
        <f t="shared" si="23"/>
        <v>18.749850707103313</v>
      </c>
      <c r="AJ6" s="165">
        <v>0</v>
      </c>
      <c r="AK6" s="166">
        <f t="shared" si="24"/>
        <v>0</v>
      </c>
      <c r="AL6" s="33">
        <f t="shared" si="25"/>
        <v>559.65622719989085</v>
      </c>
      <c r="AM6" s="167">
        <f t="shared" si="26"/>
        <v>30.781092495993995</v>
      </c>
      <c r="AN6" s="165">
        <v>0</v>
      </c>
      <c r="AO6" s="166">
        <f t="shared" si="27"/>
        <v>0</v>
      </c>
      <c r="AP6" s="33">
        <f t="shared" si="28"/>
        <v>790.43731969588487</v>
      </c>
      <c r="AQ6" s="167">
        <f t="shared" si="29"/>
        <v>43.474052583273668</v>
      </c>
      <c r="AR6" s="165">
        <v>0</v>
      </c>
      <c r="AS6" s="166">
        <f t="shared" si="30"/>
        <v>0</v>
      </c>
      <c r="AT6" s="33">
        <f t="shared" si="31"/>
        <v>1033.9113722791585</v>
      </c>
      <c r="AU6" s="167">
        <f t="shared" si="32"/>
        <v>56.865125475353722</v>
      </c>
      <c r="AV6" s="165">
        <v>0</v>
      </c>
      <c r="AW6" s="166">
        <f t="shared" si="33"/>
        <v>0</v>
      </c>
      <c r="AX6" s="33">
        <f t="shared" si="34"/>
        <v>1290.7764977545123</v>
      </c>
      <c r="AY6" s="167">
        <f t="shared" si="35"/>
        <v>70.992707376498174</v>
      </c>
      <c r="AZ6" s="165">
        <v>0</v>
      </c>
      <c r="BA6" s="166">
        <f t="shared" si="36"/>
        <v>0</v>
      </c>
      <c r="BB6" s="33">
        <f t="shared" si="37"/>
        <v>1561.7692051310105</v>
      </c>
      <c r="BC6" s="167">
        <f t="shared" si="38"/>
        <v>85.897306282205577</v>
      </c>
      <c r="BD6" s="165">
        <v>0</v>
      </c>
      <c r="BE6" s="166">
        <f t="shared" si="39"/>
        <v>0</v>
      </c>
      <c r="BF6" s="33">
        <f t="shared" si="40"/>
        <v>1847.6665114132161</v>
      </c>
      <c r="BG6" s="167">
        <f t="shared" si="41"/>
        <v>101.62165812772689</v>
      </c>
      <c r="BH6" s="165">
        <v>0</v>
      </c>
      <c r="BI6" s="166">
        <f t="shared" si="42"/>
        <v>0</v>
      </c>
      <c r="BJ6" s="33">
        <f t="shared" si="43"/>
        <v>2149.2881695409428</v>
      </c>
      <c r="BK6" s="167">
        <f t="shared" si="44"/>
        <v>118.21084932475186</v>
      </c>
      <c r="BL6" s="87">
        <f t="shared" si="45"/>
        <v>1088.67</v>
      </c>
      <c r="BM6" s="17"/>
      <c r="BN6" s="17"/>
    </row>
    <row r="7" spans="1:66">
      <c r="A7" s="10" t="s">
        <v>578</v>
      </c>
      <c r="B7" s="121" t="s">
        <v>137</v>
      </c>
      <c r="C7" s="80">
        <v>0</v>
      </c>
      <c r="D7" s="79">
        <f t="shared" si="0"/>
        <v>2400</v>
      </c>
      <c r="E7" s="79">
        <f>'2019-2020 New'!J7</f>
        <v>6119.0501072471725</v>
      </c>
      <c r="F7" s="139">
        <f>'2019-2020 New'!F7</f>
        <v>600</v>
      </c>
      <c r="G7" s="187">
        <f t="shared" si="1"/>
        <v>2400</v>
      </c>
      <c r="H7" s="159">
        <f t="shared" si="2"/>
        <v>2000</v>
      </c>
      <c r="I7" s="190">
        <f t="shared" si="3"/>
        <v>400</v>
      </c>
      <c r="J7" s="78">
        <f t="shared" si="46"/>
        <v>12748.843496817346</v>
      </c>
      <c r="K7" s="78">
        <f t="shared" si="4"/>
        <v>22.000000000000004</v>
      </c>
      <c r="L7" s="78">
        <f t="shared" si="5"/>
        <v>108.79</v>
      </c>
      <c r="M7" s="78">
        <f t="shared" si="6"/>
        <v>6229.7933895701744</v>
      </c>
      <c r="N7" s="194">
        <f t="shared" si="7"/>
        <v>6229.7933895701744</v>
      </c>
      <c r="O7" s="78">
        <f t="shared" si="8"/>
        <v>-4143.0033895701745</v>
      </c>
      <c r="P7" s="165">
        <v>0</v>
      </c>
      <c r="Q7" s="166">
        <f t="shared" si="9"/>
        <v>0</v>
      </c>
      <c r="R7" s="119">
        <f t="shared" si="10"/>
        <v>6319.0501072471725</v>
      </c>
      <c r="S7" s="167">
        <f t="shared" si="11"/>
        <v>347.54775589859452</v>
      </c>
      <c r="T7" s="165">
        <v>0</v>
      </c>
      <c r="U7" s="166">
        <f t="shared" si="12"/>
        <v>0</v>
      </c>
      <c r="V7" s="33">
        <f t="shared" si="13"/>
        <v>6866.5978631457674</v>
      </c>
      <c r="W7" s="167">
        <f t="shared" si="14"/>
        <v>377.66288247301719</v>
      </c>
      <c r="X7" s="165">
        <v>0</v>
      </c>
      <c r="Y7" s="166">
        <f t="shared" si="15"/>
        <v>0</v>
      </c>
      <c r="Z7" s="33">
        <f t="shared" si="16"/>
        <v>7444.2607456187843</v>
      </c>
      <c r="AA7" s="167">
        <f t="shared" si="17"/>
        <v>409.43434100903312</v>
      </c>
      <c r="AB7" s="165">
        <v>0</v>
      </c>
      <c r="AC7" s="166">
        <f t="shared" si="18"/>
        <v>0</v>
      </c>
      <c r="AD7" s="33">
        <f t="shared" si="19"/>
        <v>8053.6950866278175</v>
      </c>
      <c r="AE7" s="167">
        <f t="shared" si="20"/>
        <v>442.95322976452996</v>
      </c>
      <c r="AF7" s="165">
        <v>0</v>
      </c>
      <c r="AG7" s="166">
        <f t="shared" si="21"/>
        <v>0</v>
      </c>
      <c r="AH7" s="33">
        <f t="shared" si="22"/>
        <v>8696.6483163923458</v>
      </c>
      <c r="AI7" s="167">
        <f t="shared" si="23"/>
        <v>478.31565740157902</v>
      </c>
      <c r="AJ7" s="165">
        <v>0</v>
      </c>
      <c r="AK7" s="166">
        <f t="shared" si="24"/>
        <v>0</v>
      </c>
      <c r="AL7" s="33">
        <f t="shared" si="25"/>
        <v>9374.9639737939251</v>
      </c>
      <c r="AM7" s="167">
        <f t="shared" si="26"/>
        <v>515.62301855866588</v>
      </c>
      <c r="AN7" s="165">
        <v>0</v>
      </c>
      <c r="AO7" s="166">
        <f t="shared" si="27"/>
        <v>0</v>
      </c>
      <c r="AP7" s="33">
        <f t="shared" si="28"/>
        <v>10090.586992352592</v>
      </c>
      <c r="AQ7" s="167">
        <f t="shared" si="29"/>
        <v>554.98228457939251</v>
      </c>
      <c r="AR7" s="165">
        <v>0</v>
      </c>
      <c r="AS7" s="166">
        <f t="shared" si="30"/>
        <v>0</v>
      </c>
      <c r="AT7" s="33">
        <f t="shared" si="31"/>
        <v>10845.569276931985</v>
      </c>
      <c r="AU7" s="167">
        <f t="shared" si="32"/>
        <v>596.50631023125914</v>
      </c>
      <c r="AV7" s="165">
        <v>0</v>
      </c>
      <c r="AW7" s="166">
        <f t="shared" si="33"/>
        <v>0</v>
      </c>
      <c r="AX7" s="33">
        <f t="shared" si="34"/>
        <v>11642.075587163245</v>
      </c>
      <c r="AY7" s="167">
        <f t="shared" si="35"/>
        <v>640.3141572939785</v>
      </c>
      <c r="AZ7" s="165">
        <v>0</v>
      </c>
      <c r="BA7" s="166">
        <f t="shared" si="36"/>
        <v>0</v>
      </c>
      <c r="BB7" s="33">
        <f t="shared" si="37"/>
        <v>12482.389744457223</v>
      </c>
      <c r="BC7" s="167">
        <f t="shared" si="38"/>
        <v>686.53143594514722</v>
      </c>
      <c r="BD7" s="165">
        <f>'2018-2019 B STATEMENT '!B759</f>
        <v>2000</v>
      </c>
      <c r="BE7" s="166">
        <f t="shared" si="39"/>
        <v>22.000000000000004</v>
      </c>
      <c r="BF7" s="33">
        <f t="shared" si="40"/>
        <v>11368.921180402371</v>
      </c>
      <c r="BG7" s="167">
        <f t="shared" si="41"/>
        <v>515.29066492213042</v>
      </c>
      <c r="BH7" s="165">
        <v>0</v>
      </c>
      <c r="BI7" s="166">
        <f t="shared" si="42"/>
        <v>0</v>
      </c>
      <c r="BJ7" s="33">
        <f t="shared" si="43"/>
        <v>12084.211845324502</v>
      </c>
      <c r="BK7" s="167">
        <f t="shared" si="44"/>
        <v>664.6316514928476</v>
      </c>
      <c r="BL7" s="87">
        <f t="shared" si="45"/>
        <v>2000</v>
      </c>
    </row>
    <row r="8" spans="1:66" s="41" customFormat="1">
      <c r="A8" s="10" t="s">
        <v>579</v>
      </c>
      <c r="B8" s="10" t="s">
        <v>175</v>
      </c>
      <c r="C8" s="79">
        <v>100</v>
      </c>
      <c r="D8" s="79">
        <f t="shared" si="0"/>
        <v>2400</v>
      </c>
      <c r="E8" s="79">
        <f>'2019-2020 New'!J8</f>
        <v>2886.9973814568571</v>
      </c>
      <c r="F8" s="139">
        <f>'2019-2020 New'!F8</f>
        <v>7800</v>
      </c>
      <c r="G8" s="187">
        <f t="shared" si="1"/>
        <v>2500</v>
      </c>
      <c r="H8" s="159">
        <f t="shared" si="2"/>
        <v>0</v>
      </c>
      <c r="I8" s="190">
        <f t="shared" si="3"/>
        <v>2400</v>
      </c>
      <c r="J8" s="78">
        <f t="shared" si="46"/>
        <v>8946.1406601769922</v>
      </c>
      <c r="K8" s="78">
        <f t="shared" si="4"/>
        <v>0</v>
      </c>
      <c r="L8" s="78">
        <f t="shared" si="5"/>
        <v>-5.5</v>
      </c>
      <c r="M8" s="78">
        <f t="shared" si="6"/>
        <v>3659.1432787201352</v>
      </c>
      <c r="N8" s="194">
        <f t="shared" si="7"/>
        <v>3659.1432787201352</v>
      </c>
      <c r="O8" s="78">
        <f t="shared" si="8"/>
        <v>-3664.6432787201352</v>
      </c>
      <c r="P8" s="165"/>
      <c r="Q8" s="166">
        <f t="shared" si="9"/>
        <v>0</v>
      </c>
      <c r="R8" s="119">
        <f t="shared" si="10"/>
        <v>3086.9973814568571</v>
      </c>
      <c r="S8" s="167">
        <f t="shared" si="11"/>
        <v>169.78485598012713</v>
      </c>
      <c r="T8" s="165"/>
      <c r="U8" s="166">
        <f t="shared" si="12"/>
        <v>0</v>
      </c>
      <c r="V8" s="33">
        <f t="shared" si="13"/>
        <v>3456.7822374369844</v>
      </c>
      <c r="W8" s="167">
        <f t="shared" si="14"/>
        <v>190.12302305903415</v>
      </c>
      <c r="X8" s="165"/>
      <c r="Y8" s="166">
        <f t="shared" si="15"/>
        <v>0</v>
      </c>
      <c r="Z8" s="33">
        <f t="shared" si="16"/>
        <v>3846.9052604960184</v>
      </c>
      <c r="AA8" s="167">
        <f t="shared" si="17"/>
        <v>211.57978932728102</v>
      </c>
      <c r="AB8" s="165"/>
      <c r="AC8" s="166">
        <f t="shared" si="18"/>
        <v>0</v>
      </c>
      <c r="AD8" s="33">
        <f t="shared" si="19"/>
        <v>4258.4850498232991</v>
      </c>
      <c r="AE8" s="167">
        <f t="shared" si="20"/>
        <v>234.21667774028145</v>
      </c>
      <c r="AF8" s="165"/>
      <c r="AG8" s="166">
        <f t="shared" si="21"/>
        <v>0</v>
      </c>
      <c r="AH8" s="33">
        <f t="shared" si="22"/>
        <v>4692.7017275635808</v>
      </c>
      <c r="AI8" s="167">
        <f t="shared" si="23"/>
        <v>258.09859501599692</v>
      </c>
      <c r="AJ8" s="165"/>
      <c r="AK8" s="166">
        <f t="shared" si="24"/>
        <v>0</v>
      </c>
      <c r="AL8" s="33">
        <f t="shared" si="25"/>
        <v>5150.8003225795774</v>
      </c>
      <c r="AM8" s="167">
        <f t="shared" si="26"/>
        <v>283.29401774187676</v>
      </c>
      <c r="AN8" s="165"/>
      <c r="AO8" s="166">
        <f t="shared" si="27"/>
        <v>0</v>
      </c>
      <c r="AP8" s="33">
        <f t="shared" si="28"/>
        <v>5634.0943403214542</v>
      </c>
      <c r="AQ8" s="167">
        <f t="shared" si="29"/>
        <v>309.87518871767998</v>
      </c>
      <c r="AR8" s="165"/>
      <c r="AS8" s="166">
        <f t="shared" si="30"/>
        <v>0</v>
      </c>
      <c r="AT8" s="33">
        <f t="shared" si="31"/>
        <v>6143.9695290391337</v>
      </c>
      <c r="AU8" s="167">
        <f t="shared" si="32"/>
        <v>337.91832409715238</v>
      </c>
      <c r="AV8" s="165"/>
      <c r="AW8" s="166">
        <f t="shared" si="33"/>
        <v>0</v>
      </c>
      <c r="AX8" s="33">
        <f t="shared" si="34"/>
        <v>6681.8878531362861</v>
      </c>
      <c r="AY8" s="167">
        <f t="shared" si="35"/>
        <v>367.50383192249575</v>
      </c>
      <c r="AZ8" s="165"/>
      <c r="BA8" s="166">
        <f t="shared" si="36"/>
        <v>0</v>
      </c>
      <c r="BB8" s="33">
        <f t="shared" si="37"/>
        <v>7249.3916850587821</v>
      </c>
      <c r="BC8" s="167">
        <f t="shared" si="38"/>
        <v>398.716542678233</v>
      </c>
      <c r="BD8" s="165"/>
      <c r="BE8" s="166">
        <f t="shared" si="39"/>
        <v>0</v>
      </c>
      <c r="BF8" s="33">
        <f t="shared" si="40"/>
        <v>7848.1082277370151</v>
      </c>
      <c r="BG8" s="167">
        <f t="shared" si="41"/>
        <v>431.64595252553585</v>
      </c>
      <c r="BH8" s="165"/>
      <c r="BI8" s="166">
        <f t="shared" si="42"/>
        <v>0</v>
      </c>
      <c r="BJ8" s="33">
        <f t="shared" si="43"/>
        <v>8479.754180262551</v>
      </c>
      <c r="BK8" s="167">
        <f t="shared" si="44"/>
        <v>466.38647991444032</v>
      </c>
      <c r="BL8" s="87">
        <f t="shared" si="45"/>
        <v>0</v>
      </c>
    </row>
    <row r="9" spans="1:66">
      <c r="A9" s="10" t="s">
        <v>580</v>
      </c>
      <c r="B9" s="10" t="s">
        <v>111</v>
      </c>
      <c r="C9" s="80">
        <v>0</v>
      </c>
      <c r="D9" s="79">
        <f t="shared" si="0"/>
        <v>2400</v>
      </c>
      <c r="E9" s="79">
        <f>'2019-2020 New'!J9</f>
        <v>7072.2374186199359</v>
      </c>
      <c r="F9" s="139">
        <f>'2019-2020 New'!F9</f>
        <v>0</v>
      </c>
      <c r="G9" s="187">
        <f t="shared" si="1"/>
        <v>2400</v>
      </c>
      <c r="H9" s="159">
        <f t="shared" si="2"/>
        <v>300</v>
      </c>
      <c r="I9" s="190">
        <f t="shared" si="3"/>
        <v>2100</v>
      </c>
      <c r="J9" s="78">
        <f t="shared" si="46"/>
        <v>16498.590145365175</v>
      </c>
      <c r="K9" s="78">
        <f t="shared" si="4"/>
        <v>3.19</v>
      </c>
      <c r="L9" s="78">
        <f t="shared" si="5"/>
        <v>16.324549999999999</v>
      </c>
      <c r="M9" s="78">
        <f t="shared" si="6"/>
        <v>7326.3527267452391</v>
      </c>
      <c r="N9" s="194">
        <f t="shared" si="7"/>
        <v>7326.3527267452391</v>
      </c>
      <c r="O9" s="78">
        <f t="shared" si="8"/>
        <v>-7013.2181767452385</v>
      </c>
      <c r="P9" s="165">
        <v>0</v>
      </c>
      <c r="Q9" s="166">
        <f t="shared" si="9"/>
        <v>0</v>
      </c>
      <c r="R9" s="119">
        <f t="shared" si="10"/>
        <v>7272.2374186199359</v>
      </c>
      <c r="S9" s="167">
        <f t="shared" si="11"/>
        <v>399.97305802409647</v>
      </c>
      <c r="T9" s="165">
        <v>0</v>
      </c>
      <c r="U9" s="166">
        <f t="shared" si="12"/>
        <v>0</v>
      </c>
      <c r="V9" s="33">
        <f t="shared" si="13"/>
        <v>7872.2104766440325</v>
      </c>
      <c r="W9" s="167">
        <f t="shared" si="14"/>
        <v>432.97157621542181</v>
      </c>
      <c r="X9" s="165">
        <v>0</v>
      </c>
      <c r="Y9" s="166">
        <f t="shared" si="15"/>
        <v>0</v>
      </c>
      <c r="Z9" s="33">
        <f t="shared" si="16"/>
        <v>8505.1820528594544</v>
      </c>
      <c r="AA9" s="167">
        <f t="shared" si="17"/>
        <v>467.78501290727002</v>
      </c>
      <c r="AB9" s="165">
        <f>'2018-2019 B STATEMENT '!B652</f>
        <v>100</v>
      </c>
      <c r="AC9" s="166">
        <f t="shared" si="18"/>
        <v>0.98999999999999988</v>
      </c>
      <c r="AD9" s="33">
        <f t="shared" si="19"/>
        <v>9072.9670657667248</v>
      </c>
      <c r="AE9" s="167">
        <f t="shared" si="20"/>
        <v>493.51318861716987</v>
      </c>
      <c r="AF9" s="165">
        <v>0</v>
      </c>
      <c r="AG9" s="166">
        <f t="shared" si="21"/>
        <v>0</v>
      </c>
      <c r="AH9" s="33">
        <f t="shared" si="22"/>
        <v>9766.4802543838941</v>
      </c>
      <c r="AI9" s="167">
        <f t="shared" si="23"/>
        <v>537.15641399111416</v>
      </c>
      <c r="AJ9" s="165">
        <v>0</v>
      </c>
      <c r="AK9" s="166">
        <f t="shared" si="24"/>
        <v>0</v>
      </c>
      <c r="AL9" s="33">
        <f t="shared" si="25"/>
        <v>10503.636668375008</v>
      </c>
      <c r="AM9" s="167">
        <f t="shared" si="26"/>
        <v>577.70001676062543</v>
      </c>
      <c r="AN9" s="165">
        <v>0</v>
      </c>
      <c r="AO9" s="166">
        <f t="shared" si="27"/>
        <v>0</v>
      </c>
      <c r="AP9" s="33">
        <f t="shared" si="28"/>
        <v>11281.336685135633</v>
      </c>
      <c r="AQ9" s="167">
        <f t="shared" si="29"/>
        <v>620.47351768245983</v>
      </c>
      <c r="AR9" s="165">
        <v>0</v>
      </c>
      <c r="AS9" s="166">
        <f t="shared" si="30"/>
        <v>0</v>
      </c>
      <c r="AT9" s="33">
        <f t="shared" si="31"/>
        <v>12101.810202818093</v>
      </c>
      <c r="AU9" s="167">
        <f t="shared" si="32"/>
        <v>665.59956115499506</v>
      </c>
      <c r="AV9" s="165">
        <v>0</v>
      </c>
      <c r="AW9" s="166">
        <f t="shared" si="33"/>
        <v>0</v>
      </c>
      <c r="AX9" s="33">
        <f t="shared" si="34"/>
        <v>12967.409763973088</v>
      </c>
      <c r="AY9" s="167">
        <f t="shared" si="35"/>
        <v>713.20753701851982</v>
      </c>
      <c r="AZ9" s="165">
        <v>0</v>
      </c>
      <c r="BA9" s="166">
        <f t="shared" si="36"/>
        <v>0</v>
      </c>
      <c r="BB9" s="33">
        <f t="shared" si="37"/>
        <v>13880.617300991607</v>
      </c>
      <c r="BC9" s="167">
        <f t="shared" si="38"/>
        <v>763.43395155453845</v>
      </c>
      <c r="BD9" s="165">
        <f>'2018-2019 B STATEMENT '!B760</f>
        <v>200</v>
      </c>
      <c r="BE9" s="166">
        <f t="shared" si="39"/>
        <v>2.2000000000000002</v>
      </c>
      <c r="BF9" s="33">
        <f t="shared" si="40"/>
        <v>14644.051252546145</v>
      </c>
      <c r="BG9" s="167">
        <f t="shared" si="41"/>
        <v>794.422818890038</v>
      </c>
      <c r="BH9" s="165">
        <v>0</v>
      </c>
      <c r="BI9" s="166">
        <f t="shared" si="42"/>
        <v>0</v>
      </c>
      <c r="BJ9" s="33">
        <f t="shared" si="43"/>
        <v>15638.474071436183</v>
      </c>
      <c r="BK9" s="167">
        <f t="shared" si="44"/>
        <v>860.11607392899009</v>
      </c>
      <c r="BL9" s="87">
        <f t="shared" si="45"/>
        <v>300</v>
      </c>
    </row>
    <row r="10" spans="1:66">
      <c r="A10" s="10" t="s">
        <v>581</v>
      </c>
      <c r="B10" s="10" t="s">
        <v>112</v>
      </c>
      <c r="C10" s="80">
        <v>0</v>
      </c>
      <c r="D10" s="79">
        <f t="shared" si="0"/>
        <v>2400</v>
      </c>
      <c r="E10" s="79">
        <f>'2019-2020 New'!J10</f>
        <v>2898.5232384465407</v>
      </c>
      <c r="F10" s="139">
        <f>'2019-2020 New'!F10</f>
        <v>0</v>
      </c>
      <c r="G10" s="187">
        <f t="shared" si="1"/>
        <v>2400</v>
      </c>
      <c r="H10" s="159">
        <f t="shared" si="2"/>
        <v>900</v>
      </c>
      <c r="I10" s="190">
        <f t="shared" si="3"/>
        <v>1500</v>
      </c>
      <c r="J10" s="78">
        <f t="shared" si="46"/>
        <v>7609.2568054794001</v>
      </c>
      <c r="K10" s="78">
        <f t="shared" si="4"/>
        <v>8.91</v>
      </c>
      <c r="L10" s="78">
        <f t="shared" si="5"/>
        <v>49.009950000000003</v>
      </c>
      <c r="M10" s="78">
        <f t="shared" si="6"/>
        <v>3210.7335670328598</v>
      </c>
      <c r="N10" s="194">
        <f t="shared" si="7"/>
        <v>3210.7335670328598</v>
      </c>
      <c r="O10" s="78">
        <f t="shared" si="8"/>
        <v>-2270.6336170328595</v>
      </c>
      <c r="P10" s="165">
        <v>0</v>
      </c>
      <c r="Q10" s="166">
        <f t="shared" si="9"/>
        <v>0</v>
      </c>
      <c r="R10" s="119">
        <f t="shared" si="10"/>
        <v>3098.5232384465407</v>
      </c>
      <c r="S10" s="167">
        <f t="shared" si="11"/>
        <v>170.41877811455973</v>
      </c>
      <c r="T10" s="165">
        <v>0</v>
      </c>
      <c r="U10" s="166">
        <f t="shared" si="12"/>
        <v>0</v>
      </c>
      <c r="V10" s="33">
        <f t="shared" si="13"/>
        <v>3468.9420165611004</v>
      </c>
      <c r="W10" s="167">
        <f t="shared" si="14"/>
        <v>190.79181091086053</v>
      </c>
      <c r="X10" s="165">
        <v>0</v>
      </c>
      <c r="Y10" s="166">
        <f t="shared" si="15"/>
        <v>0</v>
      </c>
      <c r="Z10" s="33">
        <f t="shared" si="16"/>
        <v>3859.7338274719609</v>
      </c>
      <c r="AA10" s="167">
        <f t="shared" si="17"/>
        <v>212.28536051095784</v>
      </c>
      <c r="AB10" s="165">
        <f>'2018-2019 B STATEMENT '!B663</f>
        <v>300</v>
      </c>
      <c r="AC10" s="166">
        <f t="shared" si="18"/>
        <v>2.9699999999999998</v>
      </c>
      <c r="AD10" s="33">
        <f t="shared" si="19"/>
        <v>3972.019187982919</v>
      </c>
      <c r="AE10" s="167">
        <f t="shared" si="20"/>
        <v>201.96105533906055</v>
      </c>
      <c r="AF10" s="165">
        <v>0</v>
      </c>
      <c r="AG10" s="166">
        <f t="shared" si="21"/>
        <v>0</v>
      </c>
      <c r="AH10" s="33">
        <f t="shared" si="22"/>
        <v>4373.9802433219793</v>
      </c>
      <c r="AI10" s="167">
        <f t="shared" si="23"/>
        <v>240.56891338270887</v>
      </c>
      <c r="AJ10" s="165">
        <v>0</v>
      </c>
      <c r="AK10" s="166">
        <f t="shared" si="24"/>
        <v>0</v>
      </c>
      <c r="AL10" s="33">
        <f t="shared" si="25"/>
        <v>4814.5491567046884</v>
      </c>
      <c r="AM10" s="167">
        <f t="shared" si="26"/>
        <v>264.80020361875785</v>
      </c>
      <c r="AN10" s="165">
        <f>'2018-2019 B STATEMENT '!B706</f>
        <v>300</v>
      </c>
      <c r="AO10" s="166">
        <f t="shared" si="27"/>
        <v>2.9699999999999998</v>
      </c>
      <c r="AP10" s="33">
        <f t="shared" si="28"/>
        <v>4979.3493603234465</v>
      </c>
      <c r="AQ10" s="167">
        <f t="shared" si="29"/>
        <v>257.36421481778956</v>
      </c>
      <c r="AR10" s="165">
        <f>'2018-2019 B STATEMENT '!B720</f>
        <v>300</v>
      </c>
      <c r="AS10" s="166">
        <f t="shared" si="30"/>
        <v>2.9699999999999998</v>
      </c>
      <c r="AT10" s="33">
        <f t="shared" si="31"/>
        <v>5136.7135751412361</v>
      </c>
      <c r="AU10" s="167">
        <f t="shared" si="32"/>
        <v>266.01924663276799</v>
      </c>
      <c r="AV10" s="165">
        <v>0</v>
      </c>
      <c r="AW10" s="166">
        <f t="shared" si="33"/>
        <v>0</v>
      </c>
      <c r="AX10" s="33">
        <f t="shared" si="34"/>
        <v>5602.7328217740042</v>
      </c>
      <c r="AY10" s="167">
        <f t="shared" si="35"/>
        <v>308.15030519757022</v>
      </c>
      <c r="AZ10" s="165">
        <v>0</v>
      </c>
      <c r="BA10" s="166">
        <f t="shared" si="36"/>
        <v>0</v>
      </c>
      <c r="BB10" s="33">
        <f t="shared" si="37"/>
        <v>6110.8831269715747</v>
      </c>
      <c r="BC10" s="167">
        <f t="shared" si="38"/>
        <v>336.09857198343661</v>
      </c>
      <c r="BD10" s="165">
        <v>0</v>
      </c>
      <c r="BE10" s="166">
        <f t="shared" si="39"/>
        <v>0</v>
      </c>
      <c r="BF10" s="33">
        <f t="shared" si="40"/>
        <v>6646.9816989550109</v>
      </c>
      <c r="BG10" s="167">
        <f t="shared" si="41"/>
        <v>365.58399344252558</v>
      </c>
      <c r="BH10" s="165">
        <v>0</v>
      </c>
      <c r="BI10" s="166">
        <f t="shared" si="42"/>
        <v>0</v>
      </c>
      <c r="BJ10" s="33">
        <f t="shared" si="43"/>
        <v>7212.5656923975366</v>
      </c>
      <c r="BK10" s="167">
        <f t="shared" si="44"/>
        <v>396.6911130818645</v>
      </c>
      <c r="BL10" s="87">
        <f t="shared" si="45"/>
        <v>900</v>
      </c>
    </row>
    <row r="11" spans="1:66">
      <c r="A11" s="10" t="s">
        <v>582</v>
      </c>
      <c r="B11" s="10" t="s">
        <v>138</v>
      </c>
      <c r="C11" s="80">
        <v>0</v>
      </c>
      <c r="D11" s="79">
        <f t="shared" si="0"/>
        <v>2400</v>
      </c>
      <c r="E11" s="79">
        <f>'2019-2020 New'!J11</f>
        <v>3847.4803757604604</v>
      </c>
      <c r="F11" s="139">
        <f>'2019-2020 New'!F11</f>
        <v>2400</v>
      </c>
      <c r="G11" s="187">
        <f t="shared" si="1"/>
        <v>2400</v>
      </c>
      <c r="H11" s="159">
        <f t="shared" si="2"/>
        <v>600</v>
      </c>
      <c r="I11" s="190">
        <f t="shared" si="3"/>
        <v>1800</v>
      </c>
      <c r="J11" s="78">
        <f t="shared" si="46"/>
        <v>9693.9013328594829</v>
      </c>
      <c r="K11" s="78">
        <f t="shared" si="4"/>
        <v>5.9399999999999995</v>
      </c>
      <c r="L11" s="78">
        <f t="shared" si="5"/>
        <v>32.673299999999998</v>
      </c>
      <c r="M11" s="78">
        <f t="shared" si="6"/>
        <v>4046.4209570990224</v>
      </c>
      <c r="N11" s="194">
        <f t="shared" si="7"/>
        <v>4046.4209570990224</v>
      </c>
      <c r="O11" s="78">
        <f t="shared" si="8"/>
        <v>-3419.6876570990225</v>
      </c>
      <c r="P11" s="165">
        <v>0</v>
      </c>
      <c r="Q11" s="166">
        <f t="shared" si="9"/>
        <v>0</v>
      </c>
      <c r="R11" s="119">
        <f t="shared" si="10"/>
        <v>4047.4803757604604</v>
      </c>
      <c r="S11" s="167">
        <f t="shared" si="11"/>
        <v>222.61142066682532</v>
      </c>
      <c r="T11" s="165">
        <v>0</v>
      </c>
      <c r="U11" s="166">
        <f t="shared" si="12"/>
        <v>0</v>
      </c>
      <c r="V11" s="33">
        <f t="shared" si="13"/>
        <v>4470.0917964272858</v>
      </c>
      <c r="W11" s="167">
        <f t="shared" si="14"/>
        <v>245.85504880350072</v>
      </c>
      <c r="X11" s="165">
        <f>'2018-2019 B STATEMENT '!B628</f>
        <v>600</v>
      </c>
      <c r="Y11" s="166">
        <f t="shared" si="15"/>
        <v>5.9399999999999995</v>
      </c>
      <c r="Z11" s="33">
        <f t="shared" si="16"/>
        <v>4315.9468452307865</v>
      </c>
      <c r="AA11" s="167">
        <f t="shared" si="17"/>
        <v>204.37707648769324</v>
      </c>
      <c r="AB11" s="165">
        <v>0</v>
      </c>
      <c r="AC11" s="166">
        <f t="shared" si="18"/>
        <v>0</v>
      </c>
      <c r="AD11" s="33">
        <f t="shared" si="19"/>
        <v>4720.3239217184801</v>
      </c>
      <c r="AE11" s="167">
        <f t="shared" si="20"/>
        <v>259.61781569451642</v>
      </c>
      <c r="AF11" s="165">
        <v>0</v>
      </c>
      <c r="AG11" s="166">
        <f t="shared" si="21"/>
        <v>0</v>
      </c>
      <c r="AH11" s="33">
        <f t="shared" si="22"/>
        <v>5179.9417374129962</v>
      </c>
      <c r="AI11" s="167">
        <f t="shared" si="23"/>
        <v>284.89679555771477</v>
      </c>
      <c r="AJ11" s="165">
        <v>0</v>
      </c>
      <c r="AK11" s="166">
        <f t="shared" si="24"/>
        <v>0</v>
      </c>
      <c r="AL11" s="33">
        <f t="shared" si="25"/>
        <v>5664.8385329707107</v>
      </c>
      <c r="AM11" s="167">
        <f t="shared" si="26"/>
        <v>311.56611931338909</v>
      </c>
      <c r="AN11" s="165">
        <v>0</v>
      </c>
      <c r="AO11" s="166">
        <f t="shared" si="27"/>
        <v>0</v>
      </c>
      <c r="AP11" s="33">
        <f t="shared" si="28"/>
        <v>6176.4046522840999</v>
      </c>
      <c r="AQ11" s="167">
        <f t="shared" si="29"/>
        <v>339.7022558756255</v>
      </c>
      <c r="AR11" s="165">
        <v>0</v>
      </c>
      <c r="AS11" s="166">
        <f t="shared" si="30"/>
        <v>0</v>
      </c>
      <c r="AT11" s="33">
        <f t="shared" si="31"/>
        <v>6716.1069081597252</v>
      </c>
      <c r="AU11" s="167">
        <f t="shared" si="32"/>
        <v>369.38587994878486</v>
      </c>
      <c r="AV11" s="165">
        <v>0</v>
      </c>
      <c r="AW11" s="166">
        <f t="shared" si="33"/>
        <v>0</v>
      </c>
      <c r="AX11" s="33">
        <f t="shared" si="34"/>
        <v>7285.4927881085105</v>
      </c>
      <c r="AY11" s="167">
        <f t="shared" si="35"/>
        <v>400.70210334596806</v>
      </c>
      <c r="AZ11" s="165">
        <v>0</v>
      </c>
      <c r="BA11" s="166">
        <f t="shared" si="36"/>
        <v>0</v>
      </c>
      <c r="BB11" s="33">
        <f t="shared" si="37"/>
        <v>7886.1948914544782</v>
      </c>
      <c r="BC11" s="167">
        <f t="shared" si="38"/>
        <v>433.74071902999628</v>
      </c>
      <c r="BD11" s="165">
        <v>0</v>
      </c>
      <c r="BE11" s="166">
        <f t="shared" si="39"/>
        <v>0</v>
      </c>
      <c r="BF11" s="33">
        <f t="shared" si="40"/>
        <v>8519.9356104844737</v>
      </c>
      <c r="BG11" s="167">
        <f t="shared" si="41"/>
        <v>468.59645857664606</v>
      </c>
      <c r="BH11" s="165">
        <v>0</v>
      </c>
      <c r="BI11" s="166">
        <f t="shared" si="42"/>
        <v>0</v>
      </c>
      <c r="BJ11" s="33">
        <f t="shared" si="43"/>
        <v>9188.5320690611206</v>
      </c>
      <c r="BK11" s="167">
        <f t="shared" si="44"/>
        <v>505.36926379836166</v>
      </c>
      <c r="BL11" s="87">
        <f t="shared" si="45"/>
        <v>600</v>
      </c>
    </row>
    <row r="12" spans="1:66">
      <c r="A12" s="10" t="s">
        <v>583</v>
      </c>
      <c r="B12" s="10" t="s">
        <v>113</v>
      </c>
      <c r="C12" s="80">
        <v>0</v>
      </c>
      <c r="D12" s="79">
        <f t="shared" si="0"/>
        <v>2400</v>
      </c>
      <c r="E12" s="79">
        <f>'2019-2020 New'!J12</f>
        <v>4328.290584633558</v>
      </c>
      <c r="F12" s="139">
        <f>'2019-2020 New'!F12</f>
        <v>200</v>
      </c>
      <c r="G12" s="187">
        <f t="shared" si="1"/>
        <v>2400</v>
      </c>
      <c r="H12" s="159">
        <f t="shared" si="2"/>
        <v>950</v>
      </c>
      <c r="I12" s="190">
        <f t="shared" si="3"/>
        <v>1450</v>
      </c>
      <c r="J12" s="78">
        <f t="shared" si="46"/>
        <v>9885.0997558962517</v>
      </c>
      <c r="K12" s="78">
        <f t="shared" si="4"/>
        <v>9.4049999999999994</v>
      </c>
      <c r="L12" s="78">
        <f t="shared" si="5"/>
        <v>51.732725000000002</v>
      </c>
      <c r="M12" s="78">
        <f t="shared" si="6"/>
        <v>4106.8091712626929</v>
      </c>
      <c r="N12" s="194">
        <f t="shared" si="7"/>
        <v>4106.8091712626929</v>
      </c>
      <c r="O12" s="78">
        <f t="shared" si="8"/>
        <v>-3114.4814462626928</v>
      </c>
      <c r="P12" s="165">
        <v>0</v>
      </c>
      <c r="Q12" s="166">
        <f t="shared" si="9"/>
        <v>0</v>
      </c>
      <c r="R12" s="119">
        <f t="shared" si="10"/>
        <v>4528.290584633558</v>
      </c>
      <c r="S12" s="167">
        <f t="shared" si="11"/>
        <v>249.05598215484568</v>
      </c>
      <c r="T12" s="165">
        <f>'2018-2019 B STATEMENT '!B610</f>
        <v>950</v>
      </c>
      <c r="U12" s="166">
        <f t="shared" si="12"/>
        <v>9.4049999999999994</v>
      </c>
      <c r="V12" s="33">
        <f t="shared" si="13"/>
        <v>4027.3465667884038</v>
      </c>
      <c r="W12" s="167">
        <f t="shared" si="14"/>
        <v>169.2540611733622</v>
      </c>
      <c r="X12" s="165">
        <v>0</v>
      </c>
      <c r="Y12" s="166">
        <f t="shared" si="15"/>
        <v>0</v>
      </c>
      <c r="Z12" s="33">
        <f t="shared" si="16"/>
        <v>4396.6006279617659</v>
      </c>
      <c r="AA12" s="167">
        <f t="shared" si="17"/>
        <v>241.81303453789712</v>
      </c>
      <c r="AB12" s="165">
        <v>0</v>
      </c>
      <c r="AC12" s="166">
        <f t="shared" si="18"/>
        <v>0</v>
      </c>
      <c r="AD12" s="33">
        <f t="shared" si="19"/>
        <v>4838.4136624996627</v>
      </c>
      <c r="AE12" s="167">
        <f t="shared" si="20"/>
        <v>266.11275143748145</v>
      </c>
      <c r="AF12" s="165">
        <v>0</v>
      </c>
      <c r="AG12" s="166">
        <f t="shared" si="21"/>
        <v>0</v>
      </c>
      <c r="AH12" s="33">
        <f t="shared" si="22"/>
        <v>5304.5264139371438</v>
      </c>
      <c r="AI12" s="167">
        <f t="shared" si="23"/>
        <v>291.74895276654291</v>
      </c>
      <c r="AJ12" s="165">
        <v>0</v>
      </c>
      <c r="AK12" s="166">
        <f t="shared" si="24"/>
        <v>0</v>
      </c>
      <c r="AL12" s="33">
        <f t="shared" si="25"/>
        <v>5796.2753667036868</v>
      </c>
      <c r="AM12" s="167">
        <f t="shared" si="26"/>
        <v>318.79514516870279</v>
      </c>
      <c r="AN12" s="165">
        <v>0</v>
      </c>
      <c r="AO12" s="166">
        <f t="shared" si="27"/>
        <v>0</v>
      </c>
      <c r="AP12" s="33">
        <f t="shared" si="28"/>
        <v>6315.0705118723899</v>
      </c>
      <c r="AQ12" s="167">
        <f t="shared" si="29"/>
        <v>347.32887815298147</v>
      </c>
      <c r="AR12" s="165">
        <v>0</v>
      </c>
      <c r="AS12" s="166">
        <f t="shared" si="30"/>
        <v>0</v>
      </c>
      <c r="AT12" s="33">
        <f t="shared" si="31"/>
        <v>6862.3993900253718</v>
      </c>
      <c r="AU12" s="167">
        <f t="shared" si="32"/>
        <v>377.43196645139545</v>
      </c>
      <c r="AV12" s="165">
        <v>0</v>
      </c>
      <c r="AW12" s="166">
        <f t="shared" si="33"/>
        <v>0</v>
      </c>
      <c r="AX12" s="33">
        <f t="shared" si="34"/>
        <v>7439.8313564767668</v>
      </c>
      <c r="AY12" s="167">
        <f t="shared" si="35"/>
        <v>409.1907246062222</v>
      </c>
      <c r="AZ12" s="165">
        <v>0</v>
      </c>
      <c r="BA12" s="166">
        <f t="shared" si="36"/>
        <v>0</v>
      </c>
      <c r="BB12" s="33">
        <f t="shared" si="37"/>
        <v>8049.0220810829887</v>
      </c>
      <c r="BC12" s="167">
        <f t="shared" si="38"/>
        <v>442.69621445956437</v>
      </c>
      <c r="BD12" s="165">
        <v>0</v>
      </c>
      <c r="BE12" s="166">
        <f t="shared" si="39"/>
        <v>0</v>
      </c>
      <c r="BF12" s="33">
        <f t="shared" si="40"/>
        <v>8691.7182955425524</v>
      </c>
      <c r="BG12" s="167">
        <f t="shared" si="41"/>
        <v>478.04450625484037</v>
      </c>
      <c r="BH12" s="165">
        <v>0</v>
      </c>
      <c r="BI12" s="166">
        <f t="shared" si="42"/>
        <v>0</v>
      </c>
      <c r="BJ12" s="33">
        <f t="shared" si="43"/>
        <v>9369.762801797393</v>
      </c>
      <c r="BK12" s="167">
        <f t="shared" si="44"/>
        <v>515.33695409885661</v>
      </c>
      <c r="BL12" s="87">
        <f t="shared" si="45"/>
        <v>950</v>
      </c>
    </row>
    <row r="13" spans="1:66">
      <c r="A13" s="10" t="s">
        <v>584</v>
      </c>
      <c r="B13" s="10" t="s">
        <v>114</v>
      </c>
      <c r="C13" s="80">
        <v>0</v>
      </c>
      <c r="D13" s="79">
        <f t="shared" si="0"/>
        <v>2400</v>
      </c>
      <c r="E13" s="79">
        <f>'2019-2020 New'!J13</f>
        <v>-700.7595759593471</v>
      </c>
      <c r="F13" s="139">
        <f>'2019-2020 New'!F13</f>
        <v>0</v>
      </c>
      <c r="G13" s="187">
        <f t="shared" si="1"/>
        <v>2400</v>
      </c>
      <c r="H13" s="159">
        <f t="shared" si="2"/>
        <v>2550</v>
      </c>
      <c r="I13" s="190">
        <f t="shared" si="3"/>
        <v>-150</v>
      </c>
      <c r="J13" s="78">
        <f t="shared" si="46"/>
        <v>-1665.0846338486695</v>
      </c>
      <c r="K13" s="78">
        <f t="shared" si="4"/>
        <v>26.014999999999993</v>
      </c>
      <c r="L13" s="78">
        <f t="shared" si="5"/>
        <v>138.819175</v>
      </c>
      <c r="M13" s="78">
        <f t="shared" si="6"/>
        <v>-814.32505788932247</v>
      </c>
      <c r="N13" s="194">
        <f t="shared" si="7"/>
        <v>-814.32505788932247</v>
      </c>
      <c r="O13" s="78">
        <f t="shared" si="8"/>
        <v>3477.1292328893228</v>
      </c>
      <c r="P13" s="165">
        <f>'2018-2019 B STATEMENT '!B592</f>
        <v>200</v>
      </c>
      <c r="Q13" s="166">
        <f t="shared" si="9"/>
        <v>1.9799999999999998</v>
      </c>
      <c r="R13" s="119">
        <f t="shared" si="10"/>
        <v>-500.7595759593471</v>
      </c>
      <c r="S13" s="167">
        <f t="shared" si="11"/>
        <v>-38.541776677764091</v>
      </c>
      <c r="T13" s="165">
        <f>'2018-2019 B STATEMENT '!B624</f>
        <v>300</v>
      </c>
      <c r="U13" s="166">
        <f t="shared" si="12"/>
        <v>2.9699999999999998</v>
      </c>
      <c r="V13" s="33">
        <f t="shared" si="13"/>
        <v>-639.30135263711122</v>
      </c>
      <c r="W13" s="167">
        <f t="shared" si="14"/>
        <v>-51.661574395041114</v>
      </c>
      <c r="X13" s="165">
        <f>'2018-2019 B STATEMENT '!B631</f>
        <v>200</v>
      </c>
      <c r="Y13" s="166">
        <f t="shared" si="15"/>
        <v>1.9799999999999998</v>
      </c>
      <c r="Z13" s="33">
        <f t="shared" si="16"/>
        <v>-690.96292703215238</v>
      </c>
      <c r="AA13" s="167">
        <f t="shared" si="17"/>
        <v>-49.002960986768379</v>
      </c>
      <c r="AB13" s="165">
        <f>'2018-2019 B STATEMENT '!B655</f>
        <v>250</v>
      </c>
      <c r="AC13" s="166">
        <f t="shared" si="18"/>
        <v>2.4749999999999996</v>
      </c>
      <c r="AD13" s="33">
        <f t="shared" si="19"/>
        <v>-789.96588801892074</v>
      </c>
      <c r="AE13" s="167">
        <f t="shared" si="20"/>
        <v>-57.198123841040648</v>
      </c>
      <c r="AF13" s="165">
        <f>'2018-2019 B STATEMENT '!B673</f>
        <v>300</v>
      </c>
      <c r="AG13" s="166">
        <f t="shared" si="21"/>
        <v>2.9699999999999998</v>
      </c>
      <c r="AH13" s="33">
        <f t="shared" si="22"/>
        <v>-947.16401185996153</v>
      </c>
      <c r="AI13" s="167">
        <f t="shared" si="23"/>
        <v>-68.594020652297885</v>
      </c>
      <c r="AJ13" s="165">
        <f>'2018-2019 B STATEMENT '!B689</f>
        <v>300</v>
      </c>
      <c r="AK13" s="166">
        <f t="shared" si="24"/>
        <v>2.9699999999999998</v>
      </c>
      <c r="AL13" s="33">
        <f t="shared" si="25"/>
        <v>-1115.7580325122594</v>
      </c>
      <c r="AM13" s="167">
        <f t="shared" si="26"/>
        <v>-77.866691788174265</v>
      </c>
      <c r="AN13" s="165">
        <v>0</v>
      </c>
      <c r="AO13" s="166">
        <f t="shared" si="27"/>
        <v>0</v>
      </c>
      <c r="AP13" s="33">
        <f t="shared" si="28"/>
        <v>-993.62472430043374</v>
      </c>
      <c r="AQ13" s="167">
        <f t="shared" si="29"/>
        <v>-54.649359836523857</v>
      </c>
      <c r="AR13" s="165">
        <f>'2018-2019 B STATEMENT '!B718</f>
        <v>300</v>
      </c>
      <c r="AS13" s="166">
        <f t="shared" si="30"/>
        <v>2.9699999999999998</v>
      </c>
      <c r="AT13" s="33">
        <f t="shared" si="31"/>
        <v>-1148.2740841369575</v>
      </c>
      <c r="AU13" s="167">
        <f t="shared" si="32"/>
        <v>-79.65507462753267</v>
      </c>
      <c r="AV13" s="165">
        <f>'2018-2019 B STATEMENT '!B730</f>
        <v>300</v>
      </c>
      <c r="AW13" s="166">
        <f t="shared" si="33"/>
        <v>3.3000000000000003</v>
      </c>
      <c r="AX13" s="33">
        <f t="shared" si="34"/>
        <v>-1327.9291587644902</v>
      </c>
      <c r="AY13" s="167">
        <f t="shared" si="35"/>
        <v>-89.536103732046968</v>
      </c>
      <c r="AZ13" s="165">
        <f>'2018-2019 B STATEMENT '!B752</f>
        <v>200</v>
      </c>
      <c r="BA13" s="166">
        <f t="shared" si="36"/>
        <v>2.2000000000000002</v>
      </c>
      <c r="BB13" s="33">
        <f t="shared" si="37"/>
        <v>-1417.4652624965372</v>
      </c>
      <c r="BC13" s="167">
        <f t="shared" si="38"/>
        <v>-88.960589437309551</v>
      </c>
      <c r="BD13" s="165">
        <v>0</v>
      </c>
      <c r="BE13" s="166">
        <f t="shared" si="39"/>
        <v>0</v>
      </c>
      <c r="BF13" s="33">
        <f t="shared" si="40"/>
        <v>-1306.4258519338468</v>
      </c>
      <c r="BG13" s="167">
        <f t="shared" si="41"/>
        <v>-71.853421856361578</v>
      </c>
      <c r="BH13" s="165">
        <f>'2018-2019 B STATEMENT '!B771</f>
        <v>200</v>
      </c>
      <c r="BI13" s="166">
        <f t="shared" si="42"/>
        <v>2.2000000000000002</v>
      </c>
      <c r="BJ13" s="33">
        <f t="shared" si="43"/>
        <v>-1378.2792737902084</v>
      </c>
      <c r="BK13" s="167">
        <f t="shared" si="44"/>
        <v>-86.80536005846146</v>
      </c>
      <c r="BL13" s="87">
        <f t="shared" si="45"/>
        <v>2550</v>
      </c>
    </row>
    <row r="14" spans="1:66">
      <c r="A14" s="10" t="s">
        <v>585</v>
      </c>
      <c r="B14" s="10" t="s">
        <v>115</v>
      </c>
      <c r="C14" s="80">
        <v>0</v>
      </c>
      <c r="D14" s="79">
        <f t="shared" si="0"/>
        <v>2400</v>
      </c>
      <c r="E14" s="79">
        <f>'2019-2020 New'!J14</f>
        <v>175.4437540924084</v>
      </c>
      <c r="F14" s="139">
        <f>'2019-2020 New'!F14</f>
        <v>0</v>
      </c>
      <c r="G14" s="187">
        <f t="shared" si="1"/>
        <v>2400</v>
      </c>
      <c r="H14" s="159">
        <f t="shared" si="2"/>
        <v>2200</v>
      </c>
      <c r="I14" s="190">
        <f t="shared" si="3"/>
        <v>200</v>
      </c>
      <c r="J14" s="78">
        <f t="shared" si="46"/>
        <v>216.1966523141345</v>
      </c>
      <c r="K14" s="78">
        <f t="shared" si="4"/>
        <v>21.779999999999998</v>
      </c>
      <c r="L14" s="78">
        <f t="shared" si="5"/>
        <v>119.8021</v>
      </c>
      <c r="M14" s="78">
        <f t="shared" si="6"/>
        <v>-159.2471017782739</v>
      </c>
      <c r="N14" s="194">
        <f t="shared" si="7"/>
        <v>-159.2471017782739</v>
      </c>
      <c r="O14" s="78">
        <f t="shared" si="8"/>
        <v>2457.2692017782738</v>
      </c>
      <c r="P14" s="165">
        <v>0</v>
      </c>
      <c r="Q14" s="166">
        <f t="shared" si="9"/>
        <v>0</v>
      </c>
      <c r="R14" s="119">
        <f t="shared" si="10"/>
        <v>375.44375409240843</v>
      </c>
      <c r="S14" s="167">
        <f t="shared" si="11"/>
        <v>20.649406475082465</v>
      </c>
      <c r="T14" s="165">
        <v>0</v>
      </c>
      <c r="U14" s="166">
        <f t="shared" si="12"/>
        <v>0</v>
      </c>
      <c r="V14" s="33">
        <f t="shared" si="13"/>
        <v>596.09316056749094</v>
      </c>
      <c r="W14" s="167">
        <f t="shared" si="14"/>
        <v>32.785123831212005</v>
      </c>
      <c r="X14" s="165">
        <v>0</v>
      </c>
      <c r="Y14" s="166">
        <f t="shared" si="15"/>
        <v>0</v>
      </c>
      <c r="Z14" s="33">
        <f t="shared" si="16"/>
        <v>828.87828439870293</v>
      </c>
      <c r="AA14" s="167">
        <f t="shared" si="17"/>
        <v>45.588305641928663</v>
      </c>
      <c r="AB14" s="165">
        <f>'2018-2019 B STATEMENT '!B668</f>
        <v>1200</v>
      </c>
      <c r="AC14" s="166">
        <f t="shared" si="18"/>
        <v>11.879999999999999</v>
      </c>
      <c r="AD14" s="33">
        <f t="shared" si="19"/>
        <v>-125.53340995936841</v>
      </c>
      <c r="AE14" s="167">
        <f t="shared" si="20"/>
        <v>-72.904337547765252</v>
      </c>
      <c r="AF14" s="165">
        <v>0</v>
      </c>
      <c r="AG14" s="166">
        <f t="shared" si="21"/>
        <v>0</v>
      </c>
      <c r="AH14" s="33">
        <f t="shared" si="22"/>
        <v>1.5622524928663353</v>
      </c>
      <c r="AI14" s="167">
        <f t="shared" si="23"/>
        <v>8.5923887107648436E-2</v>
      </c>
      <c r="AJ14" s="165">
        <f>'2018-2019 B STATEMENT '!B687</f>
        <v>1000</v>
      </c>
      <c r="AK14" s="166">
        <f t="shared" si="24"/>
        <v>9.8999999999999986</v>
      </c>
      <c r="AL14" s="33">
        <f t="shared" si="25"/>
        <v>-798.35182362002593</v>
      </c>
      <c r="AM14" s="167">
        <f t="shared" si="26"/>
        <v>-98.909350299101433</v>
      </c>
      <c r="AN14" s="165">
        <v>0</v>
      </c>
      <c r="AO14" s="166">
        <f t="shared" si="27"/>
        <v>0</v>
      </c>
      <c r="AP14" s="33">
        <f t="shared" si="28"/>
        <v>-697.26117391912737</v>
      </c>
      <c r="AQ14" s="167">
        <f t="shared" si="29"/>
        <v>-38.349364565552008</v>
      </c>
      <c r="AR14" s="165">
        <v>0</v>
      </c>
      <c r="AS14" s="166">
        <f t="shared" si="30"/>
        <v>0</v>
      </c>
      <c r="AT14" s="33">
        <f t="shared" si="31"/>
        <v>-535.61053848467941</v>
      </c>
      <c r="AU14" s="167">
        <f t="shared" si="32"/>
        <v>-29.458579616657367</v>
      </c>
      <c r="AV14" s="165">
        <v>0</v>
      </c>
      <c r="AW14" s="166">
        <f t="shared" si="33"/>
        <v>0</v>
      </c>
      <c r="AX14" s="33">
        <f t="shared" si="34"/>
        <v>-365.06911810133676</v>
      </c>
      <c r="AY14" s="167">
        <f t="shared" si="35"/>
        <v>-20.078801495573522</v>
      </c>
      <c r="AZ14" s="165">
        <v>0</v>
      </c>
      <c r="BA14" s="166">
        <f t="shared" si="36"/>
        <v>0</v>
      </c>
      <c r="BB14" s="33">
        <f t="shared" si="37"/>
        <v>-185.14791959691027</v>
      </c>
      <c r="BC14" s="167">
        <f t="shared" si="38"/>
        <v>-10.183135577830065</v>
      </c>
      <c r="BD14" s="165">
        <v>0</v>
      </c>
      <c r="BE14" s="166">
        <f t="shared" si="39"/>
        <v>0</v>
      </c>
      <c r="BF14" s="33">
        <f t="shared" si="40"/>
        <v>4.6689448252596648</v>
      </c>
      <c r="BG14" s="167">
        <f t="shared" si="41"/>
        <v>0.25679196538928156</v>
      </c>
      <c r="BH14" s="165">
        <v>0</v>
      </c>
      <c r="BI14" s="166">
        <f t="shared" si="42"/>
        <v>0</v>
      </c>
      <c r="BJ14" s="33">
        <f t="shared" si="43"/>
        <v>204.92573679064895</v>
      </c>
      <c r="BK14" s="167">
        <f t="shared" si="44"/>
        <v>11.270915523485693</v>
      </c>
      <c r="BL14" s="87">
        <f t="shared" si="45"/>
        <v>2200</v>
      </c>
    </row>
    <row r="15" spans="1:66">
      <c r="A15" s="10" t="s">
        <v>586</v>
      </c>
      <c r="B15" s="10" t="s">
        <v>116</v>
      </c>
      <c r="C15" s="80">
        <v>0</v>
      </c>
      <c r="D15" s="79">
        <f t="shared" si="0"/>
        <v>2400</v>
      </c>
      <c r="E15" s="79">
        <f>'2019-2020 New'!J15</f>
        <v>4027.7218729122624</v>
      </c>
      <c r="F15" s="139">
        <f>'2019-2020 New'!F15</f>
        <v>0</v>
      </c>
      <c r="G15" s="187">
        <f t="shared" si="1"/>
        <v>2400</v>
      </c>
      <c r="H15" s="159">
        <f t="shared" si="2"/>
        <v>0</v>
      </c>
      <c r="I15" s="190">
        <f t="shared" si="3"/>
        <v>2400</v>
      </c>
      <c r="J15" s="78">
        <f t="shared" si="46"/>
        <v>11114.894602520646</v>
      </c>
      <c r="K15" s="78">
        <f t="shared" si="4"/>
        <v>0</v>
      </c>
      <c r="L15" s="78">
        <f t="shared" si="5"/>
        <v>0</v>
      </c>
      <c r="M15" s="78">
        <f t="shared" si="6"/>
        <v>4687.1727296083845</v>
      </c>
      <c r="N15" s="194">
        <f t="shared" si="7"/>
        <v>4687.1727296083845</v>
      </c>
      <c r="O15" s="78">
        <f t="shared" si="8"/>
        <v>-4687.1727296083845</v>
      </c>
      <c r="P15" s="165">
        <v>0</v>
      </c>
      <c r="Q15" s="166">
        <f t="shared" si="9"/>
        <v>0</v>
      </c>
      <c r="R15" s="119">
        <f t="shared" si="10"/>
        <v>4227.7218729122624</v>
      </c>
      <c r="S15" s="167">
        <f t="shared" si="11"/>
        <v>232.52470301017442</v>
      </c>
      <c r="T15" s="165">
        <v>0</v>
      </c>
      <c r="U15" s="166">
        <f t="shared" si="12"/>
        <v>0</v>
      </c>
      <c r="V15" s="33">
        <f t="shared" si="13"/>
        <v>4660.2465759224369</v>
      </c>
      <c r="W15" s="167">
        <f t="shared" si="14"/>
        <v>256.31356167573404</v>
      </c>
      <c r="X15" s="165">
        <v>0</v>
      </c>
      <c r="Y15" s="166">
        <f t="shared" si="15"/>
        <v>0</v>
      </c>
      <c r="Z15" s="33">
        <f t="shared" si="16"/>
        <v>5116.5601375981714</v>
      </c>
      <c r="AA15" s="167">
        <f t="shared" si="17"/>
        <v>281.41080756789944</v>
      </c>
      <c r="AB15" s="165">
        <v>0</v>
      </c>
      <c r="AC15" s="166">
        <f t="shared" si="18"/>
        <v>0</v>
      </c>
      <c r="AD15" s="33">
        <f t="shared" si="19"/>
        <v>5597.970945166071</v>
      </c>
      <c r="AE15" s="167">
        <f t="shared" si="20"/>
        <v>307.88840198413391</v>
      </c>
      <c r="AF15" s="165">
        <v>0</v>
      </c>
      <c r="AG15" s="166">
        <f t="shared" si="21"/>
        <v>0</v>
      </c>
      <c r="AH15" s="33">
        <f t="shared" si="22"/>
        <v>6105.8593471502045</v>
      </c>
      <c r="AI15" s="167">
        <f t="shared" si="23"/>
        <v>335.82226409326125</v>
      </c>
      <c r="AJ15" s="165">
        <v>0</v>
      </c>
      <c r="AK15" s="166">
        <f t="shared" si="24"/>
        <v>0</v>
      </c>
      <c r="AL15" s="33">
        <f t="shared" si="25"/>
        <v>6641.6816112434653</v>
      </c>
      <c r="AM15" s="167">
        <f t="shared" si="26"/>
        <v>365.29248861839062</v>
      </c>
      <c r="AN15" s="165">
        <v>0</v>
      </c>
      <c r="AO15" s="166">
        <f t="shared" si="27"/>
        <v>0</v>
      </c>
      <c r="AP15" s="33">
        <f t="shared" si="28"/>
        <v>7206.9740998618563</v>
      </c>
      <c r="AQ15" s="167">
        <f t="shared" si="29"/>
        <v>396.38357549240209</v>
      </c>
      <c r="AR15" s="165">
        <v>0</v>
      </c>
      <c r="AS15" s="166">
        <f t="shared" si="30"/>
        <v>0</v>
      </c>
      <c r="AT15" s="33">
        <f t="shared" si="31"/>
        <v>7803.3576753542584</v>
      </c>
      <c r="AU15" s="167">
        <f t="shared" si="32"/>
        <v>429.18467214448424</v>
      </c>
      <c r="AV15" s="165">
        <v>0</v>
      </c>
      <c r="AW15" s="166">
        <f t="shared" si="33"/>
        <v>0</v>
      </c>
      <c r="AX15" s="33">
        <f t="shared" si="34"/>
        <v>8432.5423474987419</v>
      </c>
      <c r="AY15" s="167">
        <f t="shared" si="35"/>
        <v>463.78982911243082</v>
      </c>
      <c r="AZ15" s="165">
        <v>0</v>
      </c>
      <c r="BA15" s="166">
        <f t="shared" si="36"/>
        <v>0</v>
      </c>
      <c r="BB15" s="33">
        <f t="shared" si="37"/>
        <v>9096.3321766111731</v>
      </c>
      <c r="BC15" s="167">
        <f t="shared" si="38"/>
        <v>500.2982697136145</v>
      </c>
      <c r="BD15" s="165">
        <v>0</v>
      </c>
      <c r="BE15" s="166">
        <f t="shared" si="39"/>
        <v>0</v>
      </c>
      <c r="BF15" s="33">
        <f t="shared" si="40"/>
        <v>9796.630446324787</v>
      </c>
      <c r="BG15" s="167">
        <f t="shared" si="41"/>
        <v>538.81467454786332</v>
      </c>
      <c r="BH15" s="165">
        <v>0</v>
      </c>
      <c r="BI15" s="166">
        <f t="shared" si="42"/>
        <v>0</v>
      </c>
      <c r="BJ15" s="33">
        <f t="shared" si="43"/>
        <v>10535.44512087265</v>
      </c>
      <c r="BK15" s="167">
        <f t="shared" si="44"/>
        <v>579.44948164799575</v>
      </c>
      <c r="BL15" s="87">
        <f t="shared" si="45"/>
        <v>0</v>
      </c>
    </row>
    <row r="16" spans="1:66">
      <c r="A16" s="10" t="s">
        <v>587</v>
      </c>
      <c r="B16" s="10"/>
      <c r="C16" s="80">
        <v>0</v>
      </c>
      <c r="D16" s="79">
        <f t="shared" si="0"/>
        <v>2400</v>
      </c>
      <c r="E16" s="79">
        <f>'2019-2020 New'!J16</f>
        <v>4056.0280933191639</v>
      </c>
      <c r="F16" s="139">
        <f>'2019-2020 New'!F16</f>
        <v>0</v>
      </c>
      <c r="G16" s="187">
        <f t="shared" si="1"/>
        <v>2400</v>
      </c>
      <c r="H16" s="159">
        <f t="shared" si="2"/>
        <v>0</v>
      </c>
      <c r="I16" s="190">
        <f t="shared" si="3"/>
        <v>2400</v>
      </c>
      <c r="J16" s="78">
        <f t="shared" si="46"/>
        <v>11168.710600651793</v>
      </c>
      <c r="K16" s="78">
        <f t="shared" si="4"/>
        <v>0</v>
      </c>
      <c r="L16" s="78">
        <f t="shared" si="5"/>
        <v>0</v>
      </c>
      <c r="M16" s="78">
        <f t="shared" si="6"/>
        <v>4712.6825073326299</v>
      </c>
      <c r="N16" s="194">
        <f t="shared" si="7"/>
        <v>4712.6825073326299</v>
      </c>
      <c r="O16" s="78">
        <f t="shared" si="8"/>
        <v>-4712.6825073326299</v>
      </c>
      <c r="P16" s="165">
        <v>0</v>
      </c>
      <c r="Q16" s="166">
        <f t="shared" si="9"/>
        <v>0</v>
      </c>
      <c r="R16" s="119">
        <f t="shared" si="10"/>
        <v>4256.0280933191643</v>
      </c>
      <c r="S16" s="167">
        <f t="shared" si="11"/>
        <v>234.08154513255403</v>
      </c>
      <c r="T16" s="165">
        <v>0</v>
      </c>
      <c r="U16" s="166">
        <f t="shared" si="12"/>
        <v>0</v>
      </c>
      <c r="V16" s="33">
        <f t="shared" si="13"/>
        <v>4690.1096384517186</v>
      </c>
      <c r="W16" s="167">
        <f t="shared" si="14"/>
        <v>257.95603011484451</v>
      </c>
      <c r="X16" s="165">
        <v>0</v>
      </c>
      <c r="Y16" s="166">
        <f t="shared" si="15"/>
        <v>0</v>
      </c>
      <c r="Z16" s="33">
        <f t="shared" si="16"/>
        <v>5148.0656685665635</v>
      </c>
      <c r="AA16" s="167">
        <f t="shared" si="17"/>
        <v>283.14361177116098</v>
      </c>
      <c r="AB16" s="165">
        <v>0</v>
      </c>
      <c r="AC16" s="166">
        <f t="shared" si="18"/>
        <v>0</v>
      </c>
      <c r="AD16" s="33">
        <f t="shared" si="19"/>
        <v>5631.2092803377245</v>
      </c>
      <c r="AE16" s="167">
        <f t="shared" si="20"/>
        <v>309.71651041857484</v>
      </c>
      <c r="AF16" s="165">
        <v>0</v>
      </c>
      <c r="AG16" s="166">
        <f t="shared" si="21"/>
        <v>0</v>
      </c>
      <c r="AH16" s="33">
        <f t="shared" si="22"/>
        <v>6140.9257907562996</v>
      </c>
      <c r="AI16" s="167">
        <f t="shared" si="23"/>
        <v>337.75091849159651</v>
      </c>
      <c r="AJ16" s="165">
        <v>0</v>
      </c>
      <c r="AK16" s="166">
        <f t="shared" si="24"/>
        <v>0</v>
      </c>
      <c r="AL16" s="33">
        <f t="shared" si="25"/>
        <v>6678.6767092478958</v>
      </c>
      <c r="AM16" s="167">
        <f t="shared" si="26"/>
        <v>367.32721900863424</v>
      </c>
      <c r="AN16" s="165">
        <v>0</v>
      </c>
      <c r="AO16" s="166">
        <f t="shared" si="27"/>
        <v>0</v>
      </c>
      <c r="AP16" s="33">
        <f t="shared" si="28"/>
        <v>7246.0039282565303</v>
      </c>
      <c r="AQ16" s="167">
        <f t="shared" si="29"/>
        <v>398.53021605410919</v>
      </c>
      <c r="AR16" s="165">
        <v>0</v>
      </c>
      <c r="AS16" s="166">
        <f t="shared" si="30"/>
        <v>0</v>
      </c>
      <c r="AT16" s="33">
        <f t="shared" si="31"/>
        <v>7844.5341443106399</v>
      </c>
      <c r="AU16" s="167">
        <f t="shared" si="32"/>
        <v>431.44937793708522</v>
      </c>
      <c r="AV16" s="165">
        <v>0</v>
      </c>
      <c r="AW16" s="166">
        <f t="shared" si="33"/>
        <v>0</v>
      </c>
      <c r="AX16" s="33">
        <f t="shared" si="34"/>
        <v>8475.983522247725</v>
      </c>
      <c r="AY16" s="167">
        <f t="shared" si="35"/>
        <v>466.17909372362487</v>
      </c>
      <c r="AZ16" s="165">
        <v>0</v>
      </c>
      <c r="BA16" s="166">
        <f t="shared" si="36"/>
        <v>0</v>
      </c>
      <c r="BB16" s="33">
        <f t="shared" si="37"/>
        <v>9142.1626159713505</v>
      </c>
      <c r="BC16" s="167">
        <f t="shared" si="38"/>
        <v>502.81894387842431</v>
      </c>
      <c r="BD16" s="165">
        <v>0</v>
      </c>
      <c r="BE16" s="166">
        <f t="shared" si="39"/>
        <v>0</v>
      </c>
      <c r="BF16" s="33">
        <f t="shared" si="40"/>
        <v>9844.9815598497753</v>
      </c>
      <c r="BG16" s="167">
        <f t="shared" si="41"/>
        <v>541.47398579173762</v>
      </c>
      <c r="BH16" s="165">
        <v>0</v>
      </c>
      <c r="BI16" s="166">
        <f t="shared" si="42"/>
        <v>0</v>
      </c>
      <c r="BJ16" s="33">
        <f t="shared" si="43"/>
        <v>10586.455545641513</v>
      </c>
      <c r="BK16" s="167">
        <f t="shared" si="44"/>
        <v>582.25505501028317</v>
      </c>
      <c r="BL16" s="87">
        <f t="shared" si="45"/>
        <v>0</v>
      </c>
    </row>
    <row r="17" spans="1:64">
      <c r="A17" s="10" t="s">
        <v>588</v>
      </c>
      <c r="B17" s="10" t="s">
        <v>115</v>
      </c>
      <c r="C17" s="80">
        <v>0</v>
      </c>
      <c r="D17" s="79">
        <f t="shared" si="0"/>
        <v>2400</v>
      </c>
      <c r="E17" s="79">
        <f>'2019-2020 New'!J17</f>
        <v>8020.2575930061794</v>
      </c>
      <c r="F17" s="139">
        <f>'2019-2020 New'!F17</f>
        <v>0</v>
      </c>
      <c r="G17" s="187">
        <f t="shared" si="1"/>
        <v>2400</v>
      </c>
      <c r="H17" s="159">
        <f t="shared" si="2"/>
        <v>0</v>
      </c>
      <c r="I17" s="190">
        <f t="shared" si="3"/>
        <v>2400</v>
      </c>
      <c r="J17" s="78">
        <f t="shared" si="46"/>
        <v>18705.533400723434</v>
      </c>
      <c r="K17" s="78">
        <f t="shared" si="4"/>
        <v>0</v>
      </c>
      <c r="L17" s="78">
        <f t="shared" si="5"/>
        <v>0</v>
      </c>
      <c r="M17" s="78">
        <f t="shared" si="6"/>
        <v>8285.2758077172566</v>
      </c>
      <c r="N17" s="194">
        <f t="shared" si="7"/>
        <v>8285.2758077172566</v>
      </c>
      <c r="O17" s="78">
        <f t="shared" si="8"/>
        <v>-8285.2758077172566</v>
      </c>
      <c r="P17" s="165">
        <v>0</v>
      </c>
      <c r="Q17" s="166">
        <f t="shared" si="9"/>
        <v>0</v>
      </c>
      <c r="R17" s="119">
        <f t="shared" si="10"/>
        <v>8220.2575930061794</v>
      </c>
      <c r="S17" s="167">
        <f t="shared" si="11"/>
        <v>452.11416761533985</v>
      </c>
      <c r="T17" s="165">
        <v>0</v>
      </c>
      <c r="U17" s="166">
        <f t="shared" si="12"/>
        <v>0</v>
      </c>
      <c r="V17" s="33">
        <f t="shared" si="13"/>
        <v>8872.3717606215196</v>
      </c>
      <c r="W17" s="167">
        <f t="shared" si="14"/>
        <v>487.98044683418357</v>
      </c>
      <c r="X17" s="165">
        <v>0</v>
      </c>
      <c r="Y17" s="166">
        <f t="shared" si="15"/>
        <v>0</v>
      </c>
      <c r="Z17" s="33">
        <f t="shared" si="16"/>
        <v>9560.352207455704</v>
      </c>
      <c r="AA17" s="167">
        <f t="shared" si="17"/>
        <v>525.8193714100637</v>
      </c>
      <c r="AB17" s="165">
        <v>0</v>
      </c>
      <c r="AC17" s="166">
        <f t="shared" si="18"/>
        <v>0</v>
      </c>
      <c r="AD17" s="33">
        <f t="shared" si="19"/>
        <v>10286.171578865768</v>
      </c>
      <c r="AE17" s="167">
        <f t="shared" si="20"/>
        <v>565.73943683761718</v>
      </c>
      <c r="AF17" s="165">
        <v>0</v>
      </c>
      <c r="AG17" s="166">
        <f t="shared" si="21"/>
        <v>0</v>
      </c>
      <c r="AH17" s="33">
        <f t="shared" si="22"/>
        <v>11051.911015703385</v>
      </c>
      <c r="AI17" s="167">
        <f t="shared" si="23"/>
        <v>607.85510586368616</v>
      </c>
      <c r="AJ17" s="165">
        <v>0</v>
      </c>
      <c r="AK17" s="166">
        <f t="shared" si="24"/>
        <v>0</v>
      </c>
      <c r="AL17" s="33">
        <f t="shared" si="25"/>
        <v>11859.766121567071</v>
      </c>
      <c r="AM17" s="167">
        <f t="shared" si="26"/>
        <v>652.28713668618889</v>
      </c>
      <c r="AN17" s="165">
        <v>0</v>
      </c>
      <c r="AO17" s="166">
        <f t="shared" si="27"/>
        <v>0</v>
      </c>
      <c r="AP17" s="33">
        <f t="shared" si="28"/>
        <v>12712.05325825326</v>
      </c>
      <c r="AQ17" s="167">
        <f t="shared" si="29"/>
        <v>699.16292920392925</v>
      </c>
      <c r="AR17" s="165">
        <v>0</v>
      </c>
      <c r="AS17" s="166">
        <f t="shared" si="30"/>
        <v>0</v>
      </c>
      <c r="AT17" s="33">
        <f t="shared" si="31"/>
        <v>13611.216187457188</v>
      </c>
      <c r="AU17" s="167">
        <f t="shared" si="32"/>
        <v>748.61689031014532</v>
      </c>
      <c r="AV17" s="165">
        <v>0</v>
      </c>
      <c r="AW17" s="166">
        <f t="shared" si="33"/>
        <v>0</v>
      </c>
      <c r="AX17" s="33">
        <f t="shared" si="34"/>
        <v>14559.833077767335</v>
      </c>
      <c r="AY17" s="167">
        <f t="shared" si="35"/>
        <v>800.79081927720335</v>
      </c>
      <c r="AZ17" s="165">
        <v>0</v>
      </c>
      <c r="BA17" s="166">
        <f t="shared" si="36"/>
        <v>0</v>
      </c>
      <c r="BB17" s="33">
        <f t="shared" si="37"/>
        <v>15560.623897044537</v>
      </c>
      <c r="BC17" s="167">
        <f t="shared" si="38"/>
        <v>855.83431433744954</v>
      </c>
      <c r="BD17" s="165">
        <v>0</v>
      </c>
      <c r="BE17" s="166">
        <f t="shared" si="39"/>
        <v>0</v>
      </c>
      <c r="BF17" s="33">
        <f t="shared" si="40"/>
        <v>16616.458211381985</v>
      </c>
      <c r="BG17" s="167">
        <f t="shared" si="41"/>
        <v>913.90520162600922</v>
      </c>
      <c r="BH17" s="165">
        <v>0</v>
      </c>
      <c r="BI17" s="166">
        <f t="shared" si="42"/>
        <v>0</v>
      </c>
      <c r="BJ17" s="33">
        <f t="shared" si="43"/>
        <v>17730.363413007995</v>
      </c>
      <c r="BK17" s="167">
        <f t="shared" si="44"/>
        <v>975.16998771543979</v>
      </c>
      <c r="BL17" s="87">
        <f t="shared" si="45"/>
        <v>0</v>
      </c>
    </row>
    <row r="18" spans="1:64">
      <c r="A18" s="10" t="s">
        <v>589</v>
      </c>
      <c r="B18" s="10" t="s">
        <v>139</v>
      </c>
      <c r="C18" s="80">
        <v>0</v>
      </c>
      <c r="D18" s="79">
        <f t="shared" si="0"/>
        <v>2400</v>
      </c>
      <c r="E18" s="79">
        <f>'2019-2020 New'!J18</f>
        <v>2031.3907882792023</v>
      </c>
      <c r="F18" s="139">
        <f>'2019-2020 New'!F18</f>
        <v>1200</v>
      </c>
      <c r="G18" s="187">
        <f t="shared" si="1"/>
        <v>2400</v>
      </c>
      <c r="H18" s="159">
        <f t="shared" si="2"/>
        <v>6500</v>
      </c>
      <c r="I18" s="190">
        <f t="shared" si="3"/>
        <v>-4100</v>
      </c>
      <c r="J18" s="78">
        <f t="shared" si="46"/>
        <v>-3072.720602622438</v>
      </c>
      <c r="K18" s="78">
        <f t="shared" si="4"/>
        <v>64.349999999999994</v>
      </c>
      <c r="L18" s="78">
        <f t="shared" si="5"/>
        <v>353.96074999999996</v>
      </c>
      <c r="M18" s="78">
        <f t="shared" si="6"/>
        <v>-1004.1113909016406</v>
      </c>
      <c r="N18" s="194">
        <f t="shared" si="7"/>
        <v>-1004.1113909016406</v>
      </c>
      <c r="O18" s="78">
        <f t="shared" si="8"/>
        <v>7793.7221409016402</v>
      </c>
      <c r="P18" s="165">
        <f>'2018-2019 B STATEMENT '!B589</f>
        <v>1500</v>
      </c>
      <c r="Q18" s="166">
        <f t="shared" si="9"/>
        <v>14.849999999999998</v>
      </c>
      <c r="R18" s="119">
        <f t="shared" si="10"/>
        <v>2231.3907882792023</v>
      </c>
      <c r="S18" s="167">
        <f t="shared" si="11"/>
        <v>40.226493355356126</v>
      </c>
      <c r="T18" s="165">
        <f>'2018-2019 B STATEMENT '!B611</f>
        <v>2000</v>
      </c>
      <c r="U18" s="166">
        <f t="shared" si="12"/>
        <v>19.799999999999997</v>
      </c>
      <c r="V18" s="33">
        <f t="shared" si="13"/>
        <v>471.61728163455842</v>
      </c>
      <c r="W18" s="167">
        <f t="shared" si="14"/>
        <v>-84.061049510099295</v>
      </c>
      <c r="X18" s="165">
        <f>'2018-2019 B STATEMENT '!B648</f>
        <v>1000</v>
      </c>
      <c r="Y18" s="166">
        <f t="shared" si="15"/>
        <v>9.8999999999999986</v>
      </c>
      <c r="Z18" s="33">
        <f t="shared" si="16"/>
        <v>-412.44376787554091</v>
      </c>
      <c r="AA18" s="167">
        <f t="shared" si="17"/>
        <v>-77.684407233154758</v>
      </c>
      <c r="AB18" s="165">
        <f>'2018-2019 B STATEMENT '!B653</f>
        <v>1000</v>
      </c>
      <c r="AC18" s="166">
        <f t="shared" si="18"/>
        <v>9.8999999999999986</v>
      </c>
      <c r="AD18" s="33">
        <f t="shared" si="19"/>
        <v>-1290.1281751086958</v>
      </c>
      <c r="AE18" s="167">
        <f t="shared" si="20"/>
        <v>-125.95704963097828</v>
      </c>
      <c r="AF18" s="165">
        <v>0</v>
      </c>
      <c r="AG18" s="166">
        <f t="shared" si="21"/>
        <v>0</v>
      </c>
      <c r="AH18" s="33">
        <f t="shared" si="22"/>
        <v>-1216.085224739674</v>
      </c>
      <c r="AI18" s="167">
        <f t="shared" si="23"/>
        <v>-66.884687360682065</v>
      </c>
      <c r="AJ18" s="165">
        <v>0</v>
      </c>
      <c r="AK18" s="166">
        <f t="shared" si="24"/>
        <v>0</v>
      </c>
      <c r="AL18" s="33">
        <f t="shared" si="25"/>
        <v>-1082.9699121003562</v>
      </c>
      <c r="AM18" s="167">
        <f t="shared" si="26"/>
        <v>-59.563345165519593</v>
      </c>
      <c r="AN18" s="165">
        <f>'2018-2019 B STATEMENT '!B700</f>
        <v>1000</v>
      </c>
      <c r="AO18" s="166">
        <f t="shared" si="27"/>
        <v>9.8999999999999986</v>
      </c>
      <c r="AP18" s="33">
        <f t="shared" si="28"/>
        <v>-1942.5332572658756</v>
      </c>
      <c r="AQ18" s="167">
        <f t="shared" si="29"/>
        <v>-161.83932914962315</v>
      </c>
      <c r="AR18" s="165">
        <v>0</v>
      </c>
      <c r="AS18" s="166">
        <f t="shared" si="30"/>
        <v>0</v>
      </c>
      <c r="AT18" s="33">
        <f t="shared" si="31"/>
        <v>-1904.3725864154987</v>
      </c>
      <c r="AU18" s="167">
        <f t="shared" si="32"/>
        <v>-104.74049225285243</v>
      </c>
      <c r="AV18" s="165">
        <v>0</v>
      </c>
      <c r="AW18" s="166">
        <f t="shared" si="33"/>
        <v>0</v>
      </c>
      <c r="AX18" s="33">
        <f t="shared" si="34"/>
        <v>-1809.1130786683511</v>
      </c>
      <c r="AY18" s="167">
        <f t="shared" si="35"/>
        <v>-99.501219326759312</v>
      </c>
      <c r="AZ18" s="165">
        <v>0</v>
      </c>
      <c r="BA18" s="166">
        <f t="shared" si="36"/>
        <v>0</v>
      </c>
      <c r="BB18" s="33">
        <f t="shared" si="37"/>
        <v>-1708.6142979951105</v>
      </c>
      <c r="BC18" s="167">
        <f t="shared" si="38"/>
        <v>-93.973786389731075</v>
      </c>
      <c r="BD18" s="165">
        <v>0</v>
      </c>
      <c r="BE18" s="166">
        <f t="shared" si="39"/>
        <v>0</v>
      </c>
      <c r="BF18" s="33">
        <f t="shared" si="40"/>
        <v>-1602.5880843848415</v>
      </c>
      <c r="BG18" s="167">
        <f t="shared" si="41"/>
        <v>-88.142344641166289</v>
      </c>
      <c r="BH18" s="165">
        <v>0</v>
      </c>
      <c r="BI18" s="166">
        <f t="shared" si="42"/>
        <v>0</v>
      </c>
      <c r="BJ18" s="33">
        <f t="shared" si="43"/>
        <v>-1490.7304290260079</v>
      </c>
      <c r="BK18" s="167">
        <f t="shared" si="44"/>
        <v>-81.990173596430438</v>
      </c>
      <c r="BL18" s="87">
        <f t="shared" si="45"/>
        <v>6500</v>
      </c>
    </row>
    <row r="19" spans="1:64">
      <c r="A19" s="10" t="s">
        <v>590</v>
      </c>
      <c r="B19" s="10" t="s">
        <v>116</v>
      </c>
      <c r="C19" s="80">
        <v>0</v>
      </c>
      <c r="D19" s="79">
        <f t="shared" si="0"/>
        <v>2400</v>
      </c>
      <c r="E19" s="79">
        <f>'2019-2020 New'!J19</f>
        <v>285.18112286385127</v>
      </c>
      <c r="F19" s="139">
        <f>'2019-2020 New'!F19</f>
        <v>0</v>
      </c>
      <c r="G19" s="187">
        <f t="shared" si="1"/>
        <v>2400</v>
      </c>
      <c r="H19" s="159">
        <f t="shared" si="2"/>
        <v>2400</v>
      </c>
      <c r="I19" s="190">
        <f t="shared" si="3"/>
        <v>0</v>
      </c>
      <c r="J19" s="78">
        <f t="shared" si="46"/>
        <v>542.18848558591344</v>
      </c>
      <c r="K19" s="78">
        <f t="shared" si="4"/>
        <v>24.639999999999997</v>
      </c>
      <c r="L19" s="78">
        <f t="shared" si="5"/>
        <v>130.6448</v>
      </c>
      <c r="M19" s="78">
        <f t="shared" si="6"/>
        <v>257.00736272206223</v>
      </c>
      <c r="N19" s="194">
        <f t="shared" si="7"/>
        <v>257.00736272206223</v>
      </c>
      <c r="O19" s="78">
        <f t="shared" si="8"/>
        <v>2248.9974372779379</v>
      </c>
      <c r="P19" s="165">
        <f>'2018-2019 B STATEMENT '!B596</f>
        <v>200</v>
      </c>
      <c r="Q19" s="166">
        <f t="shared" si="9"/>
        <v>1.9799999999999998</v>
      </c>
      <c r="R19" s="119">
        <f t="shared" si="10"/>
        <v>485.18112286385127</v>
      </c>
      <c r="S19" s="167">
        <f t="shared" si="11"/>
        <v>15.68496175751182</v>
      </c>
      <c r="T19" s="165">
        <f>'2018-2019 B STATEMENT '!B615</f>
        <v>200</v>
      </c>
      <c r="U19" s="166">
        <f t="shared" si="12"/>
        <v>1.9799999999999998</v>
      </c>
      <c r="V19" s="33">
        <f t="shared" si="13"/>
        <v>500.86608462136309</v>
      </c>
      <c r="W19" s="167">
        <f t="shared" si="14"/>
        <v>16.547634654174971</v>
      </c>
      <c r="X19" s="165">
        <f>'2018-2019 B STATEMENT '!B633</f>
        <v>200</v>
      </c>
      <c r="Y19" s="166">
        <f t="shared" si="15"/>
        <v>1.9799999999999998</v>
      </c>
      <c r="Z19" s="33">
        <f t="shared" si="16"/>
        <v>517.41371927553803</v>
      </c>
      <c r="AA19" s="167">
        <f t="shared" si="17"/>
        <v>17.457754560154591</v>
      </c>
      <c r="AB19" s="165">
        <f>'2018-2019 B STATEMENT '!B661</f>
        <v>200</v>
      </c>
      <c r="AC19" s="166">
        <f t="shared" si="18"/>
        <v>1.9799999999999998</v>
      </c>
      <c r="AD19" s="33">
        <f t="shared" si="19"/>
        <v>534.87147383569265</v>
      </c>
      <c r="AE19" s="167">
        <f t="shared" si="20"/>
        <v>18.417931060963095</v>
      </c>
      <c r="AF19" s="165">
        <f>'2018-2019 B STATEMENT '!B675</f>
        <v>200</v>
      </c>
      <c r="AG19" s="166">
        <f t="shared" si="21"/>
        <v>1.9799999999999998</v>
      </c>
      <c r="AH19" s="33">
        <f t="shared" si="22"/>
        <v>553.2894048966557</v>
      </c>
      <c r="AI19" s="167">
        <f t="shared" si="23"/>
        <v>19.430917269316062</v>
      </c>
      <c r="AJ19" s="165">
        <f>'2018-2019 B STATEMENT '!B692</f>
        <v>200</v>
      </c>
      <c r="AK19" s="166">
        <f t="shared" si="24"/>
        <v>1.9799999999999998</v>
      </c>
      <c r="AL19" s="33">
        <f t="shared" si="25"/>
        <v>572.72032216597177</v>
      </c>
      <c r="AM19" s="167">
        <f t="shared" si="26"/>
        <v>20.499617719128448</v>
      </c>
      <c r="AN19" s="165">
        <f>'2018-2019 B STATEMENT '!B707</f>
        <v>200</v>
      </c>
      <c r="AO19" s="166">
        <f t="shared" si="27"/>
        <v>1.9799999999999998</v>
      </c>
      <c r="AP19" s="33">
        <f t="shared" si="28"/>
        <v>593.21993988510019</v>
      </c>
      <c r="AQ19" s="167">
        <f t="shared" si="29"/>
        <v>21.62709669368051</v>
      </c>
      <c r="AR19" s="165">
        <f>'2018-2019 B STATEMENT '!B717</f>
        <v>200</v>
      </c>
      <c r="AS19" s="166">
        <f t="shared" si="30"/>
        <v>1.9799999999999998</v>
      </c>
      <c r="AT19" s="33">
        <f t="shared" si="31"/>
        <v>614.84703657878072</v>
      </c>
      <c r="AU19" s="167">
        <f t="shared" si="32"/>
        <v>22.81658701183294</v>
      </c>
      <c r="AV19" s="165">
        <f>'2018-2019 B STATEMENT '!B731</f>
        <v>200</v>
      </c>
      <c r="AW19" s="166">
        <f t="shared" si="33"/>
        <v>2.2000000000000002</v>
      </c>
      <c r="AX19" s="33">
        <f t="shared" si="34"/>
        <v>637.66362359061361</v>
      </c>
      <c r="AY19" s="167">
        <f t="shared" si="35"/>
        <v>24.071499297483747</v>
      </c>
      <c r="AZ19" s="165">
        <f>'2018-2019 B STATEMENT '!B742</f>
        <v>200</v>
      </c>
      <c r="BA19" s="166">
        <f t="shared" si="36"/>
        <v>2.2000000000000002</v>
      </c>
      <c r="BB19" s="33">
        <f t="shared" si="37"/>
        <v>661.73512288809741</v>
      </c>
      <c r="BC19" s="167">
        <f t="shared" si="38"/>
        <v>25.395431758845358</v>
      </c>
      <c r="BD19" s="165">
        <f>'2018-2019 B STATEMENT '!B754</f>
        <v>200</v>
      </c>
      <c r="BE19" s="166">
        <f t="shared" si="39"/>
        <v>2.2000000000000002</v>
      </c>
      <c r="BF19" s="33">
        <f t="shared" si="40"/>
        <v>687.13055464694276</v>
      </c>
      <c r="BG19" s="167">
        <f t="shared" si="41"/>
        <v>26.79218050558185</v>
      </c>
      <c r="BH19" s="165">
        <f>'2018-2019 B STATEMENT '!B772</f>
        <v>200</v>
      </c>
      <c r="BI19" s="166">
        <f t="shared" si="42"/>
        <v>2.2000000000000002</v>
      </c>
      <c r="BJ19" s="33">
        <f t="shared" si="43"/>
        <v>713.92273515252464</v>
      </c>
      <c r="BK19" s="167">
        <f t="shared" si="44"/>
        <v>28.265750433388856</v>
      </c>
      <c r="BL19" s="87">
        <f t="shared" si="45"/>
        <v>2400</v>
      </c>
    </row>
    <row r="20" spans="1:64">
      <c r="A20" s="10" t="s">
        <v>591</v>
      </c>
      <c r="B20" s="10" t="s">
        <v>140</v>
      </c>
      <c r="C20" s="80">
        <v>0</v>
      </c>
      <c r="D20" s="79">
        <f t="shared" si="0"/>
        <v>2400</v>
      </c>
      <c r="E20" s="79">
        <f>'2019-2020 New'!J20</f>
        <v>2719.2293424514646</v>
      </c>
      <c r="F20" s="139">
        <f>'2019-2020 New'!F20</f>
        <v>2400</v>
      </c>
      <c r="G20" s="187">
        <f t="shared" si="1"/>
        <v>2400</v>
      </c>
      <c r="H20" s="159">
        <f t="shared" si="2"/>
        <v>0</v>
      </c>
      <c r="I20" s="190">
        <f t="shared" si="3"/>
        <v>2400</v>
      </c>
      <c r="J20" s="78">
        <f t="shared" si="46"/>
        <v>8627.1788085488315</v>
      </c>
      <c r="K20" s="78">
        <f t="shared" si="4"/>
        <v>0</v>
      </c>
      <c r="L20" s="78">
        <f t="shared" si="5"/>
        <v>0</v>
      </c>
      <c r="M20" s="78">
        <f t="shared" si="6"/>
        <v>3507.9494660973664</v>
      </c>
      <c r="N20" s="194">
        <f t="shared" si="7"/>
        <v>3507.9494660973664</v>
      </c>
      <c r="O20" s="78">
        <f t="shared" si="8"/>
        <v>-3507.9494660973664</v>
      </c>
      <c r="P20" s="165">
        <v>0</v>
      </c>
      <c r="Q20" s="166">
        <f t="shared" si="9"/>
        <v>0</v>
      </c>
      <c r="R20" s="119">
        <f t="shared" si="10"/>
        <v>2919.2293424514646</v>
      </c>
      <c r="S20" s="167">
        <f t="shared" si="11"/>
        <v>160.55761383483056</v>
      </c>
      <c r="T20" s="165">
        <v>0</v>
      </c>
      <c r="U20" s="166">
        <f t="shared" si="12"/>
        <v>0</v>
      </c>
      <c r="V20" s="33">
        <f t="shared" si="13"/>
        <v>3279.7869562862952</v>
      </c>
      <c r="W20" s="167">
        <f t="shared" si="14"/>
        <v>180.38828259574623</v>
      </c>
      <c r="X20" s="165">
        <v>0</v>
      </c>
      <c r="Y20" s="166">
        <f t="shared" si="15"/>
        <v>0</v>
      </c>
      <c r="Z20" s="33">
        <f t="shared" si="16"/>
        <v>3660.1752388820414</v>
      </c>
      <c r="AA20" s="167">
        <f t="shared" si="17"/>
        <v>201.30963813851227</v>
      </c>
      <c r="AB20" s="165">
        <v>0</v>
      </c>
      <c r="AC20" s="166">
        <f t="shared" si="18"/>
        <v>0</v>
      </c>
      <c r="AD20" s="33">
        <f t="shared" si="19"/>
        <v>4061.4848770205535</v>
      </c>
      <c r="AE20" s="167">
        <f t="shared" si="20"/>
        <v>223.38166823613045</v>
      </c>
      <c r="AF20" s="165">
        <v>0</v>
      </c>
      <c r="AG20" s="166">
        <f t="shared" si="21"/>
        <v>0</v>
      </c>
      <c r="AH20" s="33">
        <f t="shared" si="22"/>
        <v>4484.8665452566838</v>
      </c>
      <c r="AI20" s="167">
        <f t="shared" si="23"/>
        <v>246.66765998911762</v>
      </c>
      <c r="AJ20" s="165">
        <v>0</v>
      </c>
      <c r="AK20" s="166">
        <f t="shared" si="24"/>
        <v>0</v>
      </c>
      <c r="AL20" s="33">
        <f t="shared" si="25"/>
        <v>4931.5342052458018</v>
      </c>
      <c r="AM20" s="167">
        <f t="shared" si="26"/>
        <v>271.2343812885191</v>
      </c>
      <c r="AN20" s="165">
        <v>0</v>
      </c>
      <c r="AO20" s="166">
        <f t="shared" si="27"/>
        <v>0</v>
      </c>
      <c r="AP20" s="33">
        <f t="shared" si="28"/>
        <v>5402.768586534321</v>
      </c>
      <c r="AQ20" s="167">
        <f t="shared" si="29"/>
        <v>297.15227225938764</v>
      </c>
      <c r="AR20" s="165">
        <v>0</v>
      </c>
      <c r="AS20" s="166">
        <f t="shared" si="30"/>
        <v>0</v>
      </c>
      <c r="AT20" s="33">
        <f t="shared" si="31"/>
        <v>5899.9208587937082</v>
      </c>
      <c r="AU20" s="167">
        <f t="shared" si="32"/>
        <v>324.49564723365398</v>
      </c>
      <c r="AV20" s="165">
        <v>0</v>
      </c>
      <c r="AW20" s="166">
        <f t="shared" si="33"/>
        <v>0</v>
      </c>
      <c r="AX20" s="33">
        <f t="shared" si="34"/>
        <v>6424.4165060273626</v>
      </c>
      <c r="AY20" s="167">
        <f t="shared" si="35"/>
        <v>353.34290783150493</v>
      </c>
      <c r="AZ20" s="165">
        <v>0</v>
      </c>
      <c r="BA20" s="166">
        <f t="shared" si="36"/>
        <v>0</v>
      </c>
      <c r="BB20" s="33">
        <f t="shared" si="37"/>
        <v>6977.7594138588674</v>
      </c>
      <c r="BC20" s="167">
        <f t="shared" si="38"/>
        <v>383.77676776223774</v>
      </c>
      <c r="BD20" s="165">
        <v>0</v>
      </c>
      <c r="BE20" s="166">
        <f t="shared" si="39"/>
        <v>0</v>
      </c>
      <c r="BF20" s="33">
        <f t="shared" si="40"/>
        <v>7561.5361816211052</v>
      </c>
      <c r="BG20" s="167">
        <f t="shared" si="41"/>
        <v>415.88448998916078</v>
      </c>
      <c r="BH20" s="165">
        <v>0</v>
      </c>
      <c r="BI20" s="166">
        <f t="shared" si="42"/>
        <v>0</v>
      </c>
      <c r="BJ20" s="33">
        <f t="shared" si="43"/>
        <v>8177.4206716102663</v>
      </c>
      <c r="BK20" s="167">
        <f t="shared" si="44"/>
        <v>449.75813693856463</v>
      </c>
      <c r="BL20" s="87">
        <f t="shared" si="45"/>
        <v>0</v>
      </c>
    </row>
    <row r="21" spans="1:64">
      <c r="A21" s="10" t="s">
        <v>592</v>
      </c>
      <c r="B21" s="10" t="s">
        <v>117</v>
      </c>
      <c r="C21" s="80">
        <v>0</v>
      </c>
      <c r="D21" s="79">
        <f t="shared" si="0"/>
        <v>2400</v>
      </c>
      <c r="E21" s="79">
        <f>'2019-2020 New'!J21</f>
        <v>5100.6656511886003</v>
      </c>
      <c r="F21" s="139">
        <f>'2019-2020 New'!F21</f>
        <v>0</v>
      </c>
      <c r="G21" s="187">
        <f t="shared" si="1"/>
        <v>2400</v>
      </c>
      <c r="H21" s="159">
        <f t="shared" si="2"/>
        <v>3400</v>
      </c>
      <c r="I21" s="190">
        <f t="shared" si="3"/>
        <v>-1000</v>
      </c>
      <c r="J21" s="78">
        <f t="shared" si="46"/>
        <v>7821.3893216052184</v>
      </c>
      <c r="K21" s="78">
        <f t="shared" si="4"/>
        <v>33.879999999999995</v>
      </c>
      <c r="L21" s="78">
        <f t="shared" si="5"/>
        <v>185.13659999999999</v>
      </c>
      <c r="M21" s="78">
        <f t="shared" si="6"/>
        <v>3720.723670416618</v>
      </c>
      <c r="N21" s="194">
        <f t="shared" si="7"/>
        <v>3720.723670416618</v>
      </c>
      <c r="O21" s="78">
        <f t="shared" si="8"/>
        <v>-169.46707041661813</v>
      </c>
      <c r="P21" s="165">
        <f>'2018-2019 B STATEMENT '!B605</f>
        <v>1000</v>
      </c>
      <c r="Q21" s="166">
        <f t="shared" si="9"/>
        <v>9.8999999999999986</v>
      </c>
      <c r="R21" s="119">
        <f t="shared" si="10"/>
        <v>5300.6656511886003</v>
      </c>
      <c r="S21" s="167">
        <f t="shared" si="11"/>
        <v>236.53661081537302</v>
      </c>
      <c r="T21" s="165">
        <f>'2018-2019 B STATEMENT '!B625</f>
        <v>200</v>
      </c>
      <c r="U21" s="166">
        <f t="shared" si="12"/>
        <v>1.9799999999999998</v>
      </c>
      <c r="V21" s="33">
        <f t="shared" si="13"/>
        <v>5537.2022620039734</v>
      </c>
      <c r="W21" s="167">
        <f t="shared" si="14"/>
        <v>293.54612441021851</v>
      </c>
      <c r="X21" s="165">
        <f>'2018-2019 B STATEMENT '!B643</f>
        <v>2000</v>
      </c>
      <c r="Y21" s="166">
        <f t="shared" si="15"/>
        <v>19.799999999999997</v>
      </c>
      <c r="Z21" s="33">
        <f t="shared" si="16"/>
        <v>4030.7483864141918</v>
      </c>
      <c r="AA21" s="167">
        <f t="shared" si="17"/>
        <v>111.69116125278055</v>
      </c>
      <c r="AB21" s="165">
        <v>0</v>
      </c>
      <c r="AC21" s="166">
        <f t="shared" si="18"/>
        <v>0</v>
      </c>
      <c r="AD21" s="33">
        <f t="shared" si="19"/>
        <v>4342.4395476669724</v>
      </c>
      <c r="AE21" s="167">
        <f t="shared" si="20"/>
        <v>238.83417512168347</v>
      </c>
      <c r="AF21" s="165">
        <v>0</v>
      </c>
      <c r="AG21" s="166">
        <f t="shared" si="21"/>
        <v>0</v>
      </c>
      <c r="AH21" s="33">
        <f t="shared" si="22"/>
        <v>4781.2737227886555</v>
      </c>
      <c r="AI21" s="167">
        <f t="shared" si="23"/>
        <v>262.97005475337608</v>
      </c>
      <c r="AJ21" s="165">
        <v>0</v>
      </c>
      <c r="AK21" s="166">
        <f t="shared" si="24"/>
        <v>0</v>
      </c>
      <c r="AL21" s="33">
        <f t="shared" si="25"/>
        <v>5244.2437775420312</v>
      </c>
      <c r="AM21" s="167">
        <f t="shared" si="26"/>
        <v>288.4334077648117</v>
      </c>
      <c r="AN21" s="165">
        <v>0</v>
      </c>
      <c r="AO21" s="166">
        <f t="shared" si="27"/>
        <v>0</v>
      </c>
      <c r="AP21" s="33">
        <f t="shared" si="28"/>
        <v>5732.6771853068431</v>
      </c>
      <c r="AQ21" s="167">
        <f t="shared" si="29"/>
        <v>315.29724519187636</v>
      </c>
      <c r="AR21" s="165">
        <v>0</v>
      </c>
      <c r="AS21" s="166">
        <f t="shared" si="30"/>
        <v>0</v>
      </c>
      <c r="AT21" s="33">
        <f t="shared" si="31"/>
        <v>6247.9744304987198</v>
      </c>
      <c r="AU21" s="167">
        <f t="shared" si="32"/>
        <v>343.63859367742958</v>
      </c>
      <c r="AV21" s="165">
        <f>'2018-2019 B STATEMENT '!B733</f>
        <v>200</v>
      </c>
      <c r="AW21" s="166">
        <f t="shared" si="33"/>
        <v>2.2000000000000002</v>
      </c>
      <c r="AX21" s="33">
        <f t="shared" si="34"/>
        <v>6591.6130241761493</v>
      </c>
      <c r="AY21" s="167">
        <f t="shared" si="35"/>
        <v>351.53871632968821</v>
      </c>
      <c r="AZ21" s="165">
        <v>0</v>
      </c>
      <c r="BA21" s="166">
        <f t="shared" si="36"/>
        <v>0</v>
      </c>
      <c r="BB21" s="33">
        <f t="shared" si="37"/>
        <v>7143.1517405058376</v>
      </c>
      <c r="BC21" s="167">
        <f t="shared" si="38"/>
        <v>392.87334572782106</v>
      </c>
      <c r="BD21" s="165">
        <v>0</v>
      </c>
      <c r="BE21" s="166">
        <f t="shared" si="39"/>
        <v>0</v>
      </c>
      <c r="BF21" s="33">
        <f t="shared" si="40"/>
        <v>7736.0250862336588</v>
      </c>
      <c r="BG21" s="167">
        <f t="shared" si="41"/>
        <v>425.48137974285123</v>
      </c>
      <c r="BH21" s="165">
        <v>0</v>
      </c>
      <c r="BI21" s="166">
        <f t="shared" si="42"/>
        <v>0</v>
      </c>
      <c r="BJ21" s="33">
        <f t="shared" si="43"/>
        <v>8361.5064659765103</v>
      </c>
      <c r="BK21" s="167">
        <f t="shared" si="44"/>
        <v>459.88285562870806</v>
      </c>
      <c r="BL21" s="87">
        <f t="shared" si="45"/>
        <v>3400</v>
      </c>
    </row>
    <row r="22" spans="1:64">
      <c r="A22" s="10" t="s">
        <v>593</v>
      </c>
      <c r="B22" s="10" t="s">
        <v>118</v>
      </c>
      <c r="C22" s="80">
        <v>0</v>
      </c>
      <c r="D22" s="79">
        <f t="shared" si="0"/>
        <v>2400</v>
      </c>
      <c r="E22" s="79">
        <f>'2019-2020 New'!J22</f>
        <v>6309.1708558230721</v>
      </c>
      <c r="F22" s="139">
        <f>'2019-2020 New'!F22</f>
        <v>200</v>
      </c>
      <c r="G22" s="187">
        <f t="shared" si="1"/>
        <v>2400</v>
      </c>
      <c r="H22" s="159">
        <f t="shared" si="2"/>
        <v>0</v>
      </c>
      <c r="I22" s="190">
        <f t="shared" si="3"/>
        <v>2400</v>
      </c>
      <c r="J22" s="78">
        <f t="shared" si="46"/>
        <v>15452.402487207954</v>
      </c>
      <c r="K22" s="78">
        <f t="shared" si="4"/>
        <v>0</v>
      </c>
      <c r="L22" s="78">
        <f t="shared" si="5"/>
        <v>0</v>
      </c>
      <c r="M22" s="78">
        <f t="shared" si="6"/>
        <v>6743.2316313848833</v>
      </c>
      <c r="N22" s="194">
        <f t="shared" si="7"/>
        <v>6743.2316313848833</v>
      </c>
      <c r="O22" s="78">
        <f t="shared" si="8"/>
        <v>-6743.2316313848833</v>
      </c>
      <c r="P22" s="165">
        <v>0</v>
      </c>
      <c r="Q22" s="166">
        <f t="shared" si="9"/>
        <v>0</v>
      </c>
      <c r="R22" s="119">
        <f t="shared" si="10"/>
        <v>6509.1708558230721</v>
      </c>
      <c r="S22" s="167">
        <f t="shared" si="11"/>
        <v>358.00439707026896</v>
      </c>
      <c r="T22" s="165">
        <v>0</v>
      </c>
      <c r="U22" s="166">
        <f t="shared" si="12"/>
        <v>0</v>
      </c>
      <c r="V22" s="33">
        <f t="shared" si="13"/>
        <v>7067.1752528933412</v>
      </c>
      <c r="W22" s="167">
        <f t="shared" si="14"/>
        <v>388.69463890913374</v>
      </c>
      <c r="X22" s="165">
        <v>0</v>
      </c>
      <c r="Y22" s="166">
        <f t="shared" si="15"/>
        <v>0</v>
      </c>
      <c r="Z22" s="33">
        <f t="shared" si="16"/>
        <v>7655.8698918024747</v>
      </c>
      <c r="AA22" s="167">
        <f t="shared" si="17"/>
        <v>421.07284404913611</v>
      </c>
      <c r="AB22" s="165">
        <v>0</v>
      </c>
      <c r="AC22" s="166">
        <f t="shared" si="18"/>
        <v>0</v>
      </c>
      <c r="AD22" s="33">
        <f t="shared" si="19"/>
        <v>8276.9427358516114</v>
      </c>
      <c r="AE22" s="167">
        <f t="shared" si="20"/>
        <v>455.23185047183864</v>
      </c>
      <c r="AF22" s="165">
        <v>0</v>
      </c>
      <c r="AG22" s="166">
        <f t="shared" si="21"/>
        <v>0</v>
      </c>
      <c r="AH22" s="33">
        <f t="shared" si="22"/>
        <v>8932.1745863234501</v>
      </c>
      <c r="AI22" s="167">
        <f t="shared" si="23"/>
        <v>491.26960224778975</v>
      </c>
      <c r="AJ22" s="165">
        <v>0</v>
      </c>
      <c r="AK22" s="166">
        <f t="shared" si="24"/>
        <v>0</v>
      </c>
      <c r="AL22" s="33">
        <f t="shared" si="25"/>
        <v>9623.4441885712404</v>
      </c>
      <c r="AM22" s="167">
        <f t="shared" si="26"/>
        <v>529.28943037141823</v>
      </c>
      <c r="AN22" s="165">
        <v>0</v>
      </c>
      <c r="AO22" s="166">
        <f t="shared" si="27"/>
        <v>0</v>
      </c>
      <c r="AP22" s="33">
        <f t="shared" si="28"/>
        <v>10352.733618942659</v>
      </c>
      <c r="AQ22" s="167">
        <f t="shared" si="29"/>
        <v>569.4003490418462</v>
      </c>
      <c r="AR22" s="165">
        <v>0</v>
      </c>
      <c r="AS22" s="166">
        <f t="shared" si="30"/>
        <v>0</v>
      </c>
      <c r="AT22" s="33">
        <f t="shared" si="31"/>
        <v>11122.133967984504</v>
      </c>
      <c r="AU22" s="167">
        <f t="shared" si="32"/>
        <v>611.71736823914773</v>
      </c>
      <c r="AV22" s="165">
        <v>0</v>
      </c>
      <c r="AW22" s="166">
        <f t="shared" si="33"/>
        <v>0</v>
      </c>
      <c r="AX22" s="33">
        <f t="shared" si="34"/>
        <v>11933.851336223652</v>
      </c>
      <c r="AY22" s="167">
        <f t="shared" si="35"/>
        <v>656.3618234923008</v>
      </c>
      <c r="AZ22" s="165">
        <v>0</v>
      </c>
      <c r="BA22" s="166">
        <f t="shared" si="36"/>
        <v>0</v>
      </c>
      <c r="BB22" s="33">
        <f t="shared" si="37"/>
        <v>12790.213159715953</v>
      </c>
      <c r="BC22" s="167">
        <f t="shared" si="38"/>
        <v>703.46172378437745</v>
      </c>
      <c r="BD22" s="165">
        <v>0</v>
      </c>
      <c r="BE22" s="166">
        <f t="shared" si="39"/>
        <v>0</v>
      </c>
      <c r="BF22" s="33">
        <f t="shared" si="40"/>
        <v>13693.674883500331</v>
      </c>
      <c r="BG22" s="167">
        <f t="shared" si="41"/>
        <v>753.15211859251815</v>
      </c>
      <c r="BH22" s="165">
        <v>0</v>
      </c>
      <c r="BI22" s="166">
        <f t="shared" si="42"/>
        <v>0</v>
      </c>
      <c r="BJ22" s="33">
        <f t="shared" si="43"/>
        <v>14646.827002092848</v>
      </c>
      <c r="BK22" s="167">
        <f t="shared" si="44"/>
        <v>805.57548511510663</v>
      </c>
      <c r="BL22" s="87">
        <f t="shared" si="45"/>
        <v>0</v>
      </c>
    </row>
    <row r="23" spans="1:64">
      <c r="A23" s="10" t="s">
        <v>594</v>
      </c>
      <c r="B23" s="10" t="s">
        <v>119</v>
      </c>
      <c r="C23" s="80">
        <v>0</v>
      </c>
      <c r="D23" s="79">
        <f t="shared" si="0"/>
        <v>2400</v>
      </c>
      <c r="E23" s="79">
        <f>'2019-2020 New'!J23</f>
        <v>3892.3989610014878</v>
      </c>
      <c r="F23" s="139">
        <f>'2019-2020 New'!F23</f>
        <v>200</v>
      </c>
      <c r="G23" s="187">
        <f t="shared" si="1"/>
        <v>2400</v>
      </c>
      <c r="H23" s="159">
        <f t="shared" si="2"/>
        <v>400</v>
      </c>
      <c r="I23" s="190">
        <f t="shared" si="3"/>
        <v>2000</v>
      </c>
      <c r="J23" s="78">
        <f t="shared" si="46"/>
        <v>10417.971636522791</v>
      </c>
      <c r="K23" s="78">
        <f t="shared" si="4"/>
        <v>3.9599999999999995</v>
      </c>
      <c r="L23" s="78">
        <f t="shared" si="5"/>
        <v>21.7822</v>
      </c>
      <c r="M23" s="78">
        <f t="shared" si="6"/>
        <v>4525.5726755213018</v>
      </c>
      <c r="N23" s="194">
        <f t="shared" si="7"/>
        <v>4525.5726755213018</v>
      </c>
      <c r="O23" s="78">
        <f t="shared" si="8"/>
        <v>-4107.7504755213022</v>
      </c>
      <c r="P23" s="165">
        <f>'2018-2019 B STATEMENT '!B607</f>
        <v>400</v>
      </c>
      <c r="Q23" s="166">
        <f t="shared" si="9"/>
        <v>3.9599999999999995</v>
      </c>
      <c r="R23" s="119">
        <f t="shared" si="10"/>
        <v>4092.3989610014878</v>
      </c>
      <c r="S23" s="167">
        <f t="shared" si="11"/>
        <v>203.08194285508182</v>
      </c>
      <c r="T23" s="165">
        <v>0</v>
      </c>
      <c r="U23" s="166">
        <f t="shared" si="12"/>
        <v>0</v>
      </c>
      <c r="V23" s="33">
        <f t="shared" si="13"/>
        <v>4495.48090385657</v>
      </c>
      <c r="W23" s="167">
        <f t="shared" si="14"/>
        <v>247.25144971211134</v>
      </c>
      <c r="X23" s="165">
        <v>0</v>
      </c>
      <c r="Y23" s="166">
        <f t="shared" si="15"/>
        <v>0</v>
      </c>
      <c r="Z23" s="33">
        <f t="shared" si="16"/>
        <v>4942.732353568681</v>
      </c>
      <c r="AA23" s="167">
        <f t="shared" si="17"/>
        <v>271.85027944627745</v>
      </c>
      <c r="AB23" s="165">
        <v>0</v>
      </c>
      <c r="AC23" s="166">
        <f t="shared" si="18"/>
        <v>0</v>
      </c>
      <c r="AD23" s="33">
        <f t="shared" si="19"/>
        <v>5414.5826330149584</v>
      </c>
      <c r="AE23" s="167">
        <f t="shared" si="20"/>
        <v>297.80204481582274</v>
      </c>
      <c r="AF23" s="165">
        <v>0</v>
      </c>
      <c r="AG23" s="166">
        <f t="shared" si="21"/>
        <v>0</v>
      </c>
      <c r="AH23" s="33">
        <f t="shared" si="22"/>
        <v>5912.3846778307816</v>
      </c>
      <c r="AI23" s="167">
        <f t="shared" si="23"/>
        <v>325.18115728069301</v>
      </c>
      <c r="AJ23" s="165">
        <v>0</v>
      </c>
      <c r="AK23" s="166">
        <f t="shared" si="24"/>
        <v>0</v>
      </c>
      <c r="AL23" s="33">
        <f t="shared" si="25"/>
        <v>6437.5658351114744</v>
      </c>
      <c r="AM23" s="167">
        <f t="shared" si="26"/>
        <v>354.06612093113108</v>
      </c>
      <c r="AN23" s="165">
        <v>0</v>
      </c>
      <c r="AO23" s="166">
        <f t="shared" si="27"/>
        <v>0</v>
      </c>
      <c r="AP23" s="33">
        <f t="shared" si="28"/>
        <v>6991.6319560426055</v>
      </c>
      <c r="AQ23" s="167">
        <f t="shared" si="29"/>
        <v>384.53975758234333</v>
      </c>
      <c r="AR23" s="165">
        <v>0</v>
      </c>
      <c r="AS23" s="166">
        <f t="shared" si="30"/>
        <v>0</v>
      </c>
      <c r="AT23" s="33">
        <f t="shared" si="31"/>
        <v>7576.171713624949</v>
      </c>
      <c r="AU23" s="167">
        <f t="shared" si="32"/>
        <v>416.68944424937217</v>
      </c>
      <c r="AV23" s="165">
        <v>0</v>
      </c>
      <c r="AW23" s="166">
        <f t="shared" si="33"/>
        <v>0</v>
      </c>
      <c r="AX23" s="33">
        <f t="shared" si="34"/>
        <v>8192.8611578743221</v>
      </c>
      <c r="AY23" s="167">
        <f t="shared" si="35"/>
        <v>450.60736368308773</v>
      </c>
      <c r="AZ23" s="165">
        <v>0</v>
      </c>
      <c r="BA23" s="166">
        <f t="shared" si="36"/>
        <v>0</v>
      </c>
      <c r="BB23" s="33">
        <f t="shared" si="37"/>
        <v>8843.46852155741</v>
      </c>
      <c r="BC23" s="167">
        <f t="shared" si="38"/>
        <v>486.39076868565758</v>
      </c>
      <c r="BD23" s="165">
        <v>0</v>
      </c>
      <c r="BE23" s="166">
        <f t="shared" si="39"/>
        <v>0</v>
      </c>
      <c r="BF23" s="33">
        <f t="shared" si="40"/>
        <v>9529.8592902430682</v>
      </c>
      <c r="BG23" s="167">
        <f t="shared" si="41"/>
        <v>524.14226096336881</v>
      </c>
      <c r="BH23" s="165">
        <v>0</v>
      </c>
      <c r="BI23" s="166">
        <f t="shared" si="42"/>
        <v>0</v>
      </c>
      <c r="BJ23" s="33">
        <f t="shared" si="43"/>
        <v>10254.001551206436</v>
      </c>
      <c r="BK23" s="167">
        <f t="shared" si="44"/>
        <v>563.97008531635402</v>
      </c>
      <c r="BL23" s="87">
        <f t="shared" si="45"/>
        <v>400</v>
      </c>
    </row>
    <row r="24" spans="1:64">
      <c r="A24" s="10" t="s">
        <v>595</v>
      </c>
      <c r="B24" s="10" t="s">
        <v>116</v>
      </c>
      <c r="C24" s="80">
        <v>0</v>
      </c>
      <c r="D24" s="79">
        <f t="shared" si="0"/>
        <v>2400</v>
      </c>
      <c r="E24" s="79">
        <f>'2019-2020 New'!J24</f>
        <v>2886.9973814568571</v>
      </c>
      <c r="F24" s="139">
        <f>'2019-2020 New'!F24</f>
        <v>0</v>
      </c>
      <c r="G24" s="187">
        <f t="shared" si="1"/>
        <v>2400</v>
      </c>
      <c r="H24" s="159">
        <f t="shared" si="2"/>
        <v>0</v>
      </c>
      <c r="I24" s="190">
        <f t="shared" si="3"/>
        <v>2400</v>
      </c>
      <c r="J24" s="78">
        <f t="shared" si="46"/>
        <v>8946.1406601769922</v>
      </c>
      <c r="K24" s="78">
        <f t="shared" si="4"/>
        <v>0</v>
      </c>
      <c r="L24" s="78">
        <f t="shared" si="5"/>
        <v>0</v>
      </c>
      <c r="M24" s="78">
        <f t="shared" si="6"/>
        <v>3659.1432787201352</v>
      </c>
      <c r="N24" s="194">
        <f t="shared" si="7"/>
        <v>3659.1432787201352</v>
      </c>
      <c r="O24" s="78">
        <f t="shared" si="8"/>
        <v>-3659.1432787201352</v>
      </c>
      <c r="P24" s="165">
        <v>0</v>
      </c>
      <c r="Q24" s="166">
        <f t="shared" si="9"/>
        <v>0</v>
      </c>
      <c r="R24" s="119">
        <f t="shared" si="10"/>
        <v>3086.9973814568571</v>
      </c>
      <c r="S24" s="167">
        <f t="shared" si="11"/>
        <v>169.78485598012713</v>
      </c>
      <c r="T24" s="165">
        <v>0</v>
      </c>
      <c r="U24" s="166">
        <f t="shared" si="12"/>
        <v>0</v>
      </c>
      <c r="V24" s="33">
        <f t="shared" si="13"/>
        <v>3456.7822374369844</v>
      </c>
      <c r="W24" s="167">
        <f t="shared" si="14"/>
        <v>190.12302305903415</v>
      </c>
      <c r="X24" s="165">
        <v>0</v>
      </c>
      <c r="Y24" s="166">
        <f t="shared" si="15"/>
        <v>0</v>
      </c>
      <c r="Z24" s="33">
        <f t="shared" si="16"/>
        <v>3846.9052604960184</v>
      </c>
      <c r="AA24" s="167">
        <f t="shared" si="17"/>
        <v>211.57978932728102</v>
      </c>
      <c r="AB24" s="165">
        <v>0</v>
      </c>
      <c r="AC24" s="166">
        <f t="shared" si="18"/>
        <v>0</v>
      </c>
      <c r="AD24" s="33">
        <f t="shared" si="19"/>
        <v>4258.4850498232991</v>
      </c>
      <c r="AE24" s="167">
        <f t="shared" si="20"/>
        <v>234.21667774028145</v>
      </c>
      <c r="AF24" s="165">
        <v>0</v>
      </c>
      <c r="AG24" s="166">
        <f t="shared" si="21"/>
        <v>0</v>
      </c>
      <c r="AH24" s="33">
        <f t="shared" si="22"/>
        <v>4692.7017275635808</v>
      </c>
      <c r="AI24" s="167">
        <f t="shared" si="23"/>
        <v>258.09859501599692</v>
      </c>
      <c r="AJ24" s="165">
        <v>0</v>
      </c>
      <c r="AK24" s="166">
        <f t="shared" si="24"/>
        <v>0</v>
      </c>
      <c r="AL24" s="33">
        <f t="shared" si="25"/>
        <v>5150.8003225795774</v>
      </c>
      <c r="AM24" s="167">
        <f t="shared" si="26"/>
        <v>283.29401774187676</v>
      </c>
      <c r="AN24" s="165">
        <v>0</v>
      </c>
      <c r="AO24" s="166">
        <f t="shared" si="27"/>
        <v>0</v>
      </c>
      <c r="AP24" s="33">
        <f t="shared" si="28"/>
        <v>5634.0943403214542</v>
      </c>
      <c r="AQ24" s="167">
        <f t="shared" si="29"/>
        <v>309.87518871767998</v>
      </c>
      <c r="AR24" s="165">
        <v>0</v>
      </c>
      <c r="AS24" s="166">
        <f t="shared" si="30"/>
        <v>0</v>
      </c>
      <c r="AT24" s="33">
        <f t="shared" si="31"/>
        <v>6143.9695290391337</v>
      </c>
      <c r="AU24" s="167">
        <f t="shared" si="32"/>
        <v>337.91832409715238</v>
      </c>
      <c r="AV24" s="165">
        <v>0</v>
      </c>
      <c r="AW24" s="166">
        <f t="shared" si="33"/>
        <v>0</v>
      </c>
      <c r="AX24" s="33">
        <f t="shared" si="34"/>
        <v>6681.8878531362861</v>
      </c>
      <c r="AY24" s="167">
        <f t="shared" si="35"/>
        <v>367.50383192249575</v>
      </c>
      <c r="AZ24" s="165">
        <v>0</v>
      </c>
      <c r="BA24" s="166">
        <f t="shared" si="36"/>
        <v>0</v>
      </c>
      <c r="BB24" s="33">
        <f t="shared" si="37"/>
        <v>7249.3916850587821</v>
      </c>
      <c r="BC24" s="167">
        <f t="shared" si="38"/>
        <v>398.716542678233</v>
      </c>
      <c r="BD24" s="165">
        <v>0</v>
      </c>
      <c r="BE24" s="166">
        <f t="shared" si="39"/>
        <v>0</v>
      </c>
      <c r="BF24" s="33">
        <f t="shared" si="40"/>
        <v>7848.1082277370151</v>
      </c>
      <c r="BG24" s="167">
        <f t="shared" si="41"/>
        <v>431.64595252553585</v>
      </c>
      <c r="BH24" s="165">
        <v>0</v>
      </c>
      <c r="BI24" s="166">
        <f t="shared" si="42"/>
        <v>0</v>
      </c>
      <c r="BJ24" s="33">
        <f t="shared" si="43"/>
        <v>8479.754180262551</v>
      </c>
      <c r="BK24" s="167">
        <f t="shared" si="44"/>
        <v>466.38647991444032</v>
      </c>
      <c r="BL24" s="87">
        <f t="shared" si="45"/>
        <v>0</v>
      </c>
    </row>
    <row r="25" spans="1:64">
      <c r="A25" s="10" t="s">
        <v>596</v>
      </c>
      <c r="B25" s="10" t="s">
        <v>120</v>
      </c>
      <c r="C25" s="80">
        <v>0</v>
      </c>
      <c r="D25" s="79">
        <f t="shared" si="0"/>
        <v>2400</v>
      </c>
      <c r="E25" s="79">
        <f>'2019-2020 New'!J25</f>
        <v>3922.8855300957784</v>
      </c>
      <c r="F25" s="139">
        <f>'2019-2020 New'!F25</f>
        <v>200</v>
      </c>
      <c r="G25" s="187">
        <f t="shared" si="1"/>
        <v>2400</v>
      </c>
      <c r="H25" s="159">
        <f t="shared" si="2"/>
        <v>3600</v>
      </c>
      <c r="I25" s="190">
        <f t="shared" si="3"/>
        <v>-1200</v>
      </c>
      <c r="J25" s="78">
        <f t="shared" si="46"/>
        <v>5729.5395220015107</v>
      </c>
      <c r="K25" s="78">
        <f t="shared" si="4"/>
        <v>36.959999999999994</v>
      </c>
      <c r="L25" s="78">
        <f t="shared" si="5"/>
        <v>195.96719999999999</v>
      </c>
      <c r="M25" s="78">
        <f t="shared" si="6"/>
        <v>3006.6539919057318</v>
      </c>
      <c r="N25" s="194">
        <f t="shared" si="7"/>
        <v>3006.6539919057318</v>
      </c>
      <c r="O25" s="78">
        <f t="shared" si="8"/>
        <v>752.35320809426821</v>
      </c>
      <c r="P25" s="165">
        <f>'2018-2019 B STATEMENT '!B553</f>
        <v>300</v>
      </c>
      <c r="Q25" s="166">
        <f t="shared" si="9"/>
        <v>2.9699999999999998</v>
      </c>
      <c r="R25" s="119">
        <f t="shared" si="10"/>
        <v>4122.8855300957784</v>
      </c>
      <c r="S25" s="167">
        <f t="shared" si="11"/>
        <v>210.25870415526782</v>
      </c>
      <c r="T25" s="165">
        <f>'2018-2019 B STATEMENT '!B573</f>
        <v>300</v>
      </c>
      <c r="U25" s="166">
        <f t="shared" si="12"/>
        <v>2.9699999999999998</v>
      </c>
      <c r="V25" s="33">
        <f t="shared" si="13"/>
        <v>4233.1442342510463</v>
      </c>
      <c r="W25" s="167">
        <f t="shared" si="14"/>
        <v>216.32293288380754</v>
      </c>
      <c r="X25" s="165">
        <f>'2018-2019 B STATEMENT '!B573</f>
        <v>300</v>
      </c>
      <c r="Y25" s="166">
        <f t="shared" si="15"/>
        <v>2.9699999999999998</v>
      </c>
      <c r="Z25" s="33">
        <f t="shared" si="16"/>
        <v>4349.4671671348542</v>
      </c>
      <c r="AA25" s="167">
        <f t="shared" si="17"/>
        <v>222.72069419241697</v>
      </c>
      <c r="AB25" s="165">
        <f>'2018-2019 B STATEMENT '!B591</f>
        <v>300</v>
      </c>
      <c r="AC25" s="166">
        <f t="shared" si="18"/>
        <v>2.9699999999999998</v>
      </c>
      <c r="AD25" s="33">
        <f t="shared" si="19"/>
        <v>4472.1878613272711</v>
      </c>
      <c r="AE25" s="167">
        <f t="shared" si="20"/>
        <v>229.47033237299991</v>
      </c>
      <c r="AF25" s="165">
        <f>'2018-2019 B STATEMENT '!B593</f>
        <v>300</v>
      </c>
      <c r="AG25" s="166">
        <f t="shared" si="21"/>
        <v>2.9699999999999998</v>
      </c>
      <c r="AH25" s="33">
        <f t="shared" si="22"/>
        <v>4601.6581937002711</v>
      </c>
      <c r="AI25" s="167">
        <f t="shared" si="23"/>
        <v>236.5912006535149</v>
      </c>
      <c r="AJ25" s="165">
        <f>'2018-2019 B STATEMENT '!B603</f>
        <v>300</v>
      </c>
      <c r="AK25" s="166">
        <f t="shared" si="24"/>
        <v>2.9699999999999998</v>
      </c>
      <c r="AL25" s="33">
        <f t="shared" si="25"/>
        <v>4738.2493943537856</v>
      </c>
      <c r="AM25" s="167">
        <f t="shared" si="26"/>
        <v>244.10371668945822</v>
      </c>
      <c r="AN25" s="165">
        <f>'2018-2019 B STATEMENT '!B612</f>
        <v>300</v>
      </c>
      <c r="AO25" s="166">
        <f t="shared" si="27"/>
        <v>2.9699999999999998</v>
      </c>
      <c r="AP25" s="33">
        <f t="shared" si="28"/>
        <v>4882.3531110432441</v>
      </c>
      <c r="AQ25" s="167">
        <f t="shared" si="29"/>
        <v>252.02942110737843</v>
      </c>
      <c r="AR25" s="165">
        <f>'2018-2019 B STATEMENT '!B621</f>
        <v>300</v>
      </c>
      <c r="AS25" s="166">
        <f t="shared" si="30"/>
        <v>2.9699999999999998</v>
      </c>
      <c r="AT25" s="33">
        <f t="shared" si="31"/>
        <v>5034.3825321506229</v>
      </c>
      <c r="AU25" s="167">
        <f t="shared" si="32"/>
        <v>260.39103926828426</v>
      </c>
      <c r="AV25" s="165">
        <f>'2018-2019 B STATEMENT '!B629</f>
        <v>300</v>
      </c>
      <c r="AW25" s="166">
        <f t="shared" si="33"/>
        <v>3.3000000000000003</v>
      </c>
      <c r="AX25" s="33">
        <f t="shared" si="34"/>
        <v>5194.7735714189075</v>
      </c>
      <c r="AY25" s="167">
        <f t="shared" si="35"/>
        <v>269.2125464280399</v>
      </c>
      <c r="AZ25" s="165">
        <f>'2018-2019 B STATEMENT '!B649</f>
        <v>300</v>
      </c>
      <c r="BA25" s="166">
        <f t="shared" si="36"/>
        <v>3.3000000000000003</v>
      </c>
      <c r="BB25" s="33">
        <f t="shared" si="37"/>
        <v>5363.9861178469473</v>
      </c>
      <c r="BC25" s="167">
        <f t="shared" si="38"/>
        <v>278.51923648158208</v>
      </c>
      <c r="BD25" s="165">
        <f>'2018-2019 B STATEMENT '!B654</f>
        <v>300</v>
      </c>
      <c r="BE25" s="166">
        <f t="shared" si="39"/>
        <v>3.3000000000000003</v>
      </c>
      <c r="BF25" s="33">
        <f t="shared" si="40"/>
        <v>5542.5053543285294</v>
      </c>
      <c r="BG25" s="167">
        <f t="shared" si="41"/>
        <v>288.33779448806911</v>
      </c>
      <c r="BH25" s="165">
        <f>'2018-2019 B STATEMENT '!B672</f>
        <v>300</v>
      </c>
      <c r="BI25" s="166">
        <f t="shared" si="42"/>
        <v>3.3000000000000003</v>
      </c>
      <c r="BJ25" s="33">
        <f t="shared" si="43"/>
        <v>5730.8431488165988</v>
      </c>
      <c r="BK25" s="167">
        <f t="shared" si="44"/>
        <v>298.69637318491294</v>
      </c>
      <c r="BL25" s="87">
        <f t="shared" si="45"/>
        <v>3600</v>
      </c>
    </row>
    <row r="26" spans="1:64">
      <c r="A26" s="10" t="s">
        <v>597</v>
      </c>
      <c r="B26" s="10" t="s">
        <v>121</v>
      </c>
      <c r="C26" s="80">
        <v>0</v>
      </c>
      <c r="D26" s="79">
        <f t="shared" si="0"/>
        <v>2400</v>
      </c>
      <c r="E26" s="79">
        <f>'2019-2020 New'!J26</f>
        <v>7770.7323087036939</v>
      </c>
      <c r="F26" s="139">
        <f>'2019-2020 New'!F26</f>
        <v>0</v>
      </c>
      <c r="G26" s="187">
        <f t="shared" si="1"/>
        <v>2400</v>
      </c>
      <c r="H26" s="159">
        <f t="shared" si="2"/>
        <v>600</v>
      </c>
      <c r="I26" s="190">
        <f t="shared" si="3"/>
        <v>1800</v>
      </c>
      <c r="J26" s="78">
        <f t="shared" si="46"/>
        <v>17262.317741006296</v>
      </c>
      <c r="K26" s="78">
        <f t="shared" si="4"/>
        <v>5.9399999999999995</v>
      </c>
      <c r="L26" s="78">
        <f t="shared" si="5"/>
        <v>32.673299999999998</v>
      </c>
      <c r="M26" s="78">
        <f t="shared" si="6"/>
        <v>7691.5854323026033</v>
      </c>
      <c r="N26" s="194">
        <f t="shared" si="7"/>
        <v>7691.5854323026033</v>
      </c>
      <c r="O26" s="78">
        <f t="shared" si="8"/>
        <v>-7064.8521323026034</v>
      </c>
      <c r="P26" s="165">
        <v>0</v>
      </c>
      <c r="Q26" s="166">
        <f t="shared" si="9"/>
        <v>0</v>
      </c>
      <c r="R26" s="119">
        <f t="shared" si="10"/>
        <v>7970.7323087036939</v>
      </c>
      <c r="S26" s="167">
        <f t="shared" si="11"/>
        <v>438.39027697870318</v>
      </c>
      <c r="T26" s="165">
        <v>0</v>
      </c>
      <c r="U26" s="166">
        <f t="shared" si="12"/>
        <v>0</v>
      </c>
      <c r="V26" s="33">
        <f t="shared" si="13"/>
        <v>8609.1225856823967</v>
      </c>
      <c r="W26" s="167">
        <f t="shared" si="14"/>
        <v>473.50174221253184</v>
      </c>
      <c r="X26" s="165">
        <v>0</v>
      </c>
      <c r="Y26" s="166">
        <f t="shared" si="15"/>
        <v>0</v>
      </c>
      <c r="Z26" s="33">
        <f t="shared" si="16"/>
        <v>9282.6243278949278</v>
      </c>
      <c r="AA26" s="167">
        <f t="shared" si="17"/>
        <v>510.54433803422103</v>
      </c>
      <c r="AB26" s="165">
        <v>0</v>
      </c>
      <c r="AC26" s="166">
        <f t="shared" si="18"/>
        <v>0</v>
      </c>
      <c r="AD26" s="33">
        <f t="shared" si="19"/>
        <v>9993.1686659291481</v>
      </c>
      <c r="AE26" s="167">
        <f t="shared" si="20"/>
        <v>549.6242766261031</v>
      </c>
      <c r="AF26" s="165">
        <f>'2018-2019 B STATEMENT '!B676</f>
        <v>600</v>
      </c>
      <c r="AG26" s="166">
        <f t="shared" si="21"/>
        <v>5.9399999999999995</v>
      </c>
      <c r="AH26" s="33">
        <f t="shared" si="22"/>
        <v>10142.792942555252</v>
      </c>
      <c r="AI26" s="167">
        <f t="shared" si="23"/>
        <v>524.85361184053886</v>
      </c>
      <c r="AJ26" s="165">
        <v>0</v>
      </c>
      <c r="AK26" s="166">
        <f t="shared" si="24"/>
        <v>0</v>
      </c>
      <c r="AL26" s="33">
        <f t="shared" si="25"/>
        <v>10867.646554395791</v>
      </c>
      <c r="AM26" s="167">
        <f t="shared" si="26"/>
        <v>597.72056049176854</v>
      </c>
      <c r="AN26" s="165">
        <v>0</v>
      </c>
      <c r="AO26" s="166">
        <f t="shared" si="27"/>
        <v>0</v>
      </c>
      <c r="AP26" s="33">
        <f t="shared" si="28"/>
        <v>11665.36711488756</v>
      </c>
      <c r="AQ26" s="167">
        <f t="shared" si="29"/>
        <v>641.59519131881586</v>
      </c>
      <c r="AR26" s="165">
        <v>0</v>
      </c>
      <c r="AS26" s="166">
        <f t="shared" si="30"/>
        <v>0</v>
      </c>
      <c r="AT26" s="33">
        <f t="shared" si="31"/>
        <v>12506.962306206377</v>
      </c>
      <c r="AU26" s="167">
        <f t="shared" si="32"/>
        <v>687.8829268413507</v>
      </c>
      <c r="AV26" s="165">
        <v>0</v>
      </c>
      <c r="AW26" s="166">
        <f t="shared" si="33"/>
        <v>0</v>
      </c>
      <c r="AX26" s="33">
        <f t="shared" si="34"/>
        <v>13394.845233047727</v>
      </c>
      <c r="AY26" s="167">
        <f t="shared" si="35"/>
        <v>736.71648781762497</v>
      </c>
      <c r="AZ26" s="165">
        <v>0</v>
      </c>
      <c r="BA26" s="166">
        <f t="shared" si="36"/>
        <v>0</v>
      </c>
      <c r="BB26" s="33">
        <f t="shared" si="37"/>
        <v>14331.561720865351</v>
      </c>
      <c r="BC26" s="167">
        <f t="shared" si="38"/>
        <v>788.23589464759436</v>
      </c>
      <c r="BD26" s="165">
        <v>0</v>
      </c>
      <c r="BE26" s="166">
        <f t="shared" si="39"/>
        <v>0</v>
      </c>
      <c r="BF26" s="33">
        <f t="shared" si="40"/>
        <v>15319.797615512945</v>
      </c>
      <c r="BG26" s="167">
        <f t="shared" si="41"/>
        <v>842.58886885321203</v>
      </c>
      <c r="BH26" s="165">
        <v>0</v>
      </c>
      <c r="BI26" s="166">
        <f t="shared" si="42"/>
        <v>0</v>
      </c>
      <c r="BJ26" s="33">
        <f t="shared" si="43"/>
        <v>16362.386484366158</v>
      </c>
      <c r="BK26" s="167">
        <f t="shared" si="44"/>
        <v>899.93125664013871</v>
      </c>
      <c r="BL26" s="87">
        <f t="shared" si="45"/>
        <v>600</v>
      </c>
    </row>
    <row r="27" spans="1:64">
      <c r="A27" s="10" t="s">
        <v>598</v>
      </c>
      <c r="B27" s="10" t="s">
        <v>110</v>
      </c>
      <c r="C27" s="80">
        <v>0</v>
      </c>
      <c r="D27" s="79">
        <f t="shared" si="0"/>
        <v>2400</v>
      </c>
      <c r="E27" s="79">
        <f>'2019-2020 New'!J27</f>
        <v>2774.141880701759</v>
      </c>
      <c r="F27" s="139">
        <f>'2019-2020 New'!F27</f>
        <v>0</v>
      </c>
      <c r="G27" s="187">
        <f t="shared" si="1"/>
        <v>2400</v>
      </c>
      <c r="H27" s="159">
        <f t="shared" si="2"/>
        <v>0</v>
      </c>
      <c r="I27" s="190">
        <f t="shared" si="3"/>
        <v>2400</v>
      </c>
      <c r="J27" s="78">
        <f t="shared" si="46"/>
        <v>8731.5789373323169</v>
      </c>
      <c r="K27" s="78">
        <f t="shared" si="4"/>
        <v>0</v>
      </c>
      <c r="L27" s="78">
        <f t="shared" si="5"/>
        <v>0</v>
      </c>
      <c r="M27" s="78">
        <f t="shared" si="6"/>
        <v>3557.4370566305593</v>
      </c>
      <c r="N27" s="194">
        <f t="shared" si="7"/>
        <v>3557.4370566305593</v>
      </c>
      <c r="O27" s="78">
        <f t="shared" si="8"/>
        <v>-3557.4370566305593</v>
      </c>
      <c r="P27" s="165">
        <v>0</v>
      </c>
      <c r="Q27" s="166">
        <f t="shared" si="9"/>
        <v>0</v>
      </c>
      <c r="R27" s="119">
        <f t="shared" si="10"/>
        <v>2974.141880701759</v>
      </c>
      <c r="S27" s="167">
        <f t="shared" si="11"/>
        <v>163.57780343859673</v>
      </c>
      <c r="T27" s="165">
        <v>0</v>
      </c>
      <c r="U27" s="166">
        <f t="shared" si="12"/>
        <v>0</v>
      </c>
      <c r="V27" s="33">
        <f t="shared" si="13"/>
        <v>3337.7196841403556</v>
      </c>
      <c r="W27" s="167">
        <f t="shared" si="14"/>
        <v>183.57458262771956</v>
      </c>
      <c r="X27" s="165">
        <v>0</v>
      </c>
      <c r="Y27" s="166">
        <f t="shared" si="15"/>
        <v>0</v>
      </c>
      <c r="Z27" s="33">
        <f t="shared" si="16"/>
        <v>3721.2942667680754</v>
      </c>
      <c r="AA27" s="167">
        <f t="shared" si="17"/>
        <v>204.67118467224415</v>
      </c>
      <c r="AB27" s="165">
        <v>0</v>
      </c>
      <c r="AC27" s="166">
        <f t="shared" si="18"/>
        <v>0</v>
      </c>
      <c r="AD27" s="33">
        <f t="shared" si="19"/>
        <v>4125.9654514403192</v>
      </c>
      <c r="AE27" s="167">
        <f t="shared" si="20"/>
        <v>226.92809982921756</v>
      </c>
      <c r="AF27" s="165">
        <v>0</v>
      </c>
      <c r="AG27" s="166">
        <f t="shared" si="21"/>
        <v>0</v>
      </c>
      <c r="AH27" s="33">
        <f t="shared" si="22"/>
        <v>4552.8935512695371</v>
      </c>
      <c r="AI27" s="167">
        <f t="shared" si="23"/>
        <v>250.40914531982455</v>
      </c>
      <c r="AJ27" s="165">
        <v>0</v>
      </c>
      <c r="AK27" s="166">
        <f t="shared" si="24"/>
        <v>0</v>
      </c>
      <c r="AL27" s="33">
        <f t="shared" si="25"/>
        <v>5003.3026965893614</v>
      </c>
      <c r="AM27" s="167">
        <f t="shared" si="26"/>
        <v>275.18164831241489</v>
      </c>
      <c r="AN27" s="165">
        <v>0</v>
      </c>
      <c r="AO27" s="166">
        <f t="shared" si="27"/>
        <v>0</v>
      </c>
      <c r="AP27" s="33">
        <f t="shared" si="28"/>
        <v>5478.4843449017762</v>
      </c>
      <c r="AQ27" s="167">
        <f t="shared" si="29"/>
        <v>301.3166389695977</v>
      </c>
      <c r="AR27" s="165">
        <v>0</v>
      </c>
      <c r="AS27" s="166">
        <f t="shared" si="30"/>
        <v>0</v>
      </c>
      <c r="AT27" s="33">
        <f t="shared" si="31"/>
        <v>5979.8009838713742</v>
      </c>
      <c r="AU27" s="167">
        <f t="shared" si="32"/>
        <v>328.88905411292558</v>
      </c>
      <c r="AV27" s="165">
        <v>0</v>
      </c>
      <c r="AW27" s="166">
        <f t="shared" si="33"/>
        <v>0</v>
      </c>
      <c r="AX27" s="33">
        <f t="shared" si="34"/>
        <v>6508.6900379843</v>
      </c>
      <c r="AY27" s="167">
        <f t="shared" si="35"/>
        <v>357.97795208913652</v>
      </c>
      <c r="AZ27" s="165">
        <v>0</v>
      </c>
      <c r="BA27" s="166">
        <f t="shared" si="36"/>
        <v>0</v>
      </c>
      <c r="BB27" s="33">
        <f t="shared" si="37"/>
        <v>7066.6679900734362</v>
      </c>
      <c r="BC27" s="167">
        <f t="shared" si="38"/>
        <v>388.66673945403898</v>
      </c>
      <c r="BD27" s="165">
        <v>0</v>
      </c>
      <c r="BE27" s="166">
        <f t="shared" si="39"/>
        <v>0</v>
      </c>
      <c r="BF27" s="33">
        <f t="shared" si="40"/>
        <v>7655.3347295274752</v>
      </c>
      <c r="BG27" s="167">
        <f t="shared" si="41"/>
        <v>421.04341012401113</v>
      </c>
      <c r="BH27" s="165">
        <v>0</v>
      </c>
      <c r="BI27" s="166">
        <f t="shared" si="42"/>
        <v>0</v>
      </c>
      <c r="BJ27" s="33">
        <f t="shared" si="43"/>
        <v>8276.378139651486</v>
      </c>
      <c r="BK27" s="167">
        <f t="shared" si="44"/>
        <v>455.20079768083173</v>
      </c>
      <c r="BL27" s="87">
        <f t="shared" si="45"/>
        <v>0</v>
      </c>
    </row>
    <row r="28" spans="1:64">
      <c r="A28" s="10" t="s">
        <v>599</v>
      </c>
      <c r="B28" s="10" t="s">
        <v>116</v>
      </c>
      <c r="C28" s="80">
        <v>0</v>
      </c>
      <c r="D28" s="79">
        <f t="shared" si="0"/>
        <v>2400</v>
      </c>
      <c r="E28" s="79">
        <f>'2019-2020 New'!J28</f>
        <v>6289.3557233323963</v>
      </c>
      <c r="F28" s="139">
        <f>'2019-2020 New'!F28</f>
        <v>0</v>
      </c>
      <c r="G28" s="187">
        <f t="shared" si="1"/>
        <v>2400</v>
      </c>
      <c r="H28" s="159">
        <f t="shared" si="2"/>
        <v>800</v>
      </c>
      <c r="I28" s="190">
        <f t="shared" si="3"/>
        <v>1600</v>
      </c>
      <c r="J28" s="78">
        <f t="shared" si="46"/>
        <v>14477.889808985376</v>
      </c>
      <c r="K28" s="78">
        <f t="shared" si="4"/>
        <v>8.8000000000000007</v>
      </c>
      <c r="L28" s="78">
        <f t="shared" si="5"/>
        <v>43.516000000000005</v>
      </c>
      <c r="M28" s="78">
        <f t="shared" si="6"/>
        <v>6588.5340856529792</v>
      </c>
      <c r="N28" s="194">
        <f t="shared" si="7"/>
        <v>6588.5340856529792</v>
      </c>
      <c r="O28" s="78">
        <f t="shared" si="8"/>
        <v>-5753.8180856529798</v>
      </c>
      <c r="P28" s="165">
        <v>0</v>
      </c>
      <c r="Q28" s="166">
        <f t="shared" si="9"/>
        <v>0</v>
      </c>
      <c r="R28" s="119">
        <f t="shared" si="10"/>
        <v>6489.3557233323963</v>
      </c>
      <c r="S28" s="167">
        <f t="shared" si="11"/>
        <v>356.91456478328178</v>
      </c>
      <c r="T28" s="165">
        <v>0</v>
      </c>
      <c r="U28" s="166">
        <f t="shared" si="12"/>
        <v>0</v>
      </c>
      <c r="V28" s="33">
        <f t="shared" si="13"/>
        <v>7046.2702881156783</v>
      </c>
      <c r="W28" s="167">
        <f t="shared" si="14"/>
        <v>387.54486584636231</v>
      </c>
      <c r="X28" s="165">
        <v>0</v>
      </c>
      <c r="Y28" s="166">
        <f t="shared" si="15"/>
        <v>0</v>
      </c>
      <c r="Z28" s="33">
        <f t="shared" si="16"/>
        <v>7633.8151539620403</v>
      </c>
      <c r="AA28" s="167">
        <f t="shared" si="17"/>
        <v>419.85983346791221</v>
      </c>
      <c r="AB28" s="165">
        <v>0</v>
      </c>
      <c r="AC28" s="166">
        <f t="shared" si="18"/>
        <v>0</v>
      </c>
      <c r="AD28" s="33">
        <f t="shared" si="19"/>
        <v>8253.674987429953</v>
      </c>
      <c r="AE28" s="167">
        <f t="shared" si="20"/>
        <v>453.9521243086474</v>
      </c>
      <c r="AF28" s="165">
        <v>0</v>
      </c>
      <c r="AG28" s="166">
        <f t="shared" si="21"/>
        <v>0</v>
      </c>
      <c r="AH28" s="33">
        <f t="shared" si="22"/>
        <v>8907.6271117386004</v>
      </c>
      <c r="AI28" s="167">
        <f t="shared" si="23"/>
        <v>489.919491145623</v>
      </c>
      <c r="AJ28" s="165">
        <v>0</v>
      </c>
      <c r="AK28" s="166">
        <f t="shared" si="24"/>
        <v>0</v>
      </c>
      <c r="AL28" s="33">
        <f t="shared" si="25"/>
        <v>9597.5466028842238</v>
      </c>
      <c r="AM28" s="167">
        <f t="shared" si="26"/>
        <v>527.86506315863232</v>
      </c>
      <c r="AN28" s="165">
        <v>0</v>
      </c>
      <c r="AO28" s="166">
        <f t="shared" si="27"/>
        <v>0</v>
      </c>
      <c r="AP28" s="33">
        <f t="shared" si="28"/>
        <v>10325.411666042855</v>
      </c>
      <c r="AQ28" s="167">
        <f t="shared" si="29"/>
        <v>567.89764163235702</v>
      </c>
      <c r="AR28" s="165">
        <v>0</v>
      </c>
      <c r="AS28" s="166">
        <f t="shared" si="30"/>
        <v>0</v>
      </c>
      <c r="AT28" s="33">
        <f t="shared" si="31"/>
        <v>11093.309307675212</v>
      </c>
      <c r="AU28" s="167">
        <f t="shared" si="32"/>
        <v>610.13201192213671</v>
      </c>
      <c r="AV28" s="165">
        <v>0</v>
      </c>
      <c r="AW28" s="166">
        <f t="shared" si="33"/>
        <v>0</v>
      </c>
      <c r="AX28" s="33">
        <f t="shared" si="34"/>
        <v>11903.441319597348</v>
      </c>
      <c r="AY28" s="167">
        <f t="shared" si="35"/>
        <v>654.68927257785413</v>
      </c>
      <c r="AZ28" s="165">
        <v>0</v>
      </c>
      <c r="BA28" s="166">
        <f t="shared" si="36"/>
        <v>0</v>
      </c>
      <c r="BB28" s="33">
        <f t="shared" si="37"/>
        <v>12758.130592175203</v>
      </c>
      <c r="BC28" s="167">
        <f t="shared" si="38"/>
        <v>701.6971825696362</v>
      </c>
      <c r="BD28" s="165">
        <f>'2018-2019 B STATEMENT '!B761+'2018-2019 B STATEMENT '!B762+'2018-2019 B STATEMENT '!B763+'2018-2019 B STATEMENT '!B764</f>
        <v>800</v>
      </c>
      <c r="BE28" s="166">
        <f t="shared" si="39"/>
        <v>8.8000000000000007</v>
      </c>
      <c r="BF28" s="33">
        <f t="shared" si="40"/>
        <v>12859.827774744839</v>
      </c>
      <c r="BG28" s="167">
        <f t="shared" si="41"/>
        <v>663.29052761096614</v>
      </c>
      <c r="BH28" s="165">
        <v>0</v>
      </c>
      <c r="BI28" s="166">
        <f t="shared" si="42"/>
        <v>0</v>
      </c>
      <c r="BJ28" s="33">
        <f t="shared" si="43"/>
        <v>13723.118302355806</v>
      </c>
      <c r="BK28" s="167">
        <f t="shared" si="44"/>
        <v>754.77150662956933</v>
      </c>
      <c r="BL28" s="87">
        <f t="shared" si="45"/>
        <v>800</v>
      </c>
    </row>
    <row r="29" spans="1:64">
      <c r="A29" s="10" t="s">
        <v>600</v>
      </c>
      <c r="B29" s="10" t="s">
        <v>141</v>
      </c>
      <c r="C29" s="80">
        <v>0</v>
      </c>
      <c r="D29" s="79">
        <f t="shared" si="0"/>
        <v>2400</v>
      </c>
      <c r="E29" s="79">
        <f>'2019-2020 New'!J29</f>
        <v>5947.4803757604604</v>
      </c>
      <c r="F29" s="139">
        <f>'2019-2020 New'!F29</f>
        <v>3000</v>
      </c>
      <c r="G29" s="187">
        <f t="shared" si="1"/>
        <v>2400</v>
      </c>
      <c r="H29" s="159">
        <f t="shared" si="2"/>
        <v>0</v>
      </c>
      <c r="I29" s="190">
        <f t="shared" si="3"/>
        <v>2400</v>
      </c>
      <c r="J29" s="78">
        <f t="shared" si="46"/>
        <v>14764.753838985147</v>
      </c>
      <c r="K29" s="78">
        <f t="shared" si="4"/>
        <v>0</v>
      </c>
      <c r="L29" s="78">
        <f t="shared" si="5"/>
        <v>0</v>
      </c>
      <c r="M29" s="78">
        <f t="shared" si="6"/>
        <v>6417.2734632246857</v>
      </c>
      <c r="N29" s="194">
        <f t="shared" si="7"/>
        <v>6417.2734632246857</v>
      </c>
      <c r="O29" s="78">
        <f t="shared" si="8"/>
        <v>-6417.2734632246857</v>
      </c>
      <c r="P29" s="165">
        <v>0</v>
      </c>
      <c r="Q29" s="166">
        <f t="shared" si="9"/>
        <v>0</v>
      </c>
      <c r="R29" s="119">
        <f t="shared" si="10"/>
        <v>6147.4803757604604</v>
      </c>
      <c r="S29" s="167">
        <f t="shared" si="11"/>
        <v>338.11142066682532</v>
      </c>
      <c r="T29" s="165">
        <v>0</v>
      </c>
      <c r="U29" s="166">
        <f t="shared" si="12"/>
        <v>0</v>
      </c>
      <c r="V29" s="33">
        <f t="shared" si="13"/>
        <v>6685.5917964272858</v>
      </c>
      <c r="W29" s="167">
        <f t="shared" si="14"/>
        <v>367.70754880350074</v>
      </c>
      <c r="X29" s="165">
        <v>0</v>
      </c>
      <c r="Y29" s="166">
        <f t="shared" si="15"/>
        <v>0</v>
      </c>
      <c r="Z29" s="33">
        <f t="shared" si="16"/>
        <v>7253.2993452307865</v>
      </c>
      <c r="AA29" s="167">
        <f t="shared" si="17"/>
        <v>398.93146398769323</v>
      </c>
      <c r="AB29" s="165">
        <v>0</v>
      </c>
      <c r="AC29" s="166">
        <f t="shared" si="18"/>
        <v>0</v>
      </c>
      <c r="AD29" s="33">
        <f t="shared" si="19"/>
        <v>7852.2308092184794</v>
      </c>
      <c r="AE29" s="167">
        <f t="shared" si="20"/>
        <v>431.87269450701638</v>
      </c>
      <c r="AF29" s="165">
        <v>0</v>
      </c>
      <c r="AG29" s="166">
        <f t="shared" si="21"/>
        <v>0</v>
      </c>
      <c r="AH29" s="33">
        <f t="shared" si="22"/>
        <v>8484.1035037254951</v>
      </c>
      <c r="AI29" s="167">
        <f t="shared" si="23"/>
        <v>466.62569270490224</v>
      </c>
      <c r="AJ29" s="165">
        <v>0</v>
      </c>
      <c r="AK29" s="166">
        <f t="shared" si="24"/>
        <v>0</v>
      </c>
      <c r="AL29" s="33">
        <f t="shared" si="25"/>
        <v>9150.7291964303968</v>
      </c>
      <c r="AM29" s="167">
        <f t="shared" si="26"/>
        <v>503.29010580367185</v>
      </c>
      <c r="AN29" s="165">
        <v>0</v>
      </c>
      <c r="AO29" s="166">
        <f t="shared" si="27"/>
        <v>0</v>
      </c>
      <c r="AP29" s="33">
        <f t="shared" si="28"/>
        <v>9854.0193022340682</v>
      </c>
      <c r="AQ29" s="167">
        <f t="shared" si="29"/>
        <v>541.97106162287378</v>
      </c>
      <c r="AR29" s="165">
        <v>0</v>
      </c>
      <c r="AS29" s="166">
        <f t="shared" si="30"/>
        <v>0</v>
      </c>
      <c r="AT29" s="33">
        <f t="shared" si="31"/>
        <v>10595.990363856941</v>
      </c>
      <c r="AU29" s="167">
        <f t="shared" si="32"/>
        <v>582.77947001213181</v>
      </c>
      <c r="AV29" s="165">
        <v>0</v>
      </c>
      <c r="AW29" s="166">
        <f t="shared" si="33"/>
        <v>0</v>
      </c>
      <c r="AX29" s="33">
        <f t="shared" si="34"/>
        <v>11378.769833869073</v>
      </c>
      <c r="AY29" s="167">
        <f t="shared" si="35"/>
        <v>625.83234086279901</v>
      </c>
      <c r="AZ29" s="165">
        <v>0</v>
      </c>
      <c r="BA29" s="166">
        <f t="shared" si="36"/>
        <v>0</v>
      </c>
      <c r="BB29" s="33">
        <f t="shared" si="37"/>
        <v>12204.602174731872</v>
      </c>
      <c r="BC29" s="167">
        <f t="shared" si="38"/>
        <v>671.25311961025295</v>
      </c>
      <c r="BD29" s="165">
        <v>0</v>
      </c>
      <c r="BE29" s="166">
        <f t="shared" si="39"/>
        <v>0</v>
      </c>
      <c r="BF29" s="33">
        <f t="shared" si="40"/>
        <v>13075.855294342125</v>
      </c>
      <c r="BG29" s="167">
        <f t="shared" si="41"/>
        <v>719.17204118881693</v>
      </c>
      <c r="BH29" s="165">
        <v>0</v>
      </c>
      <c r="BI29" s="166">
        <f t="shared" si="42"/>
        <v>0</v>
      </c>
      <c r="BJ29" s="33">
        <f t="shared" si="43"/>
        <v>13995.027335530942</v>
      </c>
      <c r="BK29" s="167">
        <f t="shared" si="44"/>
        <v>769.72650345420186</v>
      </c>
      <c r="BL29" s="87">
        <f t="shared" si="45"/>
        <v>0</v>
      </c>
    </row>
    <row r="30" spans="1:64">
      <c r="A30" s="10" t="s">
        <v>601</v>
      </c>
      <c r="B30" s="10" t="s">
        <v>122</v>
      </c>
      <c r="C30" s="80">
        <v>0</v>
      </c>
      <c r="D30" s="79">
        <f t="shared" si="0"/>
        <v>2400</v>
      </c>
      <c r="E30" s="79">
        <f>'2019-2020 New'!J30</f>
        <v>4733.3008137245561</v>
      </c>
      <c r="F30" s="139">
        <f>'2019-2020 New'!F30</f>
        <v>200</v>
      </c>
      <c r="G30" s="187">
        <f t="shared" si="1"/>
        <v>2400</v>
      </c>
      <c r="H30" s="159">
        <f t="shared" si="2"/>
        <v>2200</v>
      </c>
      <c r="I30" s="190">
        <f t="shared" si="3"/>
        <v>200</v>
      </c>
      <c r="J30" s="78">
        <f t="shared" si="46"/>
        <v>10038.293385755764</v>
      </c>
      <c r="K30" s="78">
        <f t="shared" si="4"/>
        <v>21.779999999999998</v>
      </c>
      <c r="L30" s="78">
        <f t="shared" si="5"/>
        <v>119.8021</v>
      </c>
      <c r="M30" s="78">
        <f t="shared" si="6"/>
        <v>5104.9925720312076</v>
      </c>
      <c r="N30" s="194">
        <f t="shared" si="7"/>
        <v>5104.9925720312076</v>
      </c>
      <c r="O30" s="78">
        <f t="shared" si="8"/>
        <v>-2806.9704720312079</v>
      </c>
      <c r="P30" s="165">
        <f>'2018-2019 B STATEMENT '!B604</f>
        <v>2200</v>
      </c>
      <c r="Q30" s="166">
        <f t="shared" si="9"/>
        <v>21.779999999999998</v>
      </c>
      <c r="R30" s="119">
        <f t="shared" si="10"/>
        <v>4933.3008137245561</v>
      </c>
      <c r="S30" s="167">
        <f t="shared" si="11"/>
        <v>150.3315447548506</v>
      </c>
      <c r="T30" s="165">
        <v>0</v>
      </c>
      <c r="U30" s="166">
        <f t="shared" si="12"/>
        <v>0</v>
      </c>
      <c r="V30" s="33">
        <f t="shared" si="13"/>
        <v>5283.6323584794063</v>
      </c>
      <c r="W30" s="167">
        <f t="shared" si="14"/>
        <v>290.59977971636732</v>
      </c>
      <c r="X30" s="165">
        <v>0</v>
      </c>
      <c r="Y30" s="166">
        <f t="shared" si="15"/>
        <v>0</v>
      </c>
      <c r="Z30" s="33">
        <f t="shared" si="16"/>
        <v>5774.2321381957736</v>
      </c>
      <c r="AA30" s="167">
        <f t="shared" si="17"/>
        <v>317.58276760076757</v>
      </c>
      <c r="AB30" s="165">
        <v>0</v>
      </c>
      <c r="AC30" s="166">
        <f t="shared" si="18"/>
        <v>0</v>
      </c>
      <c r="AD30" s="33">
        <f t="shared" si="19"/>
        <v>6291.8149057965411</v>
      </c>
      <c r="AE30" s="167">
        <f t="shared" si="20"/>
        <v>346.04981981880974</v>
      </c>
      <c r="AF30" s="165">
        <v>0</v>
      </c>
      <c r="AG30" s="166">
        <f t="shared" si="21"/>
        <v>0</v>
      </c>
      <c r="AH30" s="33">
        <f t="shared" si="22"/>
        <v>6837.8647256153508</v>
      </c>
      <c r="AI30" s="167">
        <f t="shared" si="23"/>
        <v>376.0825599088443</v>
      </c>
      <c r="AJ30" s="165">
        <v>0</v>
      </c>
      <c r="AK30" s="166">
        <f t="shared" si="24"/>
        <v>0</v>
      </c>
      <c r="AL30" s="33">
        <f t="shared" si="25"/>
        <v>7413.9472855241947</v>
      </c>
      <c r="AM30" s="167">
        <f t="shared" si="26"/>
        <v>407.76710070383069</v>
      </c>
      <c r="AN30" s="165">
        <v>0</v>
      </c>
      <c r="AO30" s="166">
        <f t="shared" si="27"/>
        <v>0</v>
      </c>
      <c r="AP30" s="33">
        <f t="shared" si="28"/>
        <v>8021.7143862280254</v>
      </c>
      <c r="AQ30" s="167">
        <f t="shared" si="29"/>
        <v>441.1942912425414</v>
      </c>
      <c r="AR30" s="165">
        <v>0</v>
      </c>
      <c r="AS30" s="166">
        <f t="shared" si="30"/>
        <v>0</v>
      </c>
      <c r="AT30" s="33">
        <f t="shared" si="31"/>
        <v>8662.9086774705665</v>
      </c>
      <c r="AU30" s="167">
        <f t="shared" si="32"/>
        <v>476.45997726088115</v>
      </c>
      <c r="AV30" s="165">
        <v>0</v>
      </c>
      <c r="AW30" s="166">
        <f t="shared" si="33"/>
        <v>0</v>
      </c>
      <c r="AX30" s="33">
        <f t="shared" si="34"/>
        <v>9339.3686547314483</v>
      </c>
      <c r="AY30" s="167">
        <f t="shared" si="35"/>
        <v>513.6652760102296</v>
      </c>
      <c r="AZ30" s="165">
        <v>0</v>
      </c>
      <c r="BA30" s="166">
        <f t="shared" si="36"/>
        <v>0</v>
      </c>
      <c r="BB30" s="33">
        <f t="shared" si="37"/>
        <v>10053.033930741678</v>
      </c>
      <c r="BC30" s="167">
        <f t="shared" si="38"/>
        <v>552.91686619079235</v>
      </c>
      <c r="BD30" s="165">
        <v>0</v>
      </c>
      <c r="BE30" s="166">
        <f t="shared" si="39"/>
        <v>0</v>
      </c>
      <c r="BF30" s="33">
        <f t="shared" si="40"/>
        <v>10805.95079693247</v>
      </c>
      <c r="BG30" s="167">
        <f t="shared" si="41"/>
        <v>594.32729383128583</v>
      </c>
      <c r="BH30" s="165">
        <v>0</v>
      </c>
      <c r="BI30" s="166">
        <f t="shared" si="42"/>
        <v>0</v>
      </c>
      <c r="BJ30" s="33">
        <f t="shared" si="43"/>
        <v>11600.278090763755</v>
      </c>
      <c r="BK30" s="167">
        <f t="shared" si="44"/>
        <v>638.01529499200649</v>
      </c>
      <c r="BL30" s="87">
        <f t="shared" si="45"/>
        <v>2200</v>
      </c>
    </row>
    <row r="31" spans="1:64">
      <c r="A31" s="10" t="s">
        <v>602</v>
      </c>
      <c r="B31" s="10" t="s">
        <v>116</v>
      </c>
      <c r="C31" s="80">
        <v>0</v>
      </c>
      <c r="D31" s="79">
        <f t="shared" si="0"/>
        <v>2400</v>
      </c>
      <c r="E31" s="79">
        <f>'2019-2020 New'!J31</f>
        <v>1550.3139986384458</v>
      </c>
      <c r="F31" s="139">
        <f>'2019-2020 New'!F31</f>
        <v>0</v>
      </c>
      <c r="G31" s="187">
        <f t="shared" si="1"/>
        <v>2400</v>
      </c>
      <c r="H31" s="159">
        <f t="shared" si="2"/>
        <v>2100</v>
      </c>
      <c r="I31" s="190">
        <f t="shared" si="3"/>
        <v>300</v>
      </c>
      <c r="J31" s="78">
        <f t="shared" si="46"/>
        <v>3491.6259450202165</v>
      </c>
      <c r="K31" s="78">
        <f t="shared" si="4"/>
        <v>21.34</v>
      </c>
      <c r="L31" s="78">
        <f t="shared" si="5"/>
        <v>114.32629999999999</v>
      </c>
      <c r="M31" s="78">
        <f t="shared" si="6"/>
        <v>1641.3119463817707</v>
      </c>
      <c r="N31" s="194">
        <f t="shared" si="7"/>
        <v>1641.3119463817707</v>
      </c>
      <c r="O31" s="78">
        <f t="shared" si="8"/>
        <v>551.67435361822913</v>
      </c>
      <c r="P31" s="165">
        <f>'2018-2019 B STATEMENT '!B588</f>
        <v>500</v>
      </c>
      <c r="Q31" s="166">
        <f t="shared" si="9"/>
        <v>4.9499999999999993</v>
      </c>
      <c r="R31" s="119">
        <f t="shared" si="10"/>
        <v>1750.3139986384458</v>
      </c>
      <c r="S31" s="167">
        <f t="shared" si="11"/>
        <v>68.767269925114519</v>
      </c>
      <c r="T31" s="165">
        <v>0</v>
      </c>
      <c r="U31" s="166">
        <f t="shared" si="12"/>
        <v>0</v>
      </c>
      <c r="V31" s="33">
        <f t="shared" si="13"/>
        <v>2019.0812685635603</v>
      </c>
      <c r="W31" s="167">
        <f t="shared" si="14"/>
        <v>111.04946977099581</v>
      </c>
      <c r="X31" s="165">
        <v>0</v>
      </c>
      <c r="Y31" s="166">
        <f t="shared" si="15"/>
        <v>0</v>
      </c>
      <c r="Z31" s="33">
        <f t="shared" si="16"/>
        <v>2330.1307383345561</v>
      </c>
      <c r="AA31" s="167">
        <f t="shared" si="17"/>
        <v>128.15719060840058</v>
      </c>
      <c r="AB31" s="165">
        <f>'2018-2019 B STATEMENT '!B656</f>
        <v>200</v>
      </c>
      <c r="AC31" s="166">
        <f t="shared" si="18"/>
        <v>1.9799999999999998</v>
      </c>
      <c r="AD31" s="33">
        <f t="shared" si="19"/>
        <v>2458.2879289429566</v>
      </c>
      <c r="AE31" s="167">
        <f t="shared" si="20"/>
        <v>124.20583609186261</v>
      </c>
      <c r="AF31" s="165">
        <f>'2018-2019 B STATEMENT '!B686</f>
        <v>400</v>
      </c>
      <c r="AG31" s="166">
        <f t="shared" si="21"/>
        <v>3.9599999999999995</v>
      </c>
      <c r="AH31" s="33">
        <f t="shared" si="22"/>
        <v>2382.4937650348193</v>
      </c>
      <c r="AI31" s="167">
        <f t="shared" si="23"/>
        <v>109.03715707691507</v>
      </c>
      <c r="AJ31" s="165">
        <v>0</v>
      </c>
      <c r="AK31" s="166">
        <f t="shared" si="24"/>
        <v>0</v>
      </c>
      <c r="AL31" s="33">
        <f t="shared" si="25"/>
        <v>2691.5309221117345</v>
      </c>
      <c r="AM31" s="167">
        <f t="shared" si="26"/>
        <v>148.03420071614539</v>
      </c>
      <c r="AN31" s="165">
        <f>'2018-2019 B STATEMENT '!B708</f>
        <v>500</v>
      </c>
      <c r="AO31" s="166">
        <f t="shared" si="27"/>
        <v>4.9499999999999993</v>
      </c>
      <c r="AP31" s="33">
        <f t="shared" si="28"/>
        <v>2539.5651228278798</v>
      </c>
      <c r="AQ31" s="167">
        <f t="shared" si="29"/>
        <v>112.17608175553339</v>
      </c>
      <c r="AR31" s="165">
        <v>0</v>
      </c>
      <c r="AS31" s="166">
        <f t="shared" si="30"/>
        <v>0</v>
      </c>
      <c r="AT31" s="33">
        <f t="shared" si="31"/>
        <v>2851.741204583413</v>
      </c>
      <c r="AU31" s="167">
        <f t="shared" si="32"/>
        <v>156.84576625208771</v>
      </c>
      <c r="AV31" s="165">
        <f>'2018-2019 B STATEMENT '!B727</f>
        <v>500</v>
      </c>
      <c r="AW31" s="166">
        <f t="shared" si="33"/>
        <v>5.5000000000000009</v>
      </c>
      <c r="AX31" s="33">
        <f t="shared" si="34"/>
        <v>2708.5869708355008</v>
      </c>
      <c r="AY31" s="167">
        <f t="shared" si="35"/>
        <v>121.47228339595254</v>
      </c>
      <c r="AZ31" s="165">
        <v>0</v>
      </c>
      <c r="BA31" s="166">
        <f t="shared" si="36"/>
        <v>0</v>
      </c>
      <c r="BB31" s="33">
        <f t="shared" si="37"/>
        <v>3030.0592542314535</v>
      </c>
      <c r="BC31" s="167">
        <f t="shared" si="38"/>
        <v>166.65325898272994</v>
      </c>
      <c r="BD31" s="165">
        <v>0</v>
      </c>
      <c r="BE31" s="166">
        <f t="shared" si="39"/>
        <v>0</v>
      </c>
      <c r="BF31" s="33">
        <f t="shared" si="40"/>
        <v>3396.7125132141832</v>
      </c>
      <c r="BG31" s="167">
        <f t="shared" si="41"/>
        <v>186.81918822678008</v>
      </c>
      <c r="BH31" s="165">
        <v>0</v>
      </c>
      <c r="BI31" s="166">
        <f t="shared" si="42"/>
        <v>0</v>
      </c>
      <c r="BJ31" s="33">
        <f t="shared" si="43"/>
        <v>3783.5317014409634</v>
      </c>
      <c r="BK31" s="167">
        <f t="shared" si="44"/>
        <v>208.09424357925297</v>
      </c>
      <c r="BL31" s="87">
        <f t="shared" si="45"/>
        <v>2100</v>
      </c>
    </row>
    <row r="32" spans="1:64">
      <c r="A32" s="10" t="s">
        <v>603</v>
      </c>
      <c r="B32" s="10" t="s">
        <v>115</v>
      </c>
      <c r="C32" s="80">
        <v>0</v>
      </c>
      <c r="D32" s="79">
        <f t="shared" si="0"/>
        <v>2400</v>
      </c>
      <c r="E32" s="79">
        <f>'2019-2020 New'!J32</f>
        <v>4788.2048672158653</v>
      </c>
      <c r="F32" s="139">
        <f>'2019-2020 New'!F32</f>
        <v>0</v>
      </c>
      <c r="G32" s="187">
        <f t="shared" si="1"/>
        <v>2400</v>
      </c>
      <c r="H32" s="159">
        <f t="shared" si="2"/>
        <v>6300</v>
      </c>
      <c r="I32" s="190">
        <f t="shared" si="3"/>
        <v>-3900</v>
      </c>
      <c r="J32" s="78">
        <f t="shared" si="46"/>
        <v>3485.7395963966446</v>
      </c>
      <c r="K32" s="78">
        <f t="shared" si="4"/>
        <v>62.699999999999989</v>
      </c>
      <c r="L32" s="78">
        <f t="shared" si="5"/>
        <v>343.05150000000003</v>
      </c>
      <c r="M32" s="78">
        <f t="shared" si="6"/>
        <v>2597.5347291807793</v>
      </c>
      <c r="N32" s="194">
        <f t="shared" si="7"/>
        <v>2597.5347291807793</v>
      </c>
      <c r="O32" s="78">
        <f t="shared" si="8"/>
        <v>3982.8167708192209</v>
      </c>
      <c r="P32" s="165">
        <v>0</v>
      </c>
      <c r="Q32" s="166">
        <f t="shared" si="9"/>
        <v>0</v>
      </c>
      <c r="R32" s="119">
        <f t="shared" si="10"/>
        <v>4988.2048672158653</v>
      </c>
      <c r="S32" s="167">
        <f t="shared" si="11"/>
        <v>274.35126769687258</v>
      </c>
      <c r="T32" s="165">
        <v>0</v>
      </c>
      <c r="U32" s="166">
        <f t="shared" si="12"/>
        <v>0</v>
      </c>
      <c r="V32" s="33">
        <f t="shared" si="13"/>
        <v>5462.5561349127383</v>
      </c>
      <c r="W32" s="167">
        <f t="shared" si="14"/>
        <v>300.44058742020059</v>
      </c>
      <c r="X32" s="165">
        <v>0</v>
      </c>
      <c r="Y32" s="166">
        <f t="shared" si="15"/>
        <v>0</v>
      </c>
      <c r="Z32" s="33">
        <f t="shared" si="16"/>
        <v>5962.9967223329386</v>
      </c>
      <c r="AA32" s="167">
        <f t="shared" si="17"/>
        <v>327.96481972831162</v>
      </c>
      <c r="AB32" s="165">
        <v>0</v>
      </c>
      <c r="AC32" s="166">
        <f t="shared" si="18"/>
        <v>0</v>
      </c>
      <c r="AD32" s="33">
        <f t="shared" si="19"/>
        <v>6490.9615420612499</v>
      </c>
      <c r="AE32" s="167">
        <f t="shared" si="20"/>
        <v>357.00288481336872</v>
      </c>
      <c r="AF32" s="165">
        <v>0</v>
      </c>
      <c r="AG32" s="166">
        <f t="shared" si="21"/>
        <v>0</v>
      </c>
      <c r="AH32" s="33">
        <f t="shared" si="22"/>
        <v>7047.9644268746188</v>
      </c>
      <c r="AI32" s="167">
        <f t="shared" si="23"/>
        <v>387.63804347810401</v>
      </c>
      <c r="AJ32" s="165">
        <v>0</v>
      </c>
      <c r="AK32" s="166">
        <f t="shared" si="24"/>
        <v>0</v>
      </c>
      <c r="AL32" s="33">
        <f t="shared" si="25"/>
        <v>7635.6024703527228</v>
      </c>
      <c r="AM32" s="167">
        <f t="shared" si="26"/>
        <v>419.95813586939977</v>
      </c>
      <c r="AN32" s="165">
        <f>'2018-2019 B STATEMENT '!B715</f>
        <v>6000</v>
      </c>
      <c r="AO32" s="166">
        <f t="shared" si="27"/>
        <v>59.399999999999991</v>
      </c>
      <c r="AP32" s="33">
        <f t="shared" si="28"/>
        <v>2255.5606062221227</v>
      </c>
      <c r="AQ32" s="167">
        <f t="shared" si="29"/>
        <v>-205.94416665778326</v>
      </c>
      <c r="AR32" s="165">
        <v>0</v>
      </c>
      <c r="AS32" s="166">
        <f t="shared" si="30"/>
        <v>0</v>
      </c>
      <c r="AT32" s="33">
        <f t="shared" si="31"/>
        <v>2249.6164395643395</v>
      </c>
      <c r="AU32" s="167">
        <f t="shared" si="32"/>
        <v>123.72890417603868</v>
      </c>
      <c r="AV32" s="165">
        <v>0</v>
      </c>
      <c r="AW32" s="166">
        <f t="shared" si="33"/>
        <v>0</v>
      </c>
      <c r="AX32" s="33">
        <f t="shared" si="34"/>
        <v>2573.3453437403782</v>
      </c>
      <c r="AY32" s="167">
        <f t="shared" si="35"/>
        <v>141.53399390572079</v>
      </c>
      <c r="AZ32" s="165">
        <f>'2018-2019 B STATEMENT '!B747</f>
        <v>300</v>
      </c>
      <c r="BA32" s="166">
        <f t="shared" si="36"/>
        <v>3.3000000000000003</v>
      </c>
      <c r="BB32" s="33">
        <f t="shared" si="37"/>
        <v>2614.879337646099</v>
      </c>
      <c r="BC32" s="167">
        <f t="shared" si="38"/>
        <v>127.31836357053544</v>
      </c>
      <c r="BD32" s="165">
        <v>0</v>
      </c>
      <c r="BE32" s="166">
        <f t="shared" si="39"/>
        <v>0</v>
      </c>
      <c r="BF32" s="33">
        <f t="shared" si="40"/>
        <v>2942.1977012166344</v>
      </c>
      <c r="BG32" s="167">
        <f t="shared" si="41"/>
        <v>161.82087356691488</v>
      </c>
      <c r="BH32" s="165">
        <v>0</v>
      </c>
      <c r="BI32" s="166">
        <f t="shared" si="42"/>
        <v>0</v>
      </c>
      <c r="BJ32" s="33">
        <f t="shared" si="43"/>
        <v>3304.0185747835494</v>
      </c>
      <c r="BK32" s="167">
        <f t="shared" si="44"/>
        <v>181.72102161309522</v>
      </c>
      <c r="BL32" s="87">
        <f t="shared" si="45"/>
        <v>6300</v>
      </c>
    </row>
    <row r="33" spans="1:64">
      <c r="A33" s="10" t="s">
        <v>604</v>
      </c>
      <c r="B33" s="10" t="s">
        <v>123</v>
      </c>
      <c r="C33" s="80">
        <v>0</v>
      </c>
      <c r="D33" s="79">
        <f t="shared" si="0"/>
        <v>2400</v>
      </c>
      <c r="E33" s="79">
        <f>'2019-2020 New'!J33</f>
        <v>7069.653850126675</v>
      </c>
      <c r="F33" s="139">
        <f>'2019-2020 New'!F33</f>
        <v>200</v>
      </c>
      <c r="G33" s="187">
        <f t="shared" si="1"/>
        <v>2400</v>
      </c>
      <c r="H33" s="159">
        <f t="shared" si="2"/>
        <v>0</v>
      </c>
      <c r="I33" s="190">
        <f t="shared" si="3"/>
        <v>2400</v>
      </c>
      <c r="J33" s="78">
        <f t="shared" si="46"/>
        <v>16898.238448770389</v>
      </c>
      <c r="K33" s="78">
        <f t="shared" si="4"/>
        <v>0</v>
      </c>
      <c r="L33" s="78">
        <f t="shared" si="5"/>
        <v>0</v>
      </c>
      <c r="M33" s="78">
        <f t="shared" si="6"/>
        <v>7428.5845986437153</v>
      </c>
      <c r="N33" s="194">
        <f t="shared" si="7"/>
        <v>7428.5845986437153</v>
      </c>
      <c r="O33" s="78">
        <f t="shared" si="8"/>
        <v>-7428.5845986437153</v>
      </c>
      <c r="P33" s="165">
        <v>0</v>
      </c>
      <c r="Q33" s="166">
        <f t="shared" si="9"/>
        <v>0</v>
      </c>
      <c r="R33" s="119">
        <f t="shared" si="10"/>
        <v>7269.653850126675</v>
      </c>
      <c r="S33" s="167">
        <f t="shared" si="11"/>
        <v>399.83096175696716</v>
      </c>
      <c r="T33" s="165">
        <v>0</v>
      </c>
      <c r="U33" s="166">
        <f t="shared" si="12"/>
        <v>0</v>
      </c>
      <c r="V33" s="33">
        <f t="shared" si="13"/>
        <v>7869.4848118836426</v>
      </c>
      <c r="W33" s="167">
        <f t="shared" si="14"/>
        <v>432.82166465360035</v>
      </c>
      <c r="X33" s="165">
        <v>0</v>
      </c>
      <c r="Y33" s="166">
        <f t="shared" si="15"/>
        <v>0</v>
      </c>
      <c r="Z33" s="33">
        <f t="shared" si="16"/>
        <v>8502.3064765372437</v>
      </c>
      <c r="AA33" s="167">
        <f t="shared" si="17"/>
        <v>467.62685620954841</v>
      </c>
      <c r="AB33" s="165">
        <v>0</v>
      </c>
      <c r="AC33" s="166">
        <f t="shared" si="18"/>
        <v>0</v>
      </c>
      <c r="AD33" s="33">
        <f t="shared" si="19"/>
        <v>9169.9333327467921</v>
      </c>
      <c r="AE33" s="167">
        <f t="shared" si="20"/>
        <v>504.34633330107357</v>
      </c>
      <c r="AF33" s="165">
        <v>0</v>
      </c>
      <c r="AG33" s="166">
        <f t="shared" si="21"/>
        <v>0</v>
      </c>
      <c r="AH33" s="33">
        <f t="shared" si="22"/>
        <v>9874.2796660478652</v>
      </c>
      <c r="AI33" s="167">
        <f t="shared" si="23"/>
        <v>543.08538163263256</v>
      </c>
      <c r="AJ33" s="165">
        <v>0</v>
      </c>
      <c r="AK33" s="166">
        <f t="shared" si="24"/>
        <v>0</v>
      </c>
      <c r="AL33" s="33">
        <f t="shared" si="25"/>
        <v>10617.365047680498</v>
      </c>
      <c r="AM33" s="167">
        <f t="shared" si="26"/>
        <v>583.95507762242744</v>
      </c>
      <c r="AN33" s="165">
        <v>0</v>
      </c>
      <c r="AO33" s="166">
        <f t="shared" si="27"/>
        <v>0</v>
      </c>
      <c r="AP33" s="33">
        <f t="shared" si="28"/>
        <v>11401.320125302926</v>
      </c>
      <c r="AQ33" s="167">
        <f t="shared" si="29"/>
        <v>627.07260689166094</v>
      </c>
      <c r="AR33" s="165">
        <v>0</v>
      </c>
      <c r="AS33" s="166">
        <f t="shared" si="30"/>
        <v>0</v>
      </c>
      <c r="AT33" s="33">
        <f t="shared" si="31"/>
        <v>12228.392732194587</v>
      </c>
      <c r="AU33" s="167">
        <f t="shared" si="32"/>
        <v>672.56160027070223</v>
      </c>
      <c r="AV33" s="165">
        <v>0</v>
      </c>
      <c r="AW33" s="166">
        <f t="shared" si="33"/>
        <v>0</v>
      </c>
      <c r="AX33" s="33">
        <f t="shared" si="34"/>
        <v>13100.95433246529</v>
      </c>
      <c r="AY33" s="167">
        <f t="shared" si="35"/>
        <v>720.55248828559093</v>
      </c>
      <c r="AZ33" s="165">
        <v>0</v>
      </c>
      <c r="BA33" s="166">
        <f t="shared" si="36"/>
        <v>0</v>
      </c>
      <c r="BB33" s="33">
        <f t="shared" si="37"/>
        <v>14021.506820750881</v>
      </c>
      <c r="BC33" s="167">
        <f t="shared" si="38"/>
        <v>771.1828751412985</v>
      </c>
      <c r="BD33" s="165">
        <v>0</v>
      </c>
      <c r="BE33" s="166">
        <f t="shared" si="39"/>
        <v>0</v>
      </c>
      <c r="BF33" s="33">
        <f t="shared" si="40"/>
        <v>14992.689695892179</v>
      </c>
      <c r="BG33" s="167">
        <f t="shared" si="41"/>
        <v>824.59793327406987</v>
      </c>
      <c r="BH33" s="165">
        <v>0</v>
      </c>
      <c r="BI33" s="166">
        <f t="shared" si="42"/>
        <v>0</v>
      </c>
      <c r="BJ33" s="33">
        <f t="shared" si="43"/>
        <v>16017.287629166249</v>
      </c>
      <c r="BK33" s="167">
        <f t="shared" si="44"/>
        <v>880.9508196041437</v>
      </c>
      <c r="BL33" s="87">
        <f t="shared" si="45"/>
        <v>0</v>
      </c>
    </row>
    <row r="34" spans="1:64">
      <c r="A34" s="10" t="s">
        <v>605</v>
      </c>
      <c r="B34" s="10"/>
      <c r="C34" s="80">
        <v>0</v>
      </c>
      <c r="D34" s="79">
        <f t="shared" ref="D34:D65" si="47">200*12</f>
        <v>2400</v>
      </c>
      <c r="E34" s="79">
        <f>'2019-2020 New'!J34</f>
        <v>5738.8086100953697</v>
      </c>
      <c r="F34" s="139">
        <f>'2019-2020 New'!F34</f>
        <v>0</v>
      </c>
      <c r="G34" s="187">
        <f t="shared" ref="G34:G65" si="48">C34+D34</f>
        <v>2400</v>
      </c>
      <c r="H34" s="159">
        <f t="shared" ref="H34:H65" si="49">BL34</f>
        <v>0</v>
      </c>
      <c r="I34" s="190">
        <f t="shared" ref="I34:I65" si="50">G34-H34-C34</f>
        <v>2400</v>
      </c>
      <c r="J34" s="78">
        <f t="shared" si="46"/>
        <v>14368.025516036127</v>
      </c>
      <c r="K34" s="78">
        <f t="shared" ref="K34:K65" si="51">Q34+U34+Y34+AC34+AG34+AK34+AO34+AS34+AW34+BA34+BE34+BI34</f>
        <v>0</v>
      </c>
      <c r="L34" s="78">
        <f t="shared" ref="L34:L65" si="52">(H34-K34-C34)*5.5%</f>
        <v>0</v>
      </c>
      <c r="M34" s="78">
        <f t="shared" ref="M34:M65" si="53">S34+W34+AA34+AE34+AI34+AM34+AQ34+AU34+AY34+BC34+BG34+BK34</f>
        <v>6229.2169059407579</v>
      </c>
      <c r="N34" s="194">
        <f t="shared" ref="N34:N65" si="54">M34</f>
        <v>6229.2169059407579</v>
      </c>
      <c r="O34" s="78">
        <f t="shared" ref="O34:O65" si="55">H34-K34-M34+L34</f>
        <v>-6229.2169059407579</v>
      </c>
      <c r="P34" s="165"/>
      <c r="Q34" s="166">
        <f t="shared" ref="Q34:Q65" si="56">P34*0.99%</f>
        <v>0</v>
      </c>
      <c r="R34" s="119">
        <f t="shared" ref="R34:R65" si="57">E34+200</f>
        <v>5938.8086100953697</v>
      </c>
      <c r="S34" s="167">
        <f t="shared" ref="S34:S65" si="58">(R34-P34)*0.055</f>
        <v>326.63447355524534</v>
      </c>
      <c r="T34" s="165"/>
      <c r="U34" s="166">
        <f t="shared" ref="U34:U65" si="59">T34*0.99%</f>
        <v>0</v>
      </c>
      <c r="V34" s="33">
        <f t="shared" ref="V34:V65" si="60">R34-T34+200+S34</f>
        <v>6465.4430836506153</v>
      </c>
      <c r="W34" s="167">
        <f t="shared" ref="W34:W65" si="61">(V34-T34)*0.055</f>
        <v>355.59936960078386</v>
      </c>
      <c r="X34" s="165"/>
      <c r="Y34" s="166">
        <f t="shared" ref="Y34:Y65" si="62">X34*0.99%</f>
        <v>0</v>
      </c>
      <c r="Z34" s="33">
        <f t="shared" ref="Z34:Z65" si="63">V34-X34+200+W34</f>
        <v>7021.0424532513989</v>
      </c>
      <c r="AA34" s="167">
        <f t="shared" ref="AA34:AA65" si="64">(Z34-X34)*0.055</f>
        <v>386.15733492882697</v>
      </c>
      <c r="AB34" s="165"/>
      <c r="AC34" s="166">
        <f t="shared" ref="AC34:AC65" si="65">AB34*0.99%</f>
        <v>0</v>
      </c>
      <c r="AD34" s="33">
        <f t="shared" ref="AD34:AD65" si="66">Z34-AB34+200+AA34</f>
        <v>7607.1997881802263</v>
      </c>
      <c r="AE34" s="167">
        <f t="shared" ref="AE34:AE65" si="67">(AD34-AB34)*0.055</f>
        <v>418.39598834991244</v>
      </c>
      <c r="AF34" s="165"/>
      <c r="AG34" s="166">
        <f t="shared" ref="AG34:AG65" si="68">AF34*0.99%</f>
        <v>0</v>
      </c>
      <c r="AH34" s="33">
        <f t="shared" ref="AH34:AH65" si="69">AD34-AF34+200+AE34</f>
        <v>8225.5957765301391</v>
      </c>
      <c r="AI34" s="167">
        <f t="shared" ref="AI34:AI65" si="70">(AH34-AF34)*0.055</f>
        <v>452.40776770915767</v>
      </c>
      <c r="AJ34" s="165"/>
      <c r="AK34" s="166">
        <f t="shared" ref="AK34:AK65" si="71">AJ34*0.99%</f>
        <v>0</v>
      </c>
      <c r="AL34" s="33">
        <f t="shared" ref="AL34:AL65" si="72">AH34-AJ34+200+AI34</f>
        <v>8878.0035442392964</v>
      </c>
      <c r="AM34" s="167">
        <f t="shared" ref="AM34:AM65" si="73">(AL34-AJ34)*0.055</f>
        <v>488.29019493316133</v>
      </c>
      <c r="AN34" s="165"/>
      <c r="AO34" s="166">
        <f t="shared" ref="AO34:AO65" si="74">AN34*0.99%</f>
        <v>0</v>
      </c>
      <c r="AP34" s="33">
        <f t="shared" ref="AP34:AP65" si="75">AL34-AN34+200+AM34</f>
        <v>9566.2937391724572</v>
      </c>
      <c r="AQ34" s="167">
        <f t="shared" ref="AQ34:AQ65" si="76">(AP34-AN34)*0.055</f>
        <v>526.14615565448514</v>
      </c>
      <c r="AR34" s="165"/>
      <c r="AS34" s="166">
        <f t="shared" ref="AS34:AS65" si="77">AR34*0.99%</f>
        <v>0</v>
      </c>
      <c r="AT34" s="33">
        <f t="shared" ref="AT34:AT65" si="78">AP34-AR34+200+AQ34</f>
        <v>10292.439894826943</v>
      </c>
      <c r="AU34" s="167">
        <f t="shared" ref="AU34:AU65" si="79">(AT34-AR34)*0.055</f>
        <v>566.08419421548183</v>
      </c>
      <c r="AV34" s="165"/>
      <c r="AW34" s="166">
        <f t="shared" ref="AW34:AW65" si="80">AV34*1.1%</f>
        <v>0</v>
      </c>
      <c r="AX34" s="33">
        <f t="shared" ref="AX34:AX65" si="81">AT34-AV34+200+AU34</f>
        <v>11058.524089042425</v>
      </c>
      <c r="AY34" s="167">
        <f t="shared" ref="AY34:AY65" si="82">(AX34-AV34)*0.055</f>
        <v>608.21882489733332</v>
      </c>
      <c r="AZ34" s="165"/>
      <c r="BA34" s="166">
        <f t="shared" ref="BA34:BA65" si="83">AZ34*1.1%</f>
        <v>0</v>
      </c>
      <c r="BB34" s="33">
        <f t="shared" ref="BB34:BB65" si="84">AX34-AZ34+200+AY34</f>
        <v>11866.742913939757</v>
      </c>
      <c r="BC34" s="167">
        <f t="shared" ref="BC34:BC65" si="85">(BB34-AZ34)*0.055</f>
        <v>652.67086026668665</v>
      </c>
      <c r="BD34" s="165"/>
      <c r="BE34" s="166">
        <f t="shared" ref="BE34:BE65" si="86">BD34*1.1%</f>
        <v>0</v>
      </c>
      <c r="BF34" s="33">
        <f t="shared" ref="BF34:BF65" si="87">BB34-BD34+200+BC34</f>
        <v>12719.413774206443</v>
      </c>
      <c r="BG34" s="167">
        <f t="shared" ref="BG34:BG65" si="88">(BF34-BD34)*0.055</f>
        <v>699.56775758135439</v>
      </c>
      <c r="BH34" s="165"/>
      <c r="BI34" s="166">
        <f t="shared" ref="BI34:BI65" si="89">BH34*1.1%</f>
        <v>0</v>
      </c>
      <c r="BJ34" s="33">
        <f t="shared" ref="BJ34:BJ65" si="90">BF34-BH34+200+BG34</f>
        <v>13618.981531787798</v>
      </c>
      <c r="BK34" s="167">
        <f t="shared" ref="BK34:BK65" si="91">(BJ34-BH34)*0.055</f>
        <v>749.04398424832891</v>
      </c>
      <c r="BL34" s="87">
        <f t="shared" ref="BL34:BL65" si="92">P34+T34+X34+AB34+AF34+AJ34+AR34+AN34+AV34+AZ34+BD34+BH34</f>
        <v>0</v>
      </c>
    </row>
    <row r="35" spans="1:64">
      <c r="A35" s="10" t="s">
        <v>606</v>
      </c>
      <c r="B35" s="10" t="s">
        <v>113</v>
      </c>
      <c r="C35" s="80">
        <v>0</v>
      </c>
      <c r="D35" s="79">
        <f t="shared" si="47"/>
        <v>2400</v>
      </c>
      <c r="E35" s="79">
        <f>'2019-2020 New'!J35</f>
        <v>8020.2575930061794</v>
      </c>
      <c r="F35" s="139">
        <f>'2019-2020 New'!F35</f>
        <v>200</v>
      </c>
      <c r="G35" s="187">
        <f t="shared" si="48"/>
        <v>2400</v>
      </c>
      <c r="H35" s="159">
        <f t="shared" si="49"/>
        <v>0</v>
      </c>
      <c r="I35" s="190">
        <f t="shared" si="50"/>
        <v>2400</v>
      </c>
      <c r="J35" s="78">
        <f t="shared" si="46"/>
        <v>18705.533400723434</v>
      </c>
      <c r="K35" s="78">
        <f t="shared" si="51"/>
        <v>0</v>
      </c>
      <c r="L35" s="78">
        <f t="shared" si="52"/>
        <v>0</v>
      </c>
      <c r="M35" s="78">
        <f t="shared" si="53"/>
        <v>8285.2758077172566</v>
      </c>
      <c r="N35" s="194">
        <f t="shared" si="54"/>
        <v>8285.2758077172566</v>
      </c>
      <c r="O35" s="78">
        <f t="shared" si="55"/>
        <v>-8285.2758077172566</v>
      </c>
      <c r="P35" s="165">
        <v>0</v>
      </c>
      <c r="Q35" s="166">
        <f t="shared" si="56"/>
        <v>0</v>
      </c>
      <c r="R35" s="119">
        <f t="shared" si="57"/>
        <v>8220.2575930061794</v>
      </c>
      <c r="S35" s="167">
        <f t="shared" si="58"/>
        <v>452.11416761533985</v>
      </c>
      <c r="T35" s="165">
        <v>0</v>
      </c>
      <c r="U35" s="166">
        <f t="shared" si="59"/>
        <v>0</v>
      </c>
      <c r="V35" s="33">
        <f t="shared" si="60"/>
        <v>8872.3717606215196</v>
      </c>
      <c r="W35" s="167">
        <f t="shared" si="61"/>
        <v>487.98044683418357</v>
      </c>
      <c r="X35" s="165">
        <v>0</v>
      </c>
      <c r="Y35" s="166">
        <f t="shared" si="62"/>
        <v>0</v>
      </c>
      <c r="Z35" s="33">
        <f t="shared" si="63"/>
        <v>9560.352207455704</v>
      </c>
      <c r="AA35" s="167">
        <f t="shared" si="64"/>
        <v>525.8193714100637</v>
      </c>
      <c r="AB35" s="165">
        <v>0</v>
      </c>
      <c r="AC35" s="166">
        <f t="shared" si="65"/>
        <v>0</v>
      </c>
      <c r="AD35" s="33">
        <f t="shared" si="66"/>
        <v>10286.171578865768</v>
      </c>
      <c r="AE35" s="167">
        <f t="shared" si="67"/>
        <v>565.73943683761718</v>
      </c>
      <c r="AF35" s="165">
        <v>0</v>
      </c>
      <c r="AG35" s="166">
        <f t="shared" si="68"/>
        <v>0</v>
      </c>
      <c r="AH35" s="33">
        <f t="shared" si="69"/>
        <v>11051.911015703385</v>
      </c>
      <c r="AI35" s="167">
        <f t="shared" si="70"/>
        <v>607.85510586368616</v>
      </c>
      <c r="AJ35" s="165">
        <v>0</v>
      </c>
      <c r="AK35" s="166">
        <f t="shared" si="71"/>
        <v>0</v>
      </c>
      <c r="AL35" s="33">
        <f t="shared" si="72"/>
        <v>11859.766121567071</v>
      </c>
      <c r="AM35" s="167">
        <f t="shared" si="73"/>
        <v>652.28713668618889</v>
      </c>
      <c r="AN35" s="165">
        <v>0</v>
      </c>
      <c r="AO35" s="166">
        <f t="shared" si="74"/>
        <v>0</v>
      </c>
      <c r="AP35" s="33">
        <f t="shared" si="75"/>
        <v>12712.05325825326</v>
      </c>
      <c r="AQ35" s="167">
        <f t="shared" si="76"/>
        <v>699.16292920392925</v>
      </c>
      <c r="AR35" s="165">
        <v>0</v>
      </c>
      <c r="AS35" s="166">
        <f t="shared" si="77"/>
        <v>0</v>
      </c>
      <c r="AT35" s="33">
        <f t="shared" si="78"/>
        <v>13611.216187457188</v>
      </c>
      <c r="AU35" s="167">
        <f t="shared" si="79"/>
        <v>748.61689031014532</v>
      </c>
      <c r="AV35" s="165">
        <v>0</v>
      </c>
      <c r="AW35" s="166">
        <f t="shared" si="80"/>
        <v>0</v>
      </c>
      <c r="AX35" s="33">
        <f t="shared" si="81"/>
        <v>14559.833077767335</v>
      </c>
      <c r="AY35" s="167">
        <f t="shared" si="82"/>
        <v>800.79081927720335</v>
      </c>
      <c r="AZ35" s="165">
        <v>0</v>
      </c>
      <c r="BA35" s="166">
        <f t="shared" si="83"/>
        <v>0</v>
      </c>
      <c r="BB35" s="33">
        <f t="shared" si="84"/>
        <v>15560.623897044537</v>
      </c>
      <c r="BC35" s="167">
        <f t="shared" si="85"/>
        <v>855.83431433744954</v>
      </c>
      <c r="BD35" s="165">
        <v>0</v>
      </c>
      <c r="BE35" s="166">
        <f t="shared" si="86"/>
        <v>0</v>
      </c>
      <c r="BF35" s="33">
        <f t="shared" si="87"/>
        <v>16616.458211381985</v>
      </c>
      <c r="BG35" s="167">
        <f t="shared" si="88"/>
        <v>913.90520162600922</v>
      </c>
      <c r="BH35" s="165">
        <v>0</v>
      </c>
      <c r="BI35" s="166">
        <f t="shared" si="89"/>
        <v>0</v>
      </c>
      <c r="BJ35" s="33">
        <f t="shared" si="90"/>
        <v>17730.363413007995</v>
      </c>
      <c r="BK35" s="167">
        <f t="shared" si="91"/>
        <v>975.16998771543979</v>
      </c>
      <c r="BL35" s="87">
        <f t="shared" si="92"/>
        <v>0</v>
      </c>
    </row>
    <row r="36" spans="1:64">
      <c r="A36" s="10" t="s">
        <v>607</v>
      </c>
      <c r="B36" s="10"/>
      <c r="C36" s="80">
        <v>0</v>
      </c>
      <c r="D36" s="79">
        <f t="shared" si="47"/>
        <v>2400</v>
      </c>
      <c r="E36" s="79">
        <f>'2019-2020 New'!J36</f>
        <v>7259.7745987025764</v>
      </c>
      <c r="F36" s="139">
        <f>'2019-2020 New'!F36</f>
        <v>0</v>
      </c>
      <c r="G36" s="187">
        <f t="shared" si="48"/>
        <v>2400</v>
      </c>
      <c r="H36" s="159">
        <f t="shared" si="49"/>
        <v>0</v>
      </c>
      <c r="I36" s="190">
        <f t="shared" si="50"/>
        <v>2400</v>
      </c>
      <c r="J36" s="78">
        <f t="shared" si="46"/>
        <v>17259.697439161002</v>
      </c>
      <c r="K36" s="78">
        <f t="shared" si="51"/>
        <v>0</v>
      </c>
      <c r="L36" s="78">
        <f t="shared" si="52"/>
        <v>0</v>
      </c>
      <c r="M36" s="78">
        <f t="shared" si="53"/>
        <v>7599.9228404584246</v>
      </c>
      <c r="N36" s="194">
        <f t="shared" si="54"/>
        <v>7599.9228404584246</v>
      </c>
      <c r="O36" s="78">
        <f t="shared" si="55"/>
        <v>-7599.9228404584246</v>
      </c>
      <c r="P36" s="165"/>
      <c r="Q36" s="166">
        <f t="shared" si="56"/>
        <v>0</v>
      </c>
      <c r="R36" s="119">
        <f t="shared" si="57"/>
        <v>7459.7745987025764</v>
      </c>
      <c r="S36" s="167">
        <f t="shared" si="58"/>
        <v>410.28760292864172</v>
      </c>
      <c r="T36" s="165"/>
      <c r="U36" s="166">
        <f t="shared" si="59"/>
        <v>0</v>
      </c>
      <c r="V36" s="33">
        <f t="shared" si="60"/>
        <v>8070.0622016312182</v>
      </c>
      <c r="W36" s="167">
        <f t="shared" si="61"/>
        <v>443.85342108971702</v>
      </c>
      <c r="X36" s="165"/>
      <c r="Y36" s="166">
        <f t="shared" si="62"/>
        <v>0</v>
      </c>
      <c r="Z36" s="33">
        <f t="shared" si="63"/>
        <v>8713.9156227209369</v>
      </c>
      <c r="AA36" s="167">
        <f t="shared" si="64"/>
        <v>479.26535924965151</v>
      </c>
      <c r="AB36" s="165"/>
      <c r="AC36" s="166">
        <f t="shared" si="65"/>
        <v>0</v>
      </c>
      <c r="AD36" s="33">
        <f t="shared" si="66"/>
        <v>9393.1809819705886</v>
      </c>
      <c r="AE36" s="167">
        <f t="shared" si="67"/>
        <v>516.62495400838236</v>
      </c>
      <c r="AF36" s="165"/>
      <c r="AG36" s="166">
        <f t="shared" si="68"/>
        <v>0</v>
      </c>
      <c r="AH36" s="33">
        <f t="shared" si="69"/>
        <v>10109.805935978971</v>
      </c>
      <c r="AI36" s="167">
        <f t="shared" si="70"/>
        <v>556.03932647884346</v>
      </c>
      <c r="AJ36" s="165"/>
      <c r="AK36" s="166">
        <f t="shared" si="71"/>
        <v>0</v>
      </c>
      <c r="AL36" s="33">
        <f t="shared" si="72"/>
        <v>10865.845262457815</v>
      </c>
      <c r="AM36" s="167">
        <f t="shared" si="73"/>
        <v>597.6214894351798</v>
      </c>
      <c r="AN36" s="165"/>
      <c r="AO36" s="166">
        <f t="shared" si="74"/>
        <v>0</v>
      </c>
      <c r="AP36" s="33">
        <f t="shared" si="75"/>
        <v>11663.466751892995</v>
      </c>
      <c r="AQ36" s="167">
        <f t="shared" si="76"/>
        <v>641.49067135411474</v>
      </c>
      <c r="AR36" s="165"/>
      <c r="AS36" s="166">
        <f t="shared" si="77"/>
        <v>0</v>
      </c>
      <c r="AT36" s="33">
        <f t="shared" si="78"/>
        <v>12504.95742324711</v>
      </c>
      <c r="AU36" s="167">
        <f t="shared" si="79"/>
        <v>687.77265827859105</v>
      </c>
      <c r="AV36" s="165"/>
      <c r="AW36" s="166">
        <f t="shared" si="80"/>
        <v>0</v>
      </c>
      <c r="AX36" s="33">
        <f t="shared" si="81"/>
        <v>13392.7300815257</v>
      </c>
      <c r="AY36" s="167">
        <f t="shared" si="82"/>
        <v>736.60015448391357</v>
      </c>
      <c r="AZ36" s="165"/>
      <c r="BA36" s="166">
        <f t="shared" si="83"/>
        <v>0</v>
      </c>
      <c r="BB36" s="33">
        <f t="shared" si="84"/>
        <v>14329.330236009613</v>
      </c>
      <c r="BC36" s="167">
        <f t="shared" si="85"/>
        <v>788.11316298052873</v>
      </c>
      <c r="BD36" s="165"/>
      <c r="BE36" s="166">
        <f t="shared" si="86"/>
        <v>0</v>
      </c>
      <c r="BF36" s="33">
        <f t="shared" si="87"/>
        <v>15317.443398990143</v>
      </c>
      <c r="BG36" s="167">
        <f t="shared" si="88"/>
        <v>842.45938694445783</v>
      </c>
      <c r="BH36" s="165"/>
      <c r="BI36" s="166">
        <f t="shared" si="89"/>
        <v>0</v>
      </c>
      <c r="BJ36" s="33">
        <f t="shared" si="90"/>
        <v>16359.902785934601</v>
      </c>
      <c r="BK36" s="167">
        <f t="shared" si="91"/>
        <v>899.79465322640306</v>
      </c>
      <c r="BL36" s="87">
        <f t="shared" si="92"/>
        <v>0</v>
      </c>
    </row>
    <row r="37" spans="1:64">
      <c r="A37" s="10" t="s">
        <v>608</v>
      </c>
      <c r="B37" s="10" t="s">
        <v>142</v>
      </c>
      <c r="C37" s="80">
        <v>0</v>
      </c>
      <c r="D37" s="79">
        <f t="shared" si="47"/>
        <v>2400</v>
      </c>
      <c r="E37" s="79">
        <f>'2019-2020 New'!J37</f>
        <v>5605.6768493894579</v>
      </c>
      <c r="F37" s="139">
        <f>'2019-2020 New'!F37</f>
        <v>2600</v>
      </c>
      <c r="G37" s="187">
        <f t="shared" si="48"/>
        <v>2400</v>
      </c>
      <c r="H37" s="159">
        <f t="shared" si="49"/>
        <v>1600</v>
      </c>
      <c r="I37" s="190">
        <f t="shared" si="50"/>
        <v>800</v>
      </c>
      <c r="J37" s="78">
        <f t="shared" si="46"/>
        <v>11666.089591180651</v>
      </c>
      <c r="K37" s="78">
        <f t="shared" si="51"/>
        <v>15.839999999999998</v>
      </c>
      <c r="L37" s="78">
        <f t="shared" si="52"/>
        <v>87.128799999999998</v>
      </c>
      <c r="M37" s="78">
        <f t="shared" si="53"/>
        <v>5260.4127417911941</v>
      </c>
      <c r="N37" s="194">
        <f t="shared" si="54"/>
        <v>5260.4127417911941</v>
      </c>
      <c r="O37" s="78">
        <f t="shared" si="55"/>
        <v>-3589.1239417911943</v>
      </c>
      <c r="P37" s="165">
        <v>0</v>
      </c>
      <c r="Q37" s="166">
        <f t="shared" si="56"/>
        <v>0</v>
      </c>
      <c r="R37" s="119">
        <f t="shared" si="57"/>
        <v>5805.6768493894579</v>
      </c>
      <c r="S37" s="167">
        <f t="shared" si="58"/>
        <v>319.31222671642018</v>
      </c>
      <c r="T37" s="165">
        <v>0</v>
      </c>
      <c r="U37" s="166">
        <f t="shared" si="59"/>
        <v>0</v>
      </c>
      <c r="V37" s="33">
        <f t="shared" si="60"/>
        <v>6324.9890761058778</v>
      </c>
      <c r="W37" s="167">
        <f t="shared" si="61"/>
        <v>347.87439918582328</v>
      </c>
      <c r="X37" s="165">
        <v>0</v>
      </c>
      <c r="Y37" s="166">
        <f t="shared" si="62"/>
        <v>0</v>
      </c>
      <c r="Z37" s="33">
        <f t="shared" si="63"/>
        <v>6872.8634752917014</v>
      </c>
      <c r="AA37" s="167">
        <f t="shared" si="64"/>
        <v>378.0074911410436</v>
      </c>
      <c r="AB37" s="165">
        <v>0</v>
      </c>
      <c r="AC37" s="166">
        <f t="shared" si="65"/>
        <v>0</v>
      </c>
      <c r="AD37" s="33">
        <f t="shared" si="66"/>
        <v>7450.8709664327453</v>
      </c>
      <c r="AE37" s="167">
        <f t="shared" si="67"/>
        <v>409.79790315380097</v>
      </c>
      <c r="AF37" s="165">
        <v>0</v>
      </c>
      <c r="AG37" s="166">
        <f t="shared" si="68"/>
        <v>0</v>
      </c>
      <c r="AH37" s="33">
        <f t="shared" si="69"/>
        <v>8060.668869586546</v>
      </c>
      <c r="AI37" s="167">
        <f t="shared" si="70"/>
        <v>443.33678782726003</v>
      </c>
      <c r="AJ37" s="165">
        <f>'2018-2019 B STATEMENT '!B702</f>
        <v>1600</v>
      </c>
      <c r="AK37" s="166">
        <f t="shared" si="71"/>
        <v>15.839999999999998</v>
      </c>
      <c r="AL37" s="33">
        <f t="shared" si="72"/>
        <v>7104.0056574138061</v>
      </c>
      <c r="AM37" s="167">
        <f t="shared" si="73"/>
        <v>302.72031115775934</v>
      </c>
      <c r="AN37" s="165">
        <v>0</v>
      </c>
      <c r="AO37" s="166">
        <f t="shared" si="74"/>
        <v>0</v>
      </c>
      <c r="AP37" s="33">
        <f t="shared" si="75"/>
        <v>7606.7259685715653</v>
      </c>
      <c r="AQ37" s="167">
        <f t="shared" si="76"/>
        <v>418.36992827143609</v>
      </c>
      <c r="AR37" s="165">
        <v>0</v>
      </c>
      <c r="AS37" s="166">
        <f t="shared" si="77"/>
        <v>0</v>
      </c>
      <c r="AT37" s="33">
        <f t="shared" si="78"/>
        <v>8225.0958968430023</v>
      </c>
      <c r="AU37" s="167">
        <f t="shared" si="79"/>
        <v>452.38027432636511</v>
      </c>
      <c r="AV37" s="165">
        <v>0</v>
      </c>
      <c r="AW37" s="166">
        <f t="shared" si="80"/>
        <v>0</v>
      </c>
      <c r="AX37" s="33">
        <f t="shared" si="81"/>
        <v>8877.4761711693682</v>
      </c>
      <c r="AY37" s="167">
        <f t="shared" si="82"/>
        <v>488.26118941431525</v>
      </c>
      <c r="AZ37" s="165">
        <v>0</v>
      </c>
      <c r="BA37" s="166">
        <f t="shared" si="83"/>
        <v>0</v>
      </c>
      <c r="BB37" s="33">
        <f t="shared" si="84"/>
        <v>9565.7373605836838</v>
      </c>
      <c r="BC37" s="167">
        <f t="shared" si="85"/>
        <v>526.11555483210259</v>
      </c>
      <c r="BD37" s="165">
        <v>0</v>
      </c>
      <c r="BE37" s="166">
        <f t="shared" si="86"/>
        <v>0</v>
      </c>
      <c r="BF37" s="33">
        <f t="shared" si="87"/>
        <v>10291.852915415786</v>
      </c>
      <c r="BG37" s="167">
        <f t="shared" si="88"/>
        <v>566.05191034786822</v>
      </c>
      <c r="BH37" s="165">
        <v>0</v>
      </c>
      <c r="BI37" s="166">
        <f t="shared" si="89"/>
        <v>0</v>
      </c>
      <c r="BJ37" s="33">
        <f t="shared" si="90"/>
        <v>11057.904825763653</v>
      </c>
      <c r="BK37" s="167">
        <f t="shared" si="91"/>
        <v>608.1847654170009</v>
      </c>
      <c r="BL37" s="87">
        <f t="shared" si="92"/>
        <v>1600</v>
      </c>
    </row>
    <row r="38" spans="1:64">
      <c r="A38" s="10" t="s">
        <v>609</v>
      </c>
      <c r="B38" s="10" t="s">
        <v>124</v>
      </c>
      <c r="C38" s="80">
        <v>0</v>
      </c>
      <c r="D38" s="79">
        <f t="shared" si="47"/>
        <v>2400</v>
      </c>
      <c r="E38" s="79">
        <f>'2019-2020 New'!J38</f>
        <v>6637.7405555508321</v>
      </c>
      <c r="F38" s="139">
        <f>'2019-2020 New'!F38</f>
        <v>0</v>
      </c>
      <c r="G38" s="187">
        <f t="shared" si="48"/>
        <v>2400</v>
      </c>
      <c r="H38" s="159">
        <f t="shared" si="49"/>
        <v>250</v>
      </c>
      <c r="I38" s="190">
        <f t="shared" si="50"/>
        <v>2150</v>
      </c>
      <c r="J38" s="78">
        <f t="shared" si="46"/>
        <v>15603.07157273084</v>
      </c>
      <c r="K38" s="78">
        <f t="shared" si="51"/>
        <v>2.4749999999999996</v>
      </c>
      <c r="L38" s="78">
        <f t="shared" si="52"/>
        <v>13.613875</v>
      </c>
      <c r="M38" s="78">
        <f t="shared" si="53"/>
        <v>6815.3310171800076</v>
      </c>
      <c r="N38" s="194">
        <f t="shared" si="54"/>
        <v>6815.3310171800076</v>
      </c>
      <c r="O38" s="78">
        <f t="shared" si="55"/>
        <v>-6554.192142180008</v>
      </c>
      <c r="P38" s="165">
        <v>0</v>
      </c>
      <c r="Q38" s="166">
        <f t="shared" si="56"/>
        <v>0</v>
      </c>
      <c r="R38" s="119">
        <f t="shared" si="57"/>
        <v>6837.7405555508321</v>
      </c>
      <c r="S38" s="167">
        <f t="shared" si="58"/>
        <v>376.07573055529576</v>
      </c>
      <c r="T38" s="165">
        <f>'2018-2019 B STATEMENT '!B616</f>
        <v>250</v>
      </c>
      <c r="U38" s="166">
        <f t="shared" si="59"/>
        <v>2.4749999999999996</v>
      </c>
      <c r="V38" s="33">
        <f t="shared" si="60"/>
        <v>7163.8162861061282</v>
      </c>
      <c r="W38" s="167">
        <f t="shared" si="61"/>
        <v>380.25989573583706</v>
      </c>
      <c r="X38" s="165">
        <v>0</v>
      </c>
      <c r="Y38" s="166">
        <f t="shared" si="62"/>
        <v>0</v>
      </c>
      <c r="Z38" s="33">
        <f t="shared" si="63"/>
        <v>7744.0761818419651</v>
      </c>
      <c r="AA38" s="167">
        <f t="shared" si="64"/>
        <v>425.92419000130809</v>
      </c>
      <c r="AB38" s="165">
        <v>0</v>
      </c>
      <c r="AC38" s="166">
        <f t="shared" si="65"/>
        <v>0</v>
      </c>
      <c r="AD38" s="33">
        <f t="shared" si="66"/>
        <v>8370.0003718432727</v>
      </c>
      <c r="AE38" s="167">
        <f t="shared" si="67"/>
        <v>460.35002045137998</v>
      </c>
      <c r="AF38" s="165">
        <v>0</v>
      </c>
      <c r="AG38" s="166">
        <f t="shared" si="68"/>
        <v>0</v>
      </c>
      <c r="AH38" s="33">
        <f t="shared" si="69"/>
        <v>9030.3503922946529</v>
      </c>
      <c r="AI38" s="167">
        <f t="shared" si="70"/>
        <v>496.66927157620592</v>
      </c>
      <c r="AJ38" s="165">
        <v>0</v>
      </c>
      <c r="AK38" s="166">
        <f t="shared" si="71"/>
        <v>0</v>
      </c>
      <c r="AL38" s="33">
        <f t="shared" si="72"/>
        <v>9727.0196638708585</v>
      </c>
      <c r="AM38" s="167">
        <f t="shared" si="73"/>
        <v>534.98608151289727</v>
      </c>
      <c r="AN38" s="165">
        <v>0</v>
      </c>
      <c r="AO38" s="166">
        <f t="shared" si="74"/>
        <v>0</v>
      </c>
      <c r="AP38" s="33">
        <f t="shared" si="75"/>
        <v>10462.005745383756</v>
      </c>
      <c r="AQ38" s="167">
        <f t="shared" si="76"/>
        <v>575.41031599610665</v>
      </c>
      <c r="AR38" s="165">
        <v>0</v>
      </c>
      <c r="AS38" s="166">
        <f t="shared" si="77"/>
        <v>0</v>
      </c>
      <c r="AT38" s="33">
        <f t="shared" si="78"/>
        <v>11237.416061379863</v>
      </c>
      <c r="AU38" s="167">
        <f t="shared" si="79"/>
        <v>618.05788337589252</v>
      </c>
      <c r="AV38" s="165">
        <v>0</v>
      </c>
      <c r="AW38" s="166">
        <f t="shared" si="80"/>
        <v>0</v>
      </c>
      <c r="AX38" s="33">
        <f t="shared" si="81"/>
        <v>12055.473944755755</v>
      </c>
      <c r="AY38" s="167">
        <f t="shared" si="82"/>
        <v>663.05106696156656</v>
      </c>
      <c r="AZ38" s="165">
        <v>0</v>
      </c>
      <c r="BA38" s="166">
        <f t="shared" si="83"/>
        <v>0</v>
      </c>
      <c r="BB38" s="33">
        <f t="shared" si="84"/>
        <v>12918.525011717322</v>
      </c>
      <c r="BC38" s="167">
        <f t="shared" si="85"/>
        <v>710.51887564445269</v>
      </c>
      <c r="BD38" s="165">
        <v>0</v>
      </c>
      <c r="BE38" s="166">
        <f t="shared" si="86"/>
        <v>0</v>
      </c>
      <c r="BF38" s="33">
        <f t="shared" si="87"/>
        <v>13829.043887361775</v>
      </c>
      <c r="BG38" s="167">
        <f t="shared" si="88"/>
        <v>760.59741380489766</v>
      </c>
      <c r="BH38" s="165">
        <v>0</v>
      </c>
      <c r="BI38" s="166">
        <f t="shared" si="89"/>
        <v>0</v>
      </c>
      <c r="BJ38" s="33">
        <f t="shared" si="90"/>
        <v>14789.641301166672</v>
      </c>
      <c r="BK38" s="167">
        <f t="shared" si="91"/>
        <v>813.4302715641669</v>
      </c>
      <c r="BL38" s="87">
        <f t="shared" si="92"/>
        <v>250</v>
      </c>
    </row>
    <row r="39" spans="1:64">
      <c r="A39" s="10" t="s">
        <v>610</v>
      </c>
      <c r="B39" s="10" t="s">
        <v>140</v>
      </c>
      <c r="C39" s="80">
        <v>0</v>
      </c>
      <c r="D39" s="79">
        <f t="shared" si="47"/>
        <v>2400</v>
      </c>
      <c r="E39" s="79">
        <f>'2019-2020 New'!J39</f>
        <v>2748.883054067338</v>
      </c>
      <c r="F39" s="139">
        <f>'2019-2020 New'!F39</f>
        <v>2400</v>
      </c>
      <c r="G39" s="187">
        <f t="shared" si="48"/>
        <v>2400</v>
      </c>
      <c r="H39" s="159">
        <f t="shared" si="49"/>
        <v>0</v>
      </c>
      <c r="I39" s="190">
        <f t="shared" si="50"/>
        <v>2400</v>
      </c>
      <c r="J39" s="78">
        <f t="shared" si="46"/>
        <v>8683.5566670534681</v>
      </c>
      <c r="K39" s="78">
        <f t="shared" si="51"/>
        <v>0</v>
      </c>
      <c r="L39" s="78">
        <f t="shared" si="52"/>
        <v>0</v>
      </c>
      <c r="M39" s="78">
        <f t="shared" si="53"/>
        <v>3534.6736129861306</v>
      </c>
      <c r="N39" s="194">
        <f t="shared" si="54"/>
        <v>3534.6736129861306</v>
      </c>
      <c r="O39" s="78">
        <f t="shared" si="55"/>
        <v>-3534.6736129861306</v>
      </c>
      <c r="P39" s="165">
        <v>0</v>
      </c>
      <c r="Q39" s="166">
        <f t="shared" si="56"/>
        <v>0</v>
      </c>
      <c r="R39" s="119">
        <f t="shared" si="57"/>
        <v>2948.883054067338</v>
      </c>
      <c r="S39" s="167">
        <f t="shared" si="58"/>
        <v>162.18856797370358</v>
      </c>
      <c r="T39" s="165">
        <v>0</v>
      </c>
      <c r="U39" s="166">
        <f t="shared" si="59"/>
        <v>0</v>
      </c>
      <c r="V39" s="33">
        <f t="shared" si="60"/>
        <v>3311.0716220410413</v>
      </c>
      <c r="W39" s="167">
        <f t="shared" si="61"/>
        <v>182.10893921225727</v>
      </c>
      <c r="X39" s="165">
        <v>0</v>
      </c>
      <c r="Y39" s="166">
        <f t="shared" si="62"/>
        <v>0</v>
      </c>
      <c r="Z39" s="33">
        <f t="shared" si="63"/>
        <v>3693.1805612532985</v>
      </c>
      <c r="AA39" s="167">
        <f t="shared" si="64"/>
        <v>203.12493086893141</v>
      </c>
      <c r="AB39" s="165">
        <v>0</v>
      </c>
      <c r="AC39" s="166">
        <f t="shared" si="65"/>
        <v>0</v>
      </c>
      <c r="AD39" s="33">
        <f t="shared" si="66"/>
        <v>4096.3054921222301</v>
      </c>
      <c r="AE39" s="167">
        <f t="shared" si="67"/>
        <v>225.29680206672265</v>
      </c>
      <c r="AF39" s="165">
        <v>0</v>
      </c>
      <c r="AG39" s="166">
        <f t="shared" si="68"/>
        <v>0</v>
      </c>
      <c r="AH39" s="33">
        <f t="shared" si="69"/>
        <v>4521.6022941889532</v>
      </c>
      <c r="AI39" s="167">
        <f t="shared" si="70"/>
        <v>248.68812618039243</v>
      </c>
      <c r="AJ39" s="165">
        <v>0</v>
      </c>
      <c r="AK39" s="166">
        <f t="shared" si="71"/>
        <v>0</v>
      </c>
      <c r="AL39" s="33">
        <f t="shared" si="72"/>
        <v>4970.2904203693461</v>
      </c>
      <c r="AM39" s="167">
        <f t="shared" si="73"/>
        <v>273.36597312031404</v>
      </c>
      <c r="AN39" s="165">
        <v>0</v>
      </c>
      <c r="AO39" s="166">
        <f t="shared" si="74"/>
        <v>0</v>
      </c>
      <c r="AP39" s="33">
        <f t="shared" si="75"/>
        <v>5443.6563934896603</v>
      </c>
      <c r="AQ39" s="167">
        <f t="shared" si="76"/>
        <v>299.40110164193135</v>
      </c>
      <c r="AR39" s="165">
        <v>0</v>
      </c>
      <c r="AS39" s="166">
        <f t="shared" si="77"/>
        <v>0</v>
      </c>
      <c r="AT39" s="33">
        <f t="shared" si="78"/>
        <v>5943.0574951315921</v>
      </c>
      <c r="AU39" s="167">
        <f t="shared" si="79"/>
        <v>326.86816223223758</v>
      </c>
      <c r="AV39" s="165">
        <v>0</v>
      </c>
      <c r="AW39" s="166">
        <f t="shared" si="80"/>
        <v>0</v>
      </c>
      <c r="AX39" s="33">
        <f t="shared" si="81"/>
        <v>6469.9256573638295</v>
      </c>
      <c r="AY39" s="167">
        <f t="shared" si="82"/>
        <v>355.84591115501064</v>
      </c>
      <c r="AZ39" s="165">
        <v>0</v>
      </c>
      <c r="BA39" s="166">
        <f t="shared" si="83"/>
        <v>0</v>
      </c>
      <c r="BB39" s="33">
        <f t="shared" si="84"/>
        <v>7025.7715685188405</v>
      </c>
      <c r="BC39" s="167">
        <f t="shared" si="85"/>
        <v>386.41743626853622</v>
      </c>
      <c r="BD39" s="165">
        <v>0</v>
      </c>
      <c r="BE39" s="166">
        <f t="shared" si="86"/>
        <v>0</v>
      </c>
      <c r="BF39" s="33">
        <f t="shared" si="87"/>
        <v>7612.1890047873767</v>
      </c>
      <c r="BG39" s="167">
        <f t="shared" si="88"/>
        <v>418.67039526330569</v>
      </c>
      <c r="BH39" s="165">
        <v>0</v>
      </c>
      <c r="BI39" s="166">
        <f t="shared" si="89"/>
        <v>0</v>
      </c>
      <c r="BJ39" s="33">
        <f t="shared" si="90"/>
        <v>8230.8594000506819</v>
      </c>
      <c r="BK39" s="167">
        <f t="shared" si="91"/>
        <v>452.6972670027875</v>
      </c>
      <c r="BL39" s="87">
        <f t="shared" si="92"/>
        <v>0</v>
      </c>
    </row>
    <row r="40" spans="1:64">
      <c r="A40" s="10" t="s">
        <v>611</v>
      </c>
      <c r="B40" s="10" t="s">
        <v>125</v>
      </c>
      <c r="C40" s="80">
        <v>0</v>
      </c>
      <c r="D40" s="79">
        <f t="shared" si="47"/>
        <v>2400</v>
      </c>
      <c r="E40" s="79">
        <f>'2019-2020 New'!J40</f>
        <v>8020.2575930061794</v>
      </c>
      <c r="F40" s="139">
        <f>'2019-2020 New'!F40</f>
        <v>200</v>
      </c>
      <c r="G40" s="187">
        <f t="shared" si="48"/>
        <v>2400</v>
      </c>
      <c r="H40" s="159">
        <f t="shared" si="49"/>
        <v>0</v>
      </c>
      <c r="I40" s="190">
        <f t="shared" si="50"/>
        <v>2400</v>
      </c>
      <c r="J40" s="78">
        <f t="shared" si="46"/>
        <v>18705.533400723434</v>
      </c>
      <c r="K40" s="78">
        <f t="shared" si="51"/>
        <v>0</v>
      </c>
      <c r="L40" s="78">
        <f t="shared" si="52"/>
        <v>0</v>
      </c>
      <c r="M40" s="78">
        <f t="shared" si="53"/>
        <v>8285.2758077172566</v>
      </c>
      <c r="N40" s="194">
        <f t="shared" si="54"/>
        <v>8285.2758077172566</v>
      </c>
      <c r="O40" s="78">
        <f t="shared" si="55"/>
        <v>-8285.2758077172566</v>
      </c>
      <c r="P40" s="165">
        <v>0</v>
      </c>
      <c r="Q40" s="166">
        <f t="shared" si="56"/>
        <v>0</v>
      </c>
      <c r="R40" s="119">
        <f t="shared" si="57"/>
        <v>8220.2575930061794</v>
      </c>
      <c r="S40" s="167">
        <f t="shared" si="58"/>
        <v>452.11416761533985</v>
      </c>
      <c r="T40" s="165">
        <v>0</v>
      </c>
      <c r="U40" s="166">
        <f t="shared" si="59"/>
        <v>0</v>
      </c>
      <c r="V40" s="33">
        <f t="shared" si="60"/>
        <v>8872.3717606215196</v>
      </c>
      <c r="W40" s="167">
        <f t="shared" si="61"/>
        <v>487.98044683418357</v>
      </c>
      <c r="X40" s="165">
        <v>0</v>
      </c>
      <c r="Y40" s="166">
        <f t="shared" si="62"/>
        <v>0</v>
      </c>
      <c r="Z40" s="33">
        <f t="shared" si="63"/>
        <v>9560.352207455704</v>
      </c>
      <c r="AA40" s="167">
        <f t="shared" si="64"/>
        <v>525.8193714100637</v>
      </c>
      <c r="AB40" s="165">
        <v>0</v>
      </c>
      <c r="AC40" s="166">
        <f t="shared" si="65"/>
        <v>0</v>
      </c>
      <c r="AD40" s="33">
        <f t="shared" si="66"/>
        <v>10286.171578865768</v>
      </c>
      <c r="AE40" s="167">
        <f t="shared" si="67"/>
        <v>565.73943683761718</v>
      </c>
      <c r="AF40" s="165">
        <v>0</v>
      </c>
      <c r="AG40" s="166">
        <f t="shared" si="68"/>
        <v>0</v>
      </c>
      <c r="AH40" s="33">
        <f t="shared" si="69"/>
        <v>11051.911015703385</v>
      </c>
      <c r="AI40" s="167">
        <f t="shared" si="70"/>
        <v>607.85510586368616</v>
      </c>
      <c r="AJ40" s="165">
        <v>0</v>
      </c>
      <c r="AK40" s="166">
        <f t="shared" si="71"/>
        <v>0</v>
      </c>
      <c r="AL40" s="33">
        <f t="shared" si="72"/>
        <v>11859.766121567071</v>
      </c>
      <c r="AM40" s="167">
        <f t="shared" si="73"/>
        <v>652.28713668618889</v>
      </c>
      <c r="AN40" s="165">
        <v>0</v>
      </c>
      <c r="AO40" s="166">
        <f t="shared" si="74"/>
        <v>0</v>
      </c>
      <c r="AP40" s="33">
        <f t="shared" si="75"/>
        <v>12712.05325825326</v>
      </c>
      <c r="AQ40" s="167">
        <f t="shared" si="76"/>
        <v>699.16292920392925</v>
      </c>
      <c r="AR40" s="165">
        <v>0</v>
      </c>
      <c r="AS40" s="166">
        <f t="shared" si="77"/>
        <v>0</v>
      </c>
      <c r="AT40" s="33">
        <f t="shared" si="78"/>
        <v>13611.216187457188</v>
      </c>
      <c r="AU40" s="167">
        <f t="shared" si="79"/>
        <v>748.61689031014532</v>
      </c>
      <c r="AV40" s="165">
        <v>0</v>
      </c>
      <c r="AW40" s="166">
        <f t="shared" si="80"/>
        <v>0</v>
      </c>
      <c r="AX40" s="33">
        <f t="shared" si="81"/>
        <v>14559.833077767335</v>
      </c>
      <c r="AY40" s="167">
        <f t="shared" si="82"/>
        <v>800.79081927720335</v>
      </c>
      <c r="AZ40" s="165">
        <v>0</v>
      </c>
      <c r="BA40" s="166">
        <f t="shared" si="83"/>
        <v>0</v>
      </c>
      <c r="BB40" s="33">
        <f t="shared" si="84"/>
        <v>15560.623897044537</v>
      </c>
      <c r="BC40" s="167">
        <f t="shared" si="85"/>
        <v>855.83431433744954</v>
      </c>
      <c r="BD40" s="165">
        <v>0</v>
      </c>
      <c r="BE40" s="166">
        <f t="shared" si="86"/>
        <v>0</v>
      </c>
      <c r="BF40" s="33">
        <f t="shared" si="87"/>
        <v>16616.458211381985</v>
      </c>
      <c r="BG40" s="167">
        <f t="shared" si="88"/>
        <v>913.90520162600922</v>
      </c>
      <c r="BH40" s="165">
        <v>0</v>
      </c>
      <c r="BI40" s="166">
        <f t="shared" si="89"/>
        <v>0</v>
      </c>
      <c r="BJ40" s="33">
        <f t="shared" si="90"/>
        <v>17730.363413007995</v>
      </c>
      <c r="BK40" s="167">
        <f t="shared" si="91"/>
        <v>975.16998771543979</v>
      </c>
      <c r="BL40" s="87">
        <f t="shared" si="92"/>
        <v>0</v>
      </c>
    </row>
    <row r="41" spans="1:64">
      <c r="A41" s="10" t="s">
        <v>612</v>
      </c>
      <c r="B41" s="10" t="s">
        <v>144</v>
      </c>
      <c r="C41" s="80">
        <v>0</v>
      </c>
      <c r="D41" s="79">
        <f t="shared" si="47"/>
        <v>2400</v>
      </c>
      <c r="E41" s="79">
        <f>'2019-2020 New'!J41</f>
        <v>3818.5890494787718</v>
      </c>
      <c r="F41" s="139">
        <f>'2019-2020 New'!F41</f>
        <v>1000</v>
      </c>
      <c r="G41" s="187">
        <f t="shared" si="48"/>
        <v>2400</v>
      </c>
      <c r="H41" s="159">
        <f t="shared" si="49"/>
        <v>6200</v>
      </c>
      <c r="I41" s="190">
        <f t="shared" si="50"/>
        <v>-3800</v>
      </c>
      <c r="J41" s="78">
        <f t="shared" si="46"/>
        <v>3878.8293843071092</v>
      </c>
      <c r="K41" s="78">
        <f t="shared" si="51"/>
        <v>63.8</v>
      </c>
      <c r="L41" s="78">
        <f t="shared" si="52"/>
        <v>337.49099999999999</v>
      </c>
      <c r="M41" s="78">
        <f t="shared" si="53"/>
        <v>3860.2403348283374</v>
      </c>
      <c r="N41" s="194">
        <f t="shared" si="54"/>
        <v>3860.2403348283374</v>
      </c>
      <c r="O41" s="78">
        <f t="shared" si="55"/>
        <v>2613.4506651716624</v>
      </c>
      <c r="P41" s="165">
        <f>'2018-2019 B STATEMENT '!B590</f>
        <v>4000</v>
      </c>
      <c r="Q41" s="166">
        <f t="shared" si="56"/>
        <v>39.599999999999994</v>
      </c>
      <c r="R41" s="119">
        <f t="shared" si="57"/>
        <v>4018.5890494787718</v>
      </c>
      <c r="S41" s="167">
        <f t="shared" si="58"/>
        <v>1.0223977213324498</v>
      </c>
      <c r="T41" s="165">
        <v>0</v>
      </c>
      <c r="U41" s="166">
        <f t="shared" si="59"/>
        <v>0</v>
      </c>
      <c r="V41" s="33">
        <f t="shared" si="60"/>
        <v>4219.6114472001045</v>
      </c>
      <c r="W41" s="167">
        <f t="shared" si="61"/>
        <v>232.07862959600575</v>
      </c>
      <c r="X41" s="165">
        <v>0</v>
      </c>
      <c r="Y41" s="166">
        <f t="shared" si="62"/>
        <v>0</v>
      </c>
      <c r="Z41" s="33">
        <f t="shared" si="63"/>
        <v>4651.6900767961106</v>
      </c>
      <c r="AA41" s="167">
        <f t="shared" si="64"/>
        <v>255.84295422378608</v>
      </c>
      <c r="AB41" s="165">
        <v>0</v>
      </c>
      <c r="AC41" s="166">
        <f t="shared" si="65"/>
        <v>0</v>
      </c>
      <c r="AD41" s="33">
        <f t="shared" si="66"/>
        <v>5107.533031019897</v>
      </c>
      <c r="AE41" s="167">
        <f t="shared" si="67"/>
        <v>280.91431670609433</v>
      </c>
      <c r="AF41" s="165">
        <v>0</v>
      </c>
      <c r="AG41" s="166">
        <f t="shared" si="68"/>
        <v>0</v>
      </c>
      <c r="AH41" s="33">
        <f t="shared" si="69"/>
        <v>5588.4473477259917</v>
      </c>
      <c r="AI41" s="167">
        <f t="shared" si="70"/>
        <v>307.36460412492954</v>
      </c>
      <c r="AJ41" s="165">
        <v>0</v>
      </c>
      <c r="AK41" s="166">
        <f t="shared" si="71"/>
        <v>0</v>
      </c>
      <c r="AL41" s="33">
        <f t="shared" si="72"/>
        <v>6095.8119518509211</v>
      </c>
      <c r="AM41" s="167">
        <f t="shared" si="73"/>
        <v>335.26965735180067</v>
      </c>
      <c r="AN41" s="165">
        <v>0</v>
      </c>
      <c r="AO41" s="166">
        <f t="shared" si="74"/>
        <v>0</v>
      </c>
      <c r="AP41" s="33">
        <f t="shared" si="75"/>
        <v>6631.0816092027217</v>
      </c>
      <c r="AQ41" s="167">
        <f t="shared" si="76"/>
        <v>364.70948850614968</v>
      </c>
      <c r="AR41" s="165">
        <v>0</v>
      </c>
      <c r="AS41" s="166">
        <f t="shared" si="77"/>
        <v>0</v>
      </c>
      <c r="AT41" s="33">
        <f t="shared" si="78"/>
        <v>7195.7910977088713</v>
      </c>
      <c r="AU41" s="167">
        <f t="shared" si="79"/>
        <v>395.76851037398791</v>
      </c>
      <c r="AV41" s="165">
        <v>0</v>
      </c>
      <c r="AW41" s="166">
        <f t="shared" si="80"/>
        <v>0</v>
      </c>
      <c r="AX41" s="33">
        <f t="shared" si="81"/>
        <v>7791.5596080828591</v>
      </c>
      <c r="AY41" s="167">
        <f t="shared" si="82"/>
        <v>428.53577844455725</v>
      </c>
      <c r="AZ41" s="165">
        <v>0</v>
      </c>
      <c r="BA41" s="166">
        <f t="shared" si="83"/>
        <v>0</v>
      </c>
      <c r="BB41" s="33">
        <f t="shared" si="84"/>
        <v>8420.0953865274168</v>
      </c>
      <c r="BC41" s="167">
        <f t="shared" si="85"/>
        <v>463.10524625900791</v>
      </c>
      <c r="BD41" s="165">
        <v>0</v>
      </c>
      <c r="BE41" s="166">
        <f t="shared" si="86"/>
        <v>0</v>
      </c>
      <c r="BF41" s="33">
        <f t="shared" si="87"/>
        <v>9083.2006327864256</v>
      </c>
      <c r="BG41" s="167">
        <f t="shared" si="88"/>
        <v>499.57603480325344</v>
      </c>
      <c r="BH41" s="165">
        <f>'2018-2019 B STATEMENT '!B770</f>
        <v>2200</v>
      </c>
      <c r="BI41" s="166">
        <f t="shared" si="89"/>
        <v>24.200000000000003</v>
      </c>
      <c r="BJ41" s="33">
        <f t="shared" si="90"/>
        <v>7582.7766675896792</v>
      </c>
      <c r="BK41" s="167">
        <f t="shared" si="91"/>
        <v>296.05271671743236</v>
      </c>
      <c r="BL41" s="87">
        <f t="shared" si="92"/>
        <v>6200</v>
      </c>
    </row>
    <row r="42" spans="1:64">
      <c r="A42" s="10" t="s">
        <v>613</v>
      </c>
      <c r="B42" s="10" t="s">
        <v>143</v>
      </c>
      <c r="C42" s="80">
        <v>0</v>
      </c>
      <c r="D42" s="79">
        <f t="shared" si="47"/>
        <v>2400</v>
      </c>
      <c r="E42" s="79">
        <f>'2019-2020 New'!J42</f>
        <v>2515.176500634911</v>
      </c>
      <c r="F42" s="139">
        <f>'2019-2020 New'!F42</f>
        <v>2400</v>
      </c>
      <c r="G42" s="187">
        <f t="shared" si="48"/>
        <v>2400</v>
      </c>
      <c r="H42" s="159">
        <f t="shared" si="49"/>
        <v>0</v>
      </c>
      <c r="I42" s="190">
        <f t="shared" si="50"/>
        <v>2400</v>
      </c>
      <c r="J42" s="78">
        <f t="shared" si="46"/>
        <v>8239.2320181967989</v>
      </c>
      <c r="K42" s="78">
        <f t="shared" si="51"/>
        <v>0</v>
      </c>
      <c r="L42" s="78">
        <f t="shared" si="52"/>
        <v>0</v>
      </c>
      <c r="M42" s="78">
        <f t="shared" si="53"/>
        <v>3324.0555175618883</v>
      </c>
      <c r="N42" s="194">
        <f t="shared" si="54"/>
        <v>3324.0555175618883</v>
      </c>
      <c r="O42" s="78">
        <f t="shared" si="55"/>
        <v>-3324.0555175618883</v>
      </c>
      <c r="P42" s="165">
        <v>0</v>
      </c>
      <c r="Q42" s="166">
        <f t="shared" si="56"/>
        <v>0</v>
      </c>
      <c r="R42" s="119">
        <f t="shared" si="57"/>
        <v>2715.176500634911</v>
      </c>
      <c r="S42" s="167">
        <f t="shared" si="58"/>
        <v>149.33470753492011</v>
      </c>
      <c r="T42" s="165">
        <v>0</v>
      </c>
      <c r="U42" s="166">
        <f t="shared" si="59"/>
        <v>0</v>
      </c>
      <c r="V42" s="33">
        <f t="shared" si="60"/>
        <v>3064.5112081698312</v>
      </c>
      <c r="W42" s="167">
        <f t="shared" si="61"/>
        <v>168.54811644934071</v>
      </c>
      <c r="X42" s="165">
        <v>0</v>
      </c>
      <c r="Y42" s="166">
        <f t="shared" si="62"/>
        <v>0</v>
      </c>
      <c r="Z42" s="33">
        <f t="shared" si="63"/>
        <v>3433.059324619172</v>
      </c>
      <c r="AA42" s="167">
        <f t="shared" si="64"/>
        <v>188.81826285405447</v>
      </c>
      <c r="AB42" s="165">
        <v>0</v>
      </c>
      <c r="AC42" s="166">
        <f t="shared" si="65"/>
        <v>0</v>
      </c>
      <c r="AD42" s="33">
        <f t="shared" si="66"/>
        <v>3821.8775874732264</v>
      </c>
      <c r="AE42" s="167">
        <f t="shared" si="67"/>
        <v>210.20326731102745</v>
      </c>
      <c r="AF42" s="165">
        <v>0</v>
      </c>
      <c r="AG42" s="166">
        <f t="shared" si="68"/>
        <v>0</v>
      </c>
      <c r="AH42" s="33">
        <f t="shared" si="69"/>
        <v>4232.0808547842535</v>
      </c>
      <c r="AI42" s="167">
        <f t="shared" si="70"/>
        <v>232.76444701313395</v>
      </c>
      <c r="AJ42" s="165">
        <v>0</v>
      </c>
      <c r="AK42" s="166">
        <f t="shared" si="71"/>
        <v>0</v>
      </c>
      <c r="AL42" s="33">
        <f t="shared" si="72"/>
        <v>4664.845301797387</v>
      </c>
      <c r="AM42" s="167">
        <f t="shared" si="73"/>
        <v>256.56649159885632</v>
      </c>
      <c r="AN42" s="165">
        <v>0</v>
      </c>
      <c r="AO42" s="166">
        <f t="shared" si="74"/>
        <v>0</v>
      </c>
      <c r="AP42" s="33">
        <f t="shared" si="75"/>
        <v>5121.4117933962434</v>
      </c>
      <c r="AQ42" s="167">
        <f t="shared" si="76"/>
        <v>281.67764863679338</v>
      </c>
      <c r="AR42" s="165">
        <v>0</v>
      </c>
      <c r="AS42" s="166">
        <f t="shared" si="77"/>
        <v>0</v>
      </c>
      <c r="AT42" s="33">
        <f t="shared" si="78"/>
        <v>5603.0894420330369</v>
      </c>
      <c r="AU42" s="167">
        <f t="shared" si="79"/>
        <v>308.16991931181701</v>
      </c>
      <c r="AV42" s="165">
        <v>0</v>
      </c>
      <c r="AW42" s="166">
        <f t="shared" si="80"/>
        <v>0</v>
      </c>
      <c r="AX42" s="33">
        <f t="shared" si="81"/>
        <v>6111.2593613448535</v>
      </c>
      <c r="AY42" s="167">
        <f t="shared" si="82"/>
        <v>336.11926487396693</v>
      </c>
      <c r="AZ42" s="165">
        <v>0</v>
      </c>
      <c r="BA42" s="166">
        <f t="shared" si="83"/>
        <v>0</v>
      </c>
      <c r="BB42" s="33">
        <f t="shared" si="84"/>
        <v>6647.3786262188205</v>
      </c>
      <c r="BC42" s="167">
        <f t="shared" si="85"/>
        <v>365.60582444203516</v>
      </c>
      <c r="BD42" s="165">
        <v>0</v>
      </c>
      <c r="BE42" s="166">
        <f t="shared" si="86"/>
        <v>0</v>
      </c>
      <c r="BF42" s="33">
        <f t="shared" si="87"/>
        <v>7212.9844506608561</v>
      </c>
      <c r="BG42" s="167">
        <f t="shared" si="88"/>
        <v>396.71414478634711</v>
      </c>
      <c r="BH42" s="165">
        <v>0</v>
      </c>
      <c r="BI42" s="166">
        <f t="shared" si="89"/>
        <v>0</v>
      </c>
      <c r="BJ42" s="33">
        <f t="shared" si="90"/>
        <v>7809.6985954472029</v>
      </c>
      <c r="BK42" s="167">
        <f t="shared" si="91"/>
        <v>429.53342274959618</v>
      </c>
      <c r="BL42" s="87">
        <f t="shared" si="92"/>
        <v>0</v>
      </c>
    </row>
    <row r="43" spans="1:64">
      <c r="A43" s="10" t="s">
        <v>614</v>
      </c>
      <c r="B43" s="10" t="s">
        <v>150</v>
      </c>
      <c r="C43" s="80">
        <v>0</v>
      </c>
      <c r="D43" s="79">
        <f t="shared" si="47"/>
        <v>2400</v>
      </c>
      <c r="E43" s="79">
        <f>'2019-2020 New'!J43</f>
        <v>5605.7202162232616</v>
      </c>
      <c r="F43" s="139">
        <f>'2019-2020 New'!F43</f>
        <v>400</v>
      </c>
      <c r="G43" s="187">
        <f t="shared" si="48"/>
        <v>2400</v>
      </c>
      <c r="H43" s="159">
        <f t="shared" si="49"/>
        <v>1100</v>
      </c>
      <c r="I43" s="190">
        <f t="shared" si="50"/>
        <v>1300</v>
      </c>
      <c r="J43" s="78">
        <f t="shared" si="46"/>
        <v>12438.645790664854</v>
      </c>
      <c r="K43" s="78">
        <f t="shared" si="51"/>
        <v>11.11</v>
      </c>
      <c r="L43" s="78">
        <f t="shared" si="52"/>
        <v>59.888950000000008</v>
      </c>
      <c r="M43" s="78">
        <f t="shared" si="53"/>
        <v>5532.9255744415932</v>
      </c>
      <c r="N43" s="194">
        <f t="shared" si="54"/>
        <v>5532.9255744415932</v>
      </c>
      <c r="O43" s="78">
        <f t="shared" si="55"/>
        <v>-4384.1466244415933</v>
      </c>
      <c r="P43" s="165">
        <f>'2018-2019 B STATEMENT '!B608</f>
        <v>200</v>
      </c>
      <c r="Q43" s="166">
        <f t="shared" si="56"/>
        <v>1.9799999999999998</v>
      </c>
      <c r="R43" s="119">
        <f t="shared" si="57"/>
        <v>5805.7202162232616</v>
      </c>
      <c r="S43" s="167">
        <f t="shared" si="58"/>
        <v>308.3146118922794</v>
      </c>
      <c r="T43" s="165">
        <f>'2018-2019 B STATEMENT '!B613</f>
        <v>100</v>
      </c>
      <c r="U43" s="166">
        <f t="shared" si="59"/>
        <v>0.98999999999999988</v>
      </c>
      <c r="V43" s="33">
        <f t="shared" si="60"/>
        <v>6214.0348281155411</v>
      </c>
      <c r="W43" s="167">
        <f t="shared" si="61"/>
        <v>336.27191554635476</v>
      </c>
      <c r="X43" s="165">
        <f>'2018-2019 B STATEMENT '!B632</f>
        <v>200</v>
      </c>
      <c r="Y43" s="166">
        <f t="shared" si="62"/>
        <v>1.9799999999999998</v>
      </c>
      <c r="Z43" s="33">
        <f t="shared" si="63"/>
        <v>6550.3067436618958</v>
      </c>
      <c r="AA43" s="167">
        <f t="shared" si="64"/>
        <v>349.26687090140427</v>
      </c>
      <c r="AB43" s="165">
        <f>'2018-2019 B STATEMENT '!B659</f>
        <v>200</v>
      </c>
      <c r="AC43" s="166">
        <f t="shared" si="65"/>
        <v>1.9799999999999998</v>
      </c>
      <c r="AD43" s="33">
        <f t="shared" si="66"/>
        <v>6899.5736145633</v>
      </c>
      <c r="AE43" s="167">
        <f t="shared" si="67"/>
        <v>368.4765488009815</v>
      </c>
      <c r="AF43" s="165">
        <v>0</v>
      </c>
      <c r="AG43" s="166">
        <f t="shared" si="68"/>
        <v>0</v>
      </c>
      <c r="AH43" s="33">
        <f t="shared" si="69"/>
        <v>7468.0501633642816</v>
      </c>
      <c r="AI43" s="167">
        <f t="shared" si="70"/>
        <v>410.74275898503549</v>
      </c>
      <c r="AJ43" s="165">
        <f>'2018-2019 B STATEMENT '!B690</f>
        <v>200</v>
      </c>
      <c r="AK43" s="166">
        <f t="shared" si="71"/>
        <v>1.9799999999999998</v>
      </c>
      <c r="AL43" s="33">
        <f t="shared" si="72"/>
        <v>7878.7929223493175</v>
      </c>
      <c r="AM43" s="167">
        <f t="shared" si="73"/>
        <v>422.33361072921247</v>
      </c>
      <c r="AN43" s="165">
        <v>0</v>
      </c>
      <c r="AO43" s="166">
        <f t="shared" si="74"/>
        <v>0</v>
      </c>
      <c r="AP43" s="33">
        <f t="shared" si="75"/>
        <v>8501.12653307853</v>
      </c>
      <c r="AQ43" s="167">
        <f t="shared" si="76"/>
        <v>467.56195931931916</v>
      </c>
      <c r="AR43" s="165">
        <v>0</v>
      </c>
      <c r="AS43" s="166">
        <f t="shared" si="77"/>
        <v>0</v>
      </c>
      <c r="AT43" s="33">
        <f t="shared" si="78"/>
        <v>9168.6884923978487</v>
      </c>
      <c r="AU43" s="167">
        <f t="shared" si="79"/>
        <v>504.27786708188165</v>
      </c>
      <c r="AV43" s="165">
        <f>'2018-2019 B STATEMENT '!B739</f>
        <v>200</v>
      </c>
      <c r="AW43" s="166">
        <f t="shared" si="80"/>
        <v>2.2000000000000002</v>
      </c>
      <c r="AX43" s="33">
        <f t="shared" si="81"/>
        <v>9672.9663594797312</v>
      </c>
      <c r="AY43" s="167">
        <f t="shared" si="82"/>
        <v>521.0131497713852</v>
      </c>
      <c r="AZ43" s="165">
        <v>0</v>
      </c>
      <c r="BA43" s="166">
        <f t="shared" si="83"/>
        <v>0</v>
      </c>
      <c r="BB43" s="33">
        <f t="shared" si="84"/>
        <v>10393.979509251116</v>
      </c>
      <c r="BC43" s="167">
        <f t="shared" si="85"/>
        <v>571.66887300881137</v>
      </c>
      <c r="BD43" s="165">
        <v>0</v>
      </c>
      <c r="BE43" s="166">
        <f t="shared" si="86"/>
        <v>0</v>
      </c>
      <c r="BF43" s="33">
        <f t="shared" si="87"/>
        <v>11165.648382259928</v>
      </c>
      <c r="BG43" s="167">
        <f t="shared" si="88"/>
        <v>614.11066102429606</v>
      </c>
      <c r="BH43" s="165">
        <v>0</v>
      </c>
      <c r="BI43" s="166">
        <f t="shared" si="89"/>
        <v>0</v>
      </c>
      <c r="BJ43" s="33">
        <f t="shared" si="90"/>
        <v>11979.759043284224</v>
      </c>
      <c r="BK43" s="167">
        <f t="shared" si="91"/>
        <v>658.8867473806323</v>
      </c>
      <c r="BL43" s="87">
        <f t="shared" si="92"/>
        <v>1100</v>
      </c>
    </row>
    <row r="44" spans="1:64">
      <c r="A44" s="10" t="s">
        <v>615</v>
      </c>
      <c r="B44" s="10" t="s">
        <v>159</v>
      </c>
      <c r="C44" s="80">
        <v>0</v>
      </c>
      <c r="D44" s="79">
        <f t="shared" si="47"/>
        <v>2400</v>
      </c>
      <c r="E44" s="79">
        <f>'2019-2020 New'!J44</f>
        <v>2484.6744339955972</v>
      </c>
      <c r="F44" s="139">
        <f>'2019-2020 New'!F44</f>
        <v>400</v>
      </c>
      <c r="G44" s="187">
        <f t="shared" si="48"/>
        <v>2400</v>
      </c>
      <c r="H44" s="159">
        <f t="shared" si="49"/>
        <v>2600</v>
      </c>
      <c r="I44" s="190">
        <f t="shared" si="50"/>
        <v>-200</v>
      </c>
      <c r="J44" s="78">
        <f t="shared" si="46"/>
        <v>4216.4309446810876</v>
      </c>
      <c r="K44" s="78">
        <f t="shared" si="51"/>
        <v>26.509999999999998</v>
      </c>
      <c r="L44" s="78">
        <f t="shared" si="52"/>
        <v>141.54194999999999</v>
      </c>
      <c r="M44" s="78">
        <f t="shared" si="53"/>
        <v>1931.7565106854904</v>
      </c>
      <c r="N44" s="194">
        <f t="shared" si="54"/>
        <v>1931.7565106854904</v>
      </c>
      <c r="O44" s="78">
        <f t="shared" si="55"/>
        <v>783.27543931450941</v>
      </c>
      <c r="P44" s="165">
        <v>0</v>
      </c>
      <c r="Q44" s="166">
        <f t="shared" si="56"/>
        <v>0</v>
      </c>
      <c r="R44" s="119">
        <f t="shared" si="57"/>
        <v>2684.6744339955972</v>
      </c>
      <c r="S44" s="167">
        <f t="shared" si="58"/>
        <v>147.65709386975786</v>
      </c>
      <c r="T44" s="165">
        <f>'2018-2019 B STATEMENT '!B617</f>
        <v>400</v>
      </c>
      <c r="U44" s="166">
        <f t="shared" si="59"/>
        <v>3.9599999999999995</v>
      </c>
      <c r="V44" s="33">
        <f t="shared" si="60"/>
        <v>2632.3315278653549</v>
      </c>
      <c r="W44" s="167">
        <f t="shared" si="61"/>
        <v>122.77823403259453</v>
      </c>
      <c r="X44" s="165">
        <f>'2018-2019 B STATEMENT '!B634</f>
        <v>400</v>
      </c>
      <c r="Y44" s="166">
        <f t="shared" si="62"/>
        <v>3.9599999999999995</v>
      </c>
      <c r="Z44" s="33">
        <f t="shared" si="63"/>
        <v>2555.1097618979493</v>
      </c>
      <c r="AA44" s="167">
        <f t="shared" si="64"/>
        <v>118.53103690438721</v>
      </c>
      <c r="AB44" s="165">
        <f>'2018-2019 B STATEMENT '!B669</f>
        <v>300</v>
      </c>
      <c r="AC44" s="166">
        <f t="shared" si="65"/>
        <v>2.9699999999999998</v>
      </c>
      <c r="AD44" s="33">
        <f t="shared" si="66"/>
        <v>2573.6407988023366</v>
      </c>
      <c r="AE44" s="167">
        <f t="shared" si="67"/>
        <v>125.05024393412852</v>
      </c>
      <c r="AF44" s="165">
        <v>0</v>
      </c>
      <c r="AG44" s="166">
        <f t="shared" si="68"/>
        <v>0</v>
      </c>
      <c r="AH44" s="33">
        <f t="shared" si="69"/>
        <v>2898.6910427364651</v>
      </c>
      <c r="AI44" s="167">
        <f t="shared" si="70"/>
        <v>159.42800735050557</v>
      </c>
      <c r="AJ44" s="165">
        <f>'2018-2019 B STATEMENT '!B694</f>
        <v>300</v>
      </c>
      <c r="AK44" s="166">
        <f t="shared" si="71"/>
        <v>2.9699999999999998</v>
      </c>
      <c r="AL44" s="33">
        <f t="shared" si="72"/>
        <v>2958.1190500869707</v>
      </c>
      <c r="AM44" s="167">
        <f t="shared" si="73"/>
        <v>146.19654775478338</v>
      </c>
      <c r="AN44" s="165">
        <f>'2018-2019 B STATEMENT '!B709</f>
        <v>200</v>
      </c>
      <c r="AO44" s="166">
        <f t="shared" si="74"/>
        <v>1.9799999999999998</v>
      </c>
      <c r="AP44" s="33">
        <f t="shared" si="75"/>
        <v>3104.315597841754</v>
      </c>
      <c r="AQ44" s="167">
        <f t="shared" si="76"/>
        <v>159.73735788129648</v>
      </c>
      <c r="AR44" s="165">
        <f>'2018-2019 B STATEMENT '!B726</f>
        <v>300</v>
      </c>
      <c r="AS44" s="166">
        <f t="shared" si="77"/>
        <v>2.9699999999999998</v>
      </c>
      <c r="AT44" s="33">
        <f t="shared" si="78"/>
        <v>3164.0529557230502</v>
      </c>
      <c r="AU44" s="167">
        <f t="shared" si="79"/>
        <v>157.52291256476775</v>
      </c>
      <c r="AV44" s="165">
        <v>0</v>
      </c>
      <c r="AW44" s="166">
        <f t="shared" si="80"/>
        <v>0</v>
      </c>
      <c r="AX44" s="33">
        <f t="shared" si="81"/>
        <v>3521.5758682878181</v>
      </c>
      <c r="AY44" s="167">
        <f t="shared" si="82"/>
        <v>193.68667275582999</v>
      </c>
      <c r="AZ44" s="165">
        <f>'2018-2019 B STATEMENT '!B743</f>
        <v>300</v>
      </c>
      <c r="BA44" s="166">
        <f t="shared" si="83"/>
        <v>3.3000000000000003</v>
      </c>
      <c r="BB44" s="33">
        <f t="shared" si="84"/>
        <v>3615.2625410436481</v>
      </c>
      <c r="BC44" s="167">
        <f t="shared" si="85"/>
        <v>182.33943975740064</v>
      </c>
      <c r="BD44" s="165">
        <v>0</v>
      </c>
      <c r="BE44" s="166">
        <f t="shared" si="86"/>
        <v>0</v>
      </c>
      <c r="BF44" s="33">
        <f t="shared" si="87"/>
        <v>3997.6019808010487</v>
      </c>
      <c r="BG44" s="167">
        <f t="shared" si="88"/>
        <v>219.8681089440577</v>
      </c>
      <c r="BH44" s="165">
        <f>'2018-2019 B STATEMENT '!B774</f>
        <v>400</v>
      </c>
      <c r="BI44" s="166">
        <f t="shared" si="89"/>
        <v>4.4000000000000004</v>
      </c>
      <c r="BJ44" s="33">
        <f t="shared" si="90"/>
        <v>4017.4700897451066</v>
      </c>
      <c r="BK44" s="167">
        <f t="shared" si="91"/>
        <v>198.96085493598088</v>
      </c>
      <c r="BL44" s="87">
        <f t="shared" si="92"/>
        <v>2600</v>
      </c>
    </row>
    <row r="45" spans="1:64">
      <c r="A45" s="10" t="s">
        <v>616</v>
      </c>
      <c r="B45" s="10" t="s">
        <v>126</v>
      </c>
      <c r="C45" s="80">
        <v>0</v>
      </c>
      <c r="D45" s="79">
        <f t="shared" si="47"/>
        <v>2400</v>
      </c>
      <c r="E45" s="79">
        <f>'2019-2020 New'!J45</f>
        <v>-5067.911628769285</v>
      </c>
      <c r="F45" s="139">
        <f>'2019-2020 New'!F45</f>
        <v>200</v>
      </c>
      <c r="G45" s="187">
        <f t="shared" si="48"/>
        <v>2400</v>
      </c>
      <c r="H45" s="159">
        <f t="shared" si="49"/>
        <v>0</v>
      </c>
      <c r="I45" s="190">
        <f t="shared" si="50"/>
        <v>2400</v>
      </c>
      <c r="J45" s="78">
        <f t="shared" si="46"/>
        <v>-6177.7918985967353</v>
      </c>
      <c r="K45" s="78">
        <f t="shared" si="51"/>
        <v>0</v>
      </c>
      <c r="L45" s="78">
        <f t="shared" si="52"/>
        <v>0</v>
      </c>
      <c r="M45" s="78">
        <f t="shared" si="53"/>
        <v>-3509.8802698274503</v>
      </c>
      <c r="N45" s="194">
        <f t="shared" si="54"/>
        <v>-3509.8802698274503</v>
      </c>
      <c r="O45" s="78">
        <f t="shared" si="55"/>
        <v>3509.8802698274503</v>
      </c>
      <c r="P45" s="165">
        <v>0</v>
      </c>
      <c r="Q45" s="166">
        <f t="shared" si="56"/>
        <v>0</v>
      </c>
      <c r="R45" s="119">
        <f t="shared" si="57"/>
        <v>-4867.911628769285</v>
      </c>
      <c r="S45" s="167">
        <f t="shared" si="58"/>
        <v>-267.73513958231069</v>
      </c>
      <c r="T45" s="165">
        <v>0</v>
      </c>
      <c r="U45" s="166">
        <f t="shared" si="59"/>
        <v>0</v>
      </c>
      <c r="V45" s="33">
        <f t="shared" si="60"/>
        <v>-4935.6467683515957</v>
      </c>
      <c r="W45" s="167">
        <f t="shared" si="61"/>
        <v>-271.46057225933777</v>
      </c>
      <c r="X45" s="165">
        <v>0</v>
      </c>
      <c r="Y45" s="166">
        <f t="shared" si="62"/>
        <v>0</v>
      </c>
      <c r="Z45" s="33">
        <f t="shared" si="63"/>
        <v>-5007.1073406109335</v>
      </c>
      <c r="AA45" s="167">
        <f t="shared" si="64"/>
        <v>-275.39090373360136</v>
      </c>
      <c r="AB45" s="165">
        <v>0</v>
      </c>
      <c r="AC45" s="166">
        <f t="shared" si="65"/>
        <v>0</v>
      </c>
      <c r="AD45" s="33">
        <f t="shared" si="66"/>
        <v>-5082.4982443445351</v>
      </c>
      <c r="AE45" s="167">
        <f t="shared" si="67"/>
        <v>-279.53740343894941</v>
      </c>
      <c r="AF45" s="165">
        <v>0</v>
      </c>
      <c r="AG45" s="166">
        <f t="shared" si="68"/>
        <v>0</v>
      </c>
      <c r="AH45" s="33">
        <f t="shared" si="69"/>
        <v>-5162.0356477834848</v>
      </c>
      <c r="AI45" s="167">
        <f t="shared" si="70"/>
        <v>-283.91196062809166</v>
      </c>
      <c r="AJ45" s="165">
        <v>0</v>
      </c>
      <c r="AK45" s="166">
        <f t="shared" si="71"/>
        <v>0</v>
      </c>
      <c r="AL45" s="33">
        <f t="shared" si="72"/>
        <v>-5245.9476084115768</v>
      </c>
      <c r="AM45" s="167">
        <f t="shared" si="73"/>
        <v>-288.52711846263674</v>
      </c>
      <c r="AN45" s="165">
        <v>0</v>
      </c>
      <c r="AO45" s="166">
        <f t="shared" si="74"/>
        <v>0</v>
      </c>
      <c r="AP45" s="33">
        <f t="shared" si="75"/>
        <v>-5334.474726874214</v>
      </c>
      <c r="AQ45" s="167">
        <f t="shared" si="76"/>
        <v>-293.39610997808177</v>
      </c>
      <c r="AR45" s="165">
        <v>0</v>
      </c>
      <c r="AS45" s="166">
        <f t="shared" si="77"/>
        <v>0</v>
      </c>
      <c r="AT45" s="33">
        <f t="shared" si="78"/>
        <v>-5427.8708368522957</v>
      </c>
      <c r="AU45" s="167">
        <f t="shared" si="79"/>
        <v>-298.53289602687624</v>
      </c>
      <c r="AV45" s="165">
        <v>0</v>
      </c>
      <c r="AW45" s="166">
        <f t="shared" si="80"/>
        <v>0</v>
      </c>
      <c r="AX45" s="33">
        <f t="shared" si="81"/>
        <v>-5526.4037328791719</v>
      </c>
      <c r="AY45" s="167">
        <f t="shared" si="82"/>
        <v>-303.95220530835445</v>
      </c>
      <c r="AZ45" s="165">
        <v>0</v>
      </c>
      <c r="BA45" s="166">
        <f t="shared" si="83"/>
        <v>0</v>
      </c>
      <c r="BB45" s="33">
        <f t="shared" si="84"/>
        <v>-5630.3559381875266</v>
      </c>
      <c r="BC45" s="167">
        <f t="shared" si="85"/>
        <v>-309.66957660031397</v>
      </c>
      <c r="BD45" s="165">
        <v>0</v>
      </c>
      <c r="BE45" s="166">
        <f t="shared" si="86"/>
        <v>0</v>
      </c>
      <c r="BF45" s="33">
        <f t="shared" si="87"/>
        <v>-5740.0255147878406</v>
      </c>
      <c r="BG45" s="167">
        <f t="shared" si="88"/>
        <v>-315.70140331333124</v>
      </c>
      <c r="BH45" s="165">
        <v>0</v>
      </c>
      <c r="BI45" s="166">
        <f t="shared" si="89"/>
        <v>0</v>
      </c>
      <c r="BJ45" s="33">
        <f t="shared" si="90"/>
        <v>-5855.7269181011716</v>
      </c>
      <c r="BK45" s="167">
        <f t="shared" si="91"/>
        <v>-322.06498049556444</v>
      </c>
      <c r="BL45" s="87">
        <f t="shared" si="92"/>
        <v>0</v>
      </c>
    </row>
    <row r="46" spans="1:64">
      <c r="A46" s="10" t="s">
        <v>617</v>
      </c>
      <c r="B46" s="10" t="s">
        <v>151</v>
      </c>
      <c r="C46" s="80">
        <v>0</v>
      </c>
      <c r="D46" s="79">
        <f t="shared" si="47"/>
        <v>2400</v>
      </c>
      <c r="E46" s="79">
        <f>'2019-2020 New'!J46</f>
        <v>6044.5243775705112</v>
      </c>
      <c r="F46" s="139">
        <f>'2019-2020 New'!F46</f>
        <v>1600</v>
      </c>
      <c r="G46" s="187">
        <f t="shared" si="48"/>
        <v>2400</v>
      </c>
      <c r="H46" s="159">
        <f t="shared" si="49"/>
        <v>3400</v>
      </c>
      <c r="I46" s="190">
        <f t="shared" si="50"/>
        <v>-1000</v>
      </c>
      <c r="J46" s="78">
        <f t="shared" si="46"/>
        <v>10166.760103902856</v>
      </c>
      <c r="K46" s="78">
        <f t="shared" si="51"/>
        <v>34.65</v>
      </c>
      <c r="L46" s="78">
        <f t="shared" si="52"/>
        <v>185.09424999999999</v>
      </c>
      <c r="M46" s="78">
        <f t="shared" si="53"/>
        <v>5122.2357263323447</v>
      </c>
      <c r="N46" s="194">
        <f t="shared" si="54"/>
        <v>5122.2357263323447</v>
      </c>
      <c r="O46" s="78">
        <f t="shared" si="55"/>
        <v>-1571.7914763323447</v>
      </c>
      <c r="P46" s="165">
        <f>'2018-2019 B STATEMENT '!B602</f>
        <v>1000</v>
      </c>
      <c r="Q46" s="166">
        <f t="shared" si="56"/>
        <v>9.8999999999999986</v>
      </c>
      <c r="R46" s="119">
        <f t="shared" si="57"/>
        <v>6244.5243775705112</v>
      </c>
      <c r="S46" s="167">
        <f t="shared" si="58"/>
        <v>288.44884076637811</v>
      </c>
      <c r="T46" s="165">
        <f>'2018-2019 B STATEMENT '!B626</f>
        <v>300</v>
      </c>
      <c r="U46" s="166">
        <f t="shared" si="59"/>
        <v>2.9699999999999998</v>
      </c>
      <c r="V46" s="33">
        <f t="shared" si="60"/>
        <v>6432.9732183368897</v>
      </c>
      <c r="W46" s="167">
        <f t="shared" si="61"/>
        <v>337.31352700852892</v>
      </c>
      <c r="X46" s="165">
        <f>'2018-2019 B STATEMENT '!B644</f>
        <v>300</v>
      </c>
      <c r="Y46" s="166">
        <f t="shared" si="62"/>
        <v>2.9699999999999998</v>
      </c>
      <c r="Z46" s="33">
        <f t="shared" si="63"/>
        <v>6670.2867453454182</v>
      </c>
      <c r="AA46" s="167">
        <f t="shared" si="64"/>
        <v>350.36577099399801</v>
      </c>
      <c r="AB46" s="165">
        <f>'2018-2019 B STATEMENT '!B670</f>
        <v>300</v>
      </c>
      <c r="AC46" s="166">
        <f t="shared" si="65"/>
        <v>2.9699999999999998</v>
      </c>
      <c r="AD46" s="33">
        <f t="shared" si="66"/>
        <v>6920.6525163394163</v>
      </c>
      <c r="AE46" s="167">
        <f t="shared" si="67"/>
        <v>364.13588839866787</v>
      </c>
      <c r="AF46" s="165">
        <f>'2018-2019 B STATEMENT '!B683</f>
        <v>300</v>
      </c>
      <c r="AG46" s="166">
        <f t="shared" si="68"/>
        <v>2.9699999999999998</v>
      </c>
      <c r="AH46" s="33">
        <f t="shared" si="69"/>
        <v>7184.788404738084</v>
      </c>
      <c r="AI46" s="167">
        <f t="shared" si="70"/>
        <v>378.66336226059462</v>
      </c>
      <c r="AJ46" s="165">
        <f>'2018-2019 B STATEMENT '!B695</f>
        <v>300</v>
      </c>
      <c r="AK46" s="166">
        <f t="shared" si="71"/>
        <v>2.9699999999999998</v>
      </c>
      <c r="AL46" s="33">
        <f t="shared" si="72"/>
        <v>7463.451766998679</v>
      </c>
      <c r="AM46" s="167">
        <f t="shared" si="73"/>
        <v>393.98984718492733</v>
      </c>
      <c r="AN46" s="165">
        <v>0</v>
      </c>
      <c r="AO46" s="166">
        <f t="shared" si="74"/>
        <v>0</v>
      </c>
      <c r="AP46" s="33">
        <f t="shared" si="75"/>
        <v>8057.4416141836064</v>
      </c>
      <c r="AQ46" s="167">
        <f t="shared" si="76"/>
        <v>443.15928878009834</v>
      </c>
      <c r="AR46" s="165">
        <v>0</v>
      </c>
      <c r="AS46" s="166">
        <f t="shared" si="77"/>
        <v>0</v>
      </c>
      <c r="AT46" s="33">
        <f t="shared" si="78"/>
        <v>8700.6009029637044</v>
      </c>
      <c r="AU46" s="167">
        <f t="shared" si="79"/>
        <v>478.53304966300374</v>
      </c>
      <c r="AV46" s="165">
        <f>'2018-2019 B STATEMENT '!B735</f>
        <v>500</v>
      </c>
      <c r="AW46" s="166">
        <f t="shared" si="80"/>
        <v>5.5000000000000009</v>
      </c>
      <c r="AX46" s="33">
        <f t="shared" si="81"/>
        <v>8879.1339526267075</v>
      </c>
      <c r="AY46" s="167">
        <f t="shared" si="82"/>
        <v>460.8523673944689</v>
      </c>
      <c r="AZ46" s="165">
        <f>'2018-2019 B STATEMENT '!B749</f>
        <v>200</v>
      </c>
      <c r="BA46" s="166">
        <f t="shared" si="83"/>
        <v>2.2000000000000002</v>
      </c>
      <c r="BB46" s="33">
        <f t="shared" si="84"/>
        <v>9339.9863200211767</v>
      </c>
      <c r="BC46" s="167">
        <f t="shared" si="85"/>
        <v>502.6992476011647</v>
      </c>
      <c r="BD46" s="165">
        <v>0</v>
      </c>
      <c r="BE46" s="166">
        <f t="shared" si="86"/>
        <v>0</v>
      </c>
      <c r="BF46" s="33">
        <f t="shared" si="87"/>
        <v>10042.685567622342</v>
      </c>
      <c r="BG46" s="167">
        <f t="shared" si="88"/>
        <v>552.34770621922883</v>
      </c>
      <c r="BH46" s="165">
        <f>'2018-2019 B STATEMENT '!B779</f>
        <v>200</v>
      </c>
      <c r="BI46" s="166">
        <f t="shared" si="89"/>
        <v>2.2000000000000002</v>
      </c>
      <c r="BJ46" s="33">
        <f t="shared" si="90"/>
        <v>10595.033273841571</v>
      </c>
      <c r="BK46" s="167">
        <f t="shared" si="91"/>
        <v>571.72683006128636</v>
      </c>
      <c r="BL46" s="87">
        <f t="shared" si="92"/>
        <v>3400</v>
      </c>
    </row>
    <row r="47" spans="1:64">
      <c r="A47" s="10" t="s">
        <v>618</v>
      </c>
      <c r="B47" s="10" t="s">
        <v>116</v>
      </c>
      <c r="C47" s="80">
        <v>0</v>
      </c>
      <c r="D47" s="79">
        <f t="shared" si="47"/>
        <v>2400</v>
      </c>
      <c r="E47" s="79">
        <f>'2019-2020 New'!J47</f>
        <v>6309.1708558230721</v>
      </c>
      <c r="F47" s="139">
        <f>'2019-2020 New'!F47</f>
        <v>0</v>
      </c>
      <c r="G47" s="187">
        <f t="shared" si="48"/>
        <v>2400</v>
      </c>
      <c r="H47" s="159">
        <f t="shared" si="49"/>
        <v>0</v>
      </c>
      <c r="I47" s="190">
        <f t="shared" si="50"/>
        <v>2400</v>
      </c>
      <c r="J47" s="78">
        <f t="shared" si="46"/>
        <v>15452.402487207954</v>
      </c>
      <c r="K47" s="78">
        <f t="shared" si="51"/>
        <v>0</v>
      </c>
      <c r="L47" s="78">
        <f t="shared" si="52"/>
        <v>0</v>
      </c>
      <c r="M47" s="78">
        <f t="shared" si="53"/>
        <v>6743.2316313848833</v>
      </c>
      <c r="N47" s="194">
        <f t="shared" si="54"/>
        <v>6743.2316313848833</v>
      </c>
      <c r="O47" s="78">
        <f t="shared" si="55"/>
        <v>-6743.2316313848833</v>
      </c>
      <c r="P47" s="165">
        <v>0</v>
      </c>
      <c r="Q47" s="166">
        <f t="shared" si="56"/>
        <v>0</v>
      </c>
      <c r="R47" s="119">
        <f t="shared" si="57"/>
        <v>6509.1708558230721</v>
      </c>
      <c r="S47" s="167">
        <f t="shared" si="58"/>
        <v>358.00439707026896</v>
      </c>
      <c r="T47" s="165">
        <v>0</v>
      </c>
      <c r="U47" s="166">
        <f t="shared" si="59"/>
        <v>0</v>
      </c>
      <c r="V47" s="33">
        <f t="shared" si="60"/>
        <v>7067.1752528933412</v>
      </c>
      <c r="W47" s="167">
        <f t="shared" si="61"/>
        <v>388.69463890913374</v>
      </c>
      <c r="X47" s="165">
        <v>0</v>
      </c>
      <c r="Y47" s="166">
        <f t="shared" si="62"/>
        <v>0</v>
      </c>
      <c r="Z47" s="33">
        <f t="shared" si="63"/>
        <v>7655.8698918024747</v>
      </c>
      <c r="AA47" s="167">
        <f t="shared" si="64"/>
        <v>421.07284404913611</v>
      </c>
      <c r="AB47" s="165">
        <v>0</v>
      </c>
      <c r="AC47" s="166">
        <f t="shared" si="65"/>
        <v>0</v>
      </c>
      <c r="AD47" s="33">
        <f t="shared" si="66"/>
        <v>8276.9427358516114</v>
      </c>
      <c r="AE47" s="167">
        <f t="shared" si="67"/>
        <v>455.23185047183864</v>
      </c>
      <c r="AF47" s="165">
        <v>0</v>
      </c>
      <c r="AG47" s="166">
        <f t="shared" si="68"/>
        <v>0</v>
      </c>
      <c r="AH47" s="33">
        <f t="shared" si="69"/>
        <v>8932.1745863234501</v>
      </c>
      <c r="AI47" s="167">
        <f t="shared" si="70"/>
        <v>491.26960224778975</v>
      </c>
      <c r="AJ47" s="165">
        <v>0</v>
      </c>
      <c r="AK47" s="166">
        <f t="shared" si="71"/>
        <v>0</v>
      </c>
      <c r="AL47" s="33">
        <f t="shared" si="72"/>
        <v>9623.4441885712404</v>
      </c>
      <c r="AM47" s="167">
        <f t="shared" si="73"/>
        <v>529.28943037141823</v>
      </c>
      <c r="AN47" s="165">
        <v>0</v>
      </c>
      <c r="AO47" s="166">
        <f t="shared" si="74"/>
        <v>0</v>
      </c>
      <c r="AP47" s="33">
        <f t="shared" si="75"/>
        <v>10352.733618942659</v>
      </c>
      <c r="AQ47" s="167">
        <f t="shared" si="76"/>
        <v>569.4003490418462</v>
      </c>
      <c r="AR47" s="165">
        <v>0</v>
      </c>
      <c r="AS47" s="166">
        <f t="shared" si="77"/>
        <v>0</v>
      </c>
      <c r="AT47" s="33">
        <f t="shared" si="78"/>
        <v>11122.133967984504</v>
      </c>
      <c r="AU47" s="167">
        <f t="shared" si="79"/>
        <v>611.71736823914773</v>
      </c>
      <c r="AV47" s="165">
        <v>0</v>
      </c>
      <c r="AW47" s="166">
        <f t="shared" si="80"/>
        <v>0</v>
      </c>
      <c r="AX47" s="33">
        <f t="shared" si="81"/>
        <v>11933.851336223652</v>
      </c>
      <c r="AY47" s="167">
        <f t="shared" si="82"/>
        <v>656.3618234923008</v>
      </c>
      <c r="AZ47" s="165">
        <v>0</v>
      </c>
      <c r="BA47" s="166">
        <f t="shared" si="83"/>
        <v>0</v>
      </c>
      <c r="BB47" s="33">
        <f t="shared" si="84"/>
        <v>12790.213159715953</v>
      </c>
      <c r="BC47" s="167">
        <f t="shared" si="85"/>
        <v>703.46172378437745</v>
      </c>
      <c r="BD47" s="165">
        <v>0</v>
      </c>
      <c r="BE47" s="166">
        <f t="shared" si="86"/>
        <v>0</v>
      </c>
      <c r="BF47" s="33">
        <f t="shared" si="87"/>
        <v>13693.674883500331</v>
      </c>
      <c r="BG47" s="167">
        <f t="shared" si="88"/>
        <v>753.15211859251815</v>
      </c>
      <c r="BH47" s="165">
        <v>0</v>
      </c>
      <c r="BI47" s="166">
        <f t="shared" si="89"/>
        <v>0</v>
      </c>
      <c r="BJ47" s="33">
        <f t="shared" si="90"/>
        <v>14646.827002092848</v>
      </c>
      <c r="BK47" s="167">
        <f t="shared" si="91"/>
        <v>805.57548511510663</v>
      </c>
      <c r="BL47" s="87">
        <f t="shared" si="92"/>
        <v>0</v>
      </c>
    </row>
    <row r="48" spans="1:64">
      <c r="A48" s="10" t="s">
        <v>619</v>
      </c>
      <c r="B48" s="10" t="s">
        <v>135</v>
      </c>
      <c r="C48" s="80">
        <v>0</v>
      </c>
      <c r="D48" s="79">
        <f t="shared" si="47"/>
        <v>2400</v>
      </c>
      <c r="E48" s="79">
        <f>'2019-2020 New'!J48</f>
        <v>-569.32881833039869</v>
      </c>
      <c r="F48" s="139">
        <f>'2019-2020 New'!F48</f>
        <v>400</v>
      </c>
      <c r="G48" s="187">
        <f t="shared" si="48"/>
        <v>2400</v>
      </c>
      <c r="H48" s="159">
        <f t="shared" si="49"/>
        <v>2400</v>
      </c>
      <c r="I48" s="190">
        <f t="shared" si="50"/>
        <v>0</v>
      </c>
      <c r="J48" s="78">
        <f t="shared" si="46"/>
        <v>-1082.4122112680845</v>
      </c>
      <c r="K48" s="78">
        <f t="shared" si="51"/>
        <v>24.639999999999997</v>
      </c>
      <c r="L48" s="78">
        <f t="shared" si="52"/>
        <v>130.6448</v>
      </c>
      <c r="M48" s="78">
        <f t="shared" si="53"/>
        <v>-513.08339293768586</v>
      </c>
      <c r="N48" s="194">
        <f t="shared" si="54"/>
        <v>-513.08339293768586</v>
      </c>
      <c r="O48" s="78">
        <f t="shared" si="55"/>
        <v>3019.088192937686</v>
      </c>
      <c r="P48" s="165">
        <f>'2018-2019 B STATEMENT '!B597</f>
        <v>200</v>
      </c>
      <c r="Q48" s="166">
        <f t="shared" si="56"/>
        <v>1.9799999999999998</v>
      </c>
      <c r="R48" s="119">
        <f t="shared" si="57"/>
        <v>-369.32881833039869</v>
      </c>
      <c r="S48" s="167">
        <f t="shared" si="58"/>
        <v>-31.313085008171928</v>
      </c>
      <c r="T48" s="165">
        <f>'2018-2019 B STATEMENT '!B618</f>
        <v>200</v>
      </c>
      <c r="U48" s="166">
        <f t="shared" si="59"/>
        <v>1.9799999999999998</v>
      </c>
      <c r="V48" s="33">
        <f t="shared" si="60"/>
        <v>-400.64190333857061</v>
      </c>
      <c r="W48" s="167">
        <f t="shared" si="61"/>
        <v>-33.035304683621384</v>
      </c>
      <c r="X48" s="165">
        <f>'2018-2019 B STATEMENT '!B637</f>
        <v>200</v>
      </c>
      <c r="Y48" s="166">
        <f t="shared" si="62"/>
        <v>1.9799999999999998</v>
      </c>
      <c r="Z48" s="33">
        <f t="shared" si="63"/>
        <v>-433.67720802219202</v>
      </c>
      <c r="AA48" s="167">
        <f t="shared" si="64"/>
        <v>-34.852246441220558</v>
      </c>
      <c r="AB48" s="165">
        <f>'2018-2019 B STATEMENT '!B664</f>
        <v>200</v>
      </c>
      <c r="AC48" s="166">
        <f t="shared" si="65"/>
        <v>1.9799999999999998</v>
      </c>
      <c r="AD48" s="33">
        <f t="shared" si="66"/>
        <v>-468.52945446341255</v>
      </c>
      <c r="AE48" s="167">
        <f t="shared" si="67"/>
        <v>-36.769119995487692</v>
      </c>
      <c r="AF48" s="165">
        <f>'2018-2019 B STATEMENT '!B677</f>
        <v>200</v>
      </c>
      <c r="AG48" s="166">
        <f t="shared" si="68"/>
        <v>1.9799999999999998</v>
      </c>
      <c r="AH48" s="33">
        <f t="shared" si="69"/>
        <v>-505.29857445890025</v>
      </c>
      <c r="AI48" s="167">
        <f t="shared" si="70"/>
        <v>-38.791421595239512</v>
      </c>
      <c r="AJ48" s="165">
        <f>'2018-2019 B STATEMENT '!B698</f>
        <v>200</v>
      </c>
      <c r="AK48" s="166">
        <f t="shared" si="71"/>
        <v>1.9799999999999998</v>
      </c>
      <c r="AL48" s="33">
        <f t="shared" si="72"/>
        <v>-544.08999605413976</v>
      </c>
      <c r="AM48" s="167">
        <f t="shared" si="73"/>
        <v>-40.924949782977684</v>
      </c>
      <c r="AN48" s="165">
        <f>'2018-2019 B STATEMENT '!B705</f>
        <v>200</v>
      </c>
      <c r="AO48" s="166">
        <f t="shared" si="74"/>
        <v>1.9799999999999998</v>
      </c>
      <c r="AP48" s="33">
        <f t="shared" si="75"/>
        <v>-585.01494583711747</v>
      </c>
      <c r="AQ48" s="167">
        <f t="shared" si="76"/>
        <v>-43.175822021041462</v>
      </c>
      <c r="AR48" s="165">
        <f>'2018-2019 B STATEMENT '!B719</f>
        <v>200</v>
      </c>
      <c r="AS48" s="166">
        <f t="shared" si="77"/>
        <v>1.9799999999999998</v>
      </c>
      <c r="AT48" s="33">
        <f t="shared" si="78"/>
        <v>-628.19076785815889</v>
      </c>
      <c r="AU48" s="167">
        <f t="shared" si="79"/>
        <v>-45.550492232198742</v>
      </c>
      <c r="AV48" s="165">
        <f>'2018-2019 B STATEMENT '!B734</f>
        <v>200</v>
      </c>
      <c r="AW48" s="166">
        <f t="shared" si="80"/>
        <v>2.2000000000000002</v>
      </c>
      <c r="AX48" s="33">
        <f t="shared" si="81"/>
        <v>-673.74126009035763</v>
      </c>
      <c r="AY48" s="167">
        <f t="shared" si="82"/>
        <v>-48.055769304969672</v>
      </c>
      <c r="AZ48" s="165">
        <f>'2018-2019 B STATEMENT '!B744</f>
        <v>200</v>
      </c>
      <c r="BA48" s="166">
        <f t="shared" si="83"/>
        <v>2.2000000000000002</v>
      </c>
      <c r="BB48" s="33">
        <f t="shared" si="84"/>
        <v>-721.79702939532729</v>
      </c>
      <c r="BC48" s="167">
        <f t="shared" si="85"/>
        <v>-50.698836616743002</v>
      </c>
      <c r="BD48" s="165">
        <f>'2018-2019 B STATEMENT '!B755</f>
        <v>200</v>
      </c>
      <c r="BE48" s="166">
        <f t="shared" si="86"/>
        <v>2.2000000000000002</v>
      </c>
      <c r="BF48" s="33">
        <f t="shared" si="87"/>
        <v>-772.49586601207034</v>
      </c>
      <c r="BG48" s="167">
        <f t="shared" si="88"/>
        <v>-53.487272630663867</v>
      </c>
      <c r="BH48" s="165">
        <f>'2018-2019 B STATEMENT '!B775</f>
        <v>200</v>
      </c>
      <c r="BI48" s="166">
        <f t="shared" si="89"/>
        <v>2.2000000000000002</v>
      </c>
      <c r="BJ48" s="33">
        <f t="shared" si="90"/>
        <v>-825.98313864273416</v>
      </c>
      <c r="BK48" s="167">
        <f t="shared" si="91"/>
        <v>-56.429072625350372</v>
      </c>
      <c r="BL48" s="87">
        <f t="shared" si="92"/>
        <v>2400</v>
      </c>
    </row>
    <row r="49" spans="1:64">
      <c r="A49" s="10" t="s">
        <v>620</v>
      </c>
      <c r="B49" s="10" t="s">
        <v>115</v>
      </c>
      <c r="C49" s="80">
        <v>0</v>
      </c>
      <c r="D49" s="79">
        <f t="shared" si="47"/>
        <v>2400</v>
      </c>
      <c r="E49" s="79">
        <f>'2019-2020 New'!J49</f>
        <v>1273.9218881579479</v>
      </c>
      <c r="F49" s="139">
        <f>'2019-2020 New'!F49</f>
        <v>0</v>
      </c>
      <c r="G49" s="187">
        <f t="shared" si="48"/>
        <v>2400</v>
      </c>
      <c r="H49" s="159">
        <f t="shared" si="49"/>
        <v>1130</v>
      </c>
      <c r="I49" s="190">
        <f t="shared" si="50"/>
        <v>1270</v>
      </c>
      <c r="J49" s="78">
        <f t="shared" si="46"/>
        <v>4054.7453854125824</v>
      </c>
      <c r="K49" s="78">
        <f t="shared" si="51"/>
        <v>11.186999999999999</v>
      </c>
      <c r="L49" s="78">
        <f t="shared" si="52"/>
        <v>61.534715000000006</v>
      </c>
      <c r="M49" s="78">
        <f t="shared" si="53"/>
        <v>1510.8234972546343</v>
      </c>
      <c r="N49" s="194">
        <f t="shared" si="54"/>
        <v>1510.8234972546343</v>
      </c>
      <c r="O49" s="78">
        <f t="shared" si="55"/>
        <v>-330.47578225463417</v>
      </c>
      <c r="P49" s="165">
        <v>0</v>
      </c>
      <c r="Q49" s="166">
        <f t="shared" si="56"/>
        <v>0</v>
      </c>
      <c r="R49" s="119">
        <f t="shared" si="57"/>
        <v>1473.9218881579479</v>
      </c>
      <c r="S49" s="167">
        <f t="shared" si="58"/>
        <v>81.065703848687136</v>
      </c>
      <c r="T49" s="165">
        <v>0</v>
      </c>
      <c r="U49" s="166">
        <f t="shared" si="59"/>
        <v>0</v>
      </c>
      <c r="V49" s="33">
        <f t="shared" si="60"/>
        <v>1754.9875920066352</v>
      </c>
      <c r="W49" s="167">
        <f t="shared" si="61"/>
        <v>96.524317560364935</v>
      </c>
      <c r="X49" s="165">
        <v>0</v>
      </c>
      <c r="Y49" s="166">
        <f t="shared" si="62"/>
        <v>0</v>
      </c>
      <c r="Z49" s="33">
        <f t="shared" si="63"/>
        <v>2051.5119095670002</v>
      </c>
      <c r="AA49" s="167">
        <f t="shared" si="64"/>
        <v>112.83315502618501</v>
      </c>
      <c r="AB49" s="165">
        <v>0</v>
      </c>
      <c r="AC49" s="166">
        <f t="shared" si="65"/>
        <v>0</v>
      </c>
      <c r="AD49" s="33">
        <f t="shared" si="66"/>
        <v>2364.3450645931853</v>
      </c>
      <c r="AE49" s="167">
        <f t="shared" si="67"/>
        <v>130.0389785526252</v>
      </c>
      <c r="AF49" s="165">
        <f>'2018-2019 B STATEMENT '!B671+'2018-2019 B STATEMENT '!B685</f>
        <v>1130</v>
      </c>
      <c r="AG49" s="166">
        <f t="shared" si="68"/>
        <v>11.186999999999999</v>
      </c>
      <c r="AH49" s="33">
        <f t="shared" si="69"/>
        <v>1564.3840431458104</v>
      </c>
      <c r="AI49" s="167">
        <f t="shared" si="70"/>
        <v>23.891122373019574</v>
      </c>
      <c r="AJ49" s="165">
        <v>0</v>
      </c>
      <c r="AK49" s="166">
        <f t="shared" si="71"/>
        <v>0</v>
      </c>
      <c r="AL49" s="33">
        <f t="shared" si="72"/>
        <v>1788.2751655188299</v>
      </c>
      <c r="AM49" s="167">
        <f t="shared" si="73"/>
        <v>98.355134103535647</v>
      </c>
      <c r="AN49" s="165">
        <v>0</v>
      </c>
      <c r="AO49" s="166">
        <f t="shared" si="74"/>
        <v>0</v>
      </c>
      <c r="AP49" s="33">
        <f t="shared" si="75"/>
        <v>2086.6302996223658</v>
      </c>
      <c r="AQ49" s="167">
        <f t="shared" si="76"/>
        <v>114.76466647923012</v>
      </c>
      <c r="AR49" s="165">
        <v>0</v>
      </c>
      <c r="AS49" s="166">
        <f t="shared" si="77"/>
        <v>0</v>
      </c>
      <c r="AT49" s="33">
        <f t="shared" si="78"/>
        <v>2401.3949661015959</v>
      </c>
      <c r="AU49" s="167">
        <f t="shared" si="79"/>
        <v>132.07672313558777</v>
      </c>
      <c r="AV49" s="165">
        <v>0</v>
      </c>
      <c r="AW49" s="166">
        <f t="shared" si="80"/>
        <v>0</v>
      </c>
      <c r="AX49" s="33">
        <f t="shared" si="81"/>
        <v>2733.4716892371835</v>
      </c>
      <c r="AY49" s="167">
        <f t="shared" si="82"/>
        <v>150.34094290804509</v>
      </c>
      <c r="AZ49" s="165">
        <v>0</v>
      </c>
      <c r="BA49" s="166">
        <f t="shared" si="83"/>
        <v>0</v>
      </c>
      <c r="BB49" s="33">
        <f t="shared" si="84"/>
        <v>3083.8126321452287</v>
      </c>
      <c r="BC49" s="167">
        <f t="shared" si="85"/>
        <v>169.60969476798758</v>
      </c>
      <c r="BD49" s="165">
        <v>0</v>
      </c>
      <c r="BE49" s="166">
        <f t="shared" si="86"/>
        <v>0</v>
      </c>
      <c r="BF49" s="33">
        <f t="shared" si="87"/>
        <v>3453.4223269132162</v>
      </c>
      <c r="BG49" s="167">
        <f t="shared" si="88"/>
        <v>189.93822798022688</v>
      </c>
      <c r="BH49" s="165">
        <v>0</v>
      </c>
      <c r="BI49" s="166">
        <f t="shared" si="89"/>
        <v>0</v>
      </c>
      <c r="BJ49" s="33">
        <f t="shared" si="90"/>
        <v>3843.3605548934429</v>
      </c>
      <c r="BK49" s="167">
        <f t="shared" si="91"/>
        <v>211.38483051913937</v>
      </c>
      <c r="BL49" s="87">
        <f t="shared" si="92"/>
        <v>1130</v>
      </c>
    </row>
    <row r="50" spans="1:64">
      <c r="A50" s="10" t="s">
        <v>621</v>
      </c>
      <c r="B50" s="10" t="s">
        <v>126</v>
      </c>
      <c r="C50" s="80">
        <v>0</v>
      </c>
      <c r="D50" s="79">
        <f t="shared" si="47"/>
        <v>2400</v>
      </c>
      <c r="E50" s="79">
        <f>'2019-2020 New'!J50</f>
        <v>2791.9370071689068</v>
      </c>
      <c r="F50" s="139">
        <f>'2019-2020 New'!F50</f>
        <v>200</v>
      </c>
      <c r="G50" s="187">
        <f t="shared" si="48"/>
        <v>2400</v>
      </c>
      <c r="H50" s="159">
        <f t="shared" si="49"/>
        <v>0</v>
      </c>
      <c r="I50" s="190">
        <f t="shared" si="50"/>
        <v>2400</v>
      </c>
      <c r="J50" s="78">
        <f t="shared" si="46"/>
        <v>8765.4111649816878</v>
      </c>
      <c r="K50" s="78">
        <f t="shared" si="51"/>
        <v>0</v>
      </c>
      <c r="L50" s="78">
        <f t="shared" si="52"/>
        <v>0</v>
      </c>
      <c r="M50" s="78">
        <f t="shared" si="53"/>
        <v>3573.474157812781</v>
      </c>
      <c r="N50" s="194">
        <f t="shared" si="54"/>
        <v>3573.474157812781</v>
      </c>
      <c r="O50" s="78">
        <f t="shared" si="55"/>
        <v>-3573.474157812781</v>
      </c>
      <c r="P50" s="165">
        <v>0</v>
      </c>
      <c r="Q50" s="166">
        <f t="shared" si="56"/>
        <v>0</v>
      </c>
      <c r="R50" s="119">
        <f t="shared" si="57"/>
        <v>2991.9370071689068</v>
      </c>
      <c r="S50" s="167">
        <f t="shared" si="58"/>
        <v>164.55653539428988</v>
      </c>
      <c r="T50" s="165">
        <v>0</v>
      </c>
      <c r="U50" s="166">
        <f t="shared" si="59"/>
        <v>0</v>
      </c>
      <c r="V50" s="33">
        <f t="shared" si="60"/>
        <v>3356.4935425631966</v>
      </c>
      <c r="W50" s="167">
        <f t="shared" si="61"/>
        <v>184.60714484097582</v>
      </c>
      <c r="X50" s="165">
        <v>0</v>
      </c>
      <c r="Y50" s="166">
        <f t="shared" si="62"/>
        <v>0</v>
      </c>
      <c r="Z50" s="33">
        <f t="shared" si="63"/>
        <v>3741.1006874041723</v>
      </c>
      <c r="AA50" s="167">
        <f t="shared" si="64"/>
        <v>205.76053780722947</v>
      </c>
      <c r="AB50" s="165">
        <v>0</v>
      </c>
      <c r="AC50" s="166">
        <f t="shared" si="65"/>
        <v>0</v>
      </c>
      <c r="AD50" s="33">
        <f t="shared" si="66"/>
        <v>4146.8612252114017</v>
      </c>
      <c r="AE50" s="167">
        <f t="shared" si="67"/>
        <v>228.07736738662709</v>
      </c>
      <c r="AF50" s="165">
        <v>0</v>
      </c>
      <c r="AG50" s="166">
        <f t="shared" si="68"/>
        <v>0</v>
      </c>
      <c r="AH50" s="33">
        <f t="shared" si="69"/>
        <v>4574.9385925980287</v>
      </c>
      <c r="AI50" s="167">
        <f t="shared" si="70"/>
        <v>251.62162259289158</v>
      </c>
      <c r="AJ50" s="165">
        <v>0</v>
      </c>
      <c r="AK50" s="166">
        <f t="shared" si="71"/>
        <v>0</v>
      </c>
      <c r="AL50" s="33">
        <f t="shared" si="72"/>
        <v>5026.5602151909206</v>
      </c>
      <c r="AM50" s="167">
        <f t="shared" si="73"/>
        <v>276.46081183550064</v>
      </c>
      <c r="AN50" s="165">
        <v>0</v>
      </c>
      <c r="AO50" s="166">
        <f t="shared" si="74"/>
        <v>0</v>
      </c>
      <c r="AP50" s="33">
        <f t="shared" si="75"/>
        <v>5503.0210270264215</v>
      </c>
      <c r="AQ50" s="167">
        <f t="shared" si="76"/>
        <v>302.66615648645319</v>
      </c>
      <c r="AR50" s="165">
        <v>0</v>
      </c>
      <c r="AS50" s="166">
        <f t="shared" si="77"/>
        <v>0</v>
      </c>
      <c r="AT50" s="33">
        <f t="shared" si="78"/>
        <v>6005.687183512875</v>
      </c>
      <c r="AU50" s="167">
        <f t="shared" si="79"/>
        <v>330.31279509320814</v>
      </c>
      <c r="AV50" s="165">
        <v>0</v>
      </c>
      <c r="AW50" s="166">
        <f t="shared" si="80"/>
        <v>0</v>
      </c>
      <c r="AX50" s="33">
        <f t="shared" si="81"/>
        <v>6535.9999786060835</v>
      </c>
      <c r="AY50" s="167">
        <f t="shared" si="82"/>
        <v>359.4799988233346</v>
      </c>
      <c r="AZ50" s="165">
        <v>0</v>
      </c>
      <c r="BA50" s="166">
        <f t="shared" si="83"/>
        <v>0</v>
      </c>
      <c r="BB50" s="33">
        <f t="shared" si="84"/>
        <v>7095.4799774294179</v>
      </c>
      <c r="BC50" s="167">
        <f t="shared" si="85"/>
        <v>390.251398758618</v>
      </c>
      <c r="BD50" s="165">
        <v>0</v>
      </c>
      <c r="BE50" s="166">
        <f t="shared" si="86"/>
        <v>0</v>
      </c>
      <c r="BF50" s="33">
        <f t="shared" si="87"/>
        <v>7685.7313761880359</v>
      </c>
      <c r="BG50" s="167">
        <f t="shared" si="88"/>
        <v>422.71522569034198</v>
      </c>
      <c r="BH50" s="165">
        <v>0</v>
      </c>
      <c r="BI50" s="166">
        <f t="shared" si="89"/>
        <v>0</v>
      </c>
      <c r="BJ50" s="33">
        <f t="shared" si="90"/>
        <v>8308.4466018783787</v>
      </c>
      <c r="BK50" s="167">
        <f t="shared" si="91"/>
        <v>456.96456310331081</v>
      </c>
      <c r="BL50" s="87">
        <f t="shared" si="92"/>
        <v>0</v>
      </c>
    </row>
    <row r="51" spans="1:64">
      <c r="A51" s="10" t="s">
        <v>622</v>
      </c>
      <c r="B51" s="10" t="s">
        <v>117</v>
      </c>
      <c r="C51" s="80">
        <v>0</v>
      </c>
      <c r="D51" s="79">
        <f t="shared" si="47"/>
        <v>2400</v>
      </c>
      <c r="E51" s="79">
        <f>'2019-2020 New'!J51</f>
        <v>7259.7745987025764</v>
      </c>
      <c r="F51" s="139">
        <f>'2019-2020 New'!F51</f>
        <v>0</v>
      </c>
      <c r="G51" s="187">
        <f t="shared" si="48"/>
        <v>2400</v>
      </c>
      <c r="H51" s="159">
        <f t="shared" si="49"/>
        <v>0</v>
      </c>
      <c r="I51" s="190">
        <f t="shared" si="50"/>
        <v>2400</v>
      </c>
      <c r="J51" s="78">
        <f t="shared" si="46"/>
        <v>17259.697439161002</v>
      </c>
      <c r="K51" s="78">
        <f t="shared" si="51"/>
        <v>0</v>
      </c>
      <c r="L51" s="78">
        <f t="shared" si="52"/>
        <v>0</v>
      </c>
      <c r="M51" s="78">
        <f t="shared" si="53"/>
        <v>7599.9228404584246</v>
      </c>
      <c r="N51" s="194">
        <f t="shared" si="54"/>
        <v>7599.9228404584246</v>
      </c>
      <c r="O51" s="78">
        <f t="shared" si="55"/>
        <v>-7599.9228404584246</v>
      </c>
      <c r="P51" s="165">
        <v>0</v>
      </c>
      <c r="Q51" s="166">
        <f t="shared" si="56"/>
        <v>0</v>
      </c>
      <c r="R51" s="119">
        <f t="shared" si="57"/>
        <v>7459.7745987025764</v>
      </c>
      <c r="S51" s="167">
        <f t="shared" si="58"/>
        <v>410.28760292864172</v>
      </c>
      <c r="T51" s="165">
        <v>0</v>
      </c>
      <c r="U51" s="166">
        <f t="shared" si="59"/>
        <v>0</v>
      </c>
      <c r="V51" s="33">
        <f t="shared" si="60"/>
        <v>8070.0622016312182</v>
      </c>
      <c r="W51" s="167">
        <f t="shared" si="61"/>
        <v>443.85342108971702</v>
      </c>
      <c r="X51" s="165">
        <v>0</v>
      </c>
      <c r="Y51" s="166">
        <f t="shared" si="62"/>
        <v>0</v>
      </c>
      <c r="Z51" s="33">
        <f t="shared" si="63"/>
        <v>8713.9156227209369</v>
      </c>
      <c r="AA51" s="167">
        <f t="shared" si="64"/>
        <v>479.26535924965151</v>
      </c>
      <c r="AB51" s="165">
        <v>0</v>
      </c>
      <c r="AC51" s="166">
        <f t="shared" si="65"/>
        <v>0</v>
      </c>
      <c r="AD51" s="33">
        <f t="shared" si="66"/>
        <v>9393.1809819705886</v>
      </c>
      <c r="AE51" s="167">
        <f t="shared" si="67"/>
        <v>516.62495400838236</v>
      </c>
      <c r="AF51" s="165">
        <v>0</v>
      </c>
      <c r="AG51" s="166">
        <f t="shared" si="68"/>
        <v>0</v>
      </c>
      <c r="AH51" s="33">
        <f t="shared" si="69"/>
        <v>10109.805935978971</v>
      </c>
      <c r="AI51" s="167">
        <f t="shared" si="70"/>
        <v>556.03932647884346</v>
      </c>
      <c r="AJ51" s="165">
        <v>0</v>
      </c>
      <c r="AK51" s="166">
        <f t="shared" si="71"/>
        <v>0</v>
      </c>
      <c r="AL51" s="33">
        <f t="shared" si="72"/>
        <v>10865.845262457815</v>
      </c>
      <c r="AM51" s="167">
        <f t="shared" si="73"/>
        <v>597.6214894351798</v>
      </c>
      <c r="AN51" s="165">
        <v>0</v>
      </c>
      <c r="AO51" s="166">
        <f t="shared" si="74"/>
        <v>0</v>
      </c>
      <c r="AP51" s="33">
        <f t="shared" si="75"/>
        <v>11663.466751892995</v>
      </c>
      <c r="AQ51" s="167">
        <f t="shared" si="76"/>
        <v>641.49067135411474</v>
      </c>
      <c r="AR51" s="165">
        <v>0</v>
      </c>
      <c r="AS51" s="166">
        <f t="shared" si="77"/>
        <v>0</v>
      </c>
      <c r="AT51" s="33">
        <f t="shared" si="78"/>
        <v>12504.95742324711</v>
      </c>
      <c r="AU51" s="167">
        <f t="shared" si="79"/>
        <v>687.77265827859105</v>
      </c>
      <c r="AV51" s="165">
        <v>0</v>
      </c>
      <c r="AW51" s="166">
        <f t="shared" si="80"/>
        <v>0</v>
      </c>
      <c r="AX51" s="33">
        <f t="shared" si="81"/>
        <v>13392.7300815257</v>
      </c>
      <c r="AY51" s="167">
        <f t="shared" si="82"/>
        <v>736.60015448391357</v>
      </c>
      <c r="AZ51" s="165">
        <v>0</v>
      </c>
      <c r="BA51" s="166">
        <f t="shared" si="83"/>
        <v>0</v>
      </c>
      <c r="BB51" s="33">
        <f t="shared" si="84"/>
        <v>14329.330236009613</v>
      </c>
      <c r="BC51" s="167">
        <f t="shared" si="85"/>
        <v>788.11316298052873</v>
      </c>
      <c r="BD51" s="165">
        <v>0</v>
      </c>
      <c r="BE51" s="166">
        <f t="shared" si="86"/>
        <v>0</v>
      </c>
      <c r="BF51" s="33">
        <f t="shared" si="87"/>
        <v>15317.443398990143</v>
      </c>
      <c r="BG51" s="167">
        <f t="shared" si="88"/>
        <v>842.45938694445783</v>
      </c>
      <c r="BH51" s="165">
        <v>0</v>
      </c>
      <c r="BI51" s="166">
        <f t="shared" si="89"/>
        <v>0</v>
      </c>
      <c r="BJ51" s="33">
        <f t="shared" si="90"/>
        <v>16359.902785934601</v>
      </c>
      <c r="BK51" s="167">
        <f t="shared" si="91"/>
        <v>899.79465322640306</v>
      </c>
      <c r="BL51" s="87">
        <f t="shared" si="92"/>
        <v>0</v>
      </c>
    </row>
    <row r="52" spans="1:64">
      <c r="A52" s="10" t="s">
        <v>623</v>
      </c>
      <c r="B52" s="10" t="s">
        <v>112</v>
      </c>
      <c r="C52" s="80">
        <v>0</v>
      </c>
      <c r="D52" s="79">
        <f t="shared" si="47"/>
        <v>2400</v>
      </c>
      <c r="E52" s="79">
        <f>'2019-2020 New'!J52</f>
        <v>6199.2593476034763</v>
      </c>
      <c r="F52" s="139">
        <f>'2019-2020 New'!F52</f>
        <v>0</v>
      </c>
      <c r="G52" s="187">
        <f t="shared" si="48"/>
        <v>2400</v>
      </c>
      <c r="H52" s="159">
        <f t="shared" si="49"/>
        <v>0</v>
      </c>
      <c r="I52" s="190">
        <f t="shared" si="50"/>
        <v>2400</v>
      </c>
      <c r="J52" s="78">
        <f t="shared" si="46"/>
        <v>15243.437905009798</v>
      </c>
      <c r="K52" s="78">
        <f t="shared" si="51"/>
        <v>0</v>
      </c>
      <c r="L52" s="78">
        <f t="shared" si="52"/>
        <v>0</v>
      </c>
      <c r="M52" s="78">
        <f t="shared" si="53"/>
        <v>6644.1785574063206</v>
      </c>
      <c r="N52" s="194">
        <f t="shared" si="54"/>
        <v>6644.1785574063206</v>
      </c>
      <c r="O52" s="78">
        <f t="shared" si="55"/>
        <v>-6644.1785574063206</v>
      </c>
      <c r="P52" s="165">
        <v>0</v>
      </c>
      <c r="Q52" s="166">
        <f t="shared" si="56"/>
        <v>0</v>
      </c>
      <c r="R52" s="119">
        <f t="shared" si="57"/>
        <v>6399.2593476034763</v>
      </c>
      <c r="S52" s="167">
        <f t="shared" si="58"/>
        <v>351.95926411819119</v>
      </c>
      <c r="T52" s="165">
        <v>0</v>
      </c>
      <c r="U52" s="166">
        <f t="shared" si="59"/>
        <v>0</v>
      </c>
      <c r="V52" s="33">
        <f t="shared" si="60"/>
        <v>6951.2186117216679</v>
      </c>
      <c r="W52" s="167">
        <f t="shared" si="61"/>
        <v>382.31702364469174</v>
      </c>
      <c r="X52" s="165">
        <v>0</v>
      </c>
      <c r="Y52" s="166">
        <f t="shared" si="62"/>
        <v>0</v>
      </c>
      <c r="Z52" s="33">
        <f t="shared" si="63"/>
        <v>7533.5356353663592</v>
      </c>
      <c r="AA52" s="167">
        <f t="shared" si="64"/>
        <v>414.34445994514977</v>
      </c>
      <c r="AB52" s="165">
        <v>0</v>
      </c>
      <c r="AC52" s="166">
        <f t="shared" si="65"/>
        <v>0</v>
      </c>
      <c r="AD52" s="33">
        <f t="shared" si="66"/>
        <v>8147.8800953115087</v>
      </c>
      <c r="AE52" s="167">
        <f t="shared" si="67"/>
        <v>448.13340524213299</v>
      </c>
      <c r="AF52" s="165">
        <v>0</v>
      </c>
      <c r="AG52" s="166">
        <f t="shared" si="68"/>
        <v>0</v>
      </c>
      <c r="AH52" s="33">
        <f t="shared" si="69"/>
        <v>8796.0135005536431</v>
      </c>
      <c r="AI52" s="167">
        <f t="shared" si="70"/>
        <v>483.78074253045037</v>
      </c>
      <c r="AJ52" s="165">
        <v>0</v>
      </c>
      <c r="AK52" s="166">
        <f t="shared" si="71"/>
        <v>0</v>
      </c>
      <c r="AL52" s="33">
        <f t="shared" si="72"/>
        <v>9479.794243084094</v>
      </c>
      <c r="AM52" s="167">
        <f t="shared" si="73"/>
        <v>521.38868336962514</v>
      </c>
      <c r="AN52" s="165">
        <v>0</v>
      </c>
      <c r="AO52" s="166">
        <f t="shared" si="74"/>
        <v>0</v>
      </c>
      <c r="AP52" s="33">
        <f t="shared" si="75"/>
        <v>10201.182926453719</v>
      </c>
      <c r="AQ52" s="167">
        <f t="shared" si="76"/>
        <v>561.06506095495456</v>
      </c>
      <c r="AR52" s="165">
        <v>0</v>
      </c>
      <c r="AS52" s="166">
        <f t="shared" si="77"/>
        <v>0</v>
      </c>
      <c r="AT52" s="33">
        <f t="shared" si="78"/>
        <v>10962.247987408673</v>
      </c>
      <c r="AU52" s="167">
        <f t="shared" si="79"/>
        <v>602.92363930747706</v>
      </c>
      <c r="AV52" s="165">
        <v>0</v>
      </c>
      <c r="AW52" s="166">
        <f t="shared" si="80"/>
        <v>0</v>
      </c>
      <c r="AX52" s="33">
        <f t="shared" si="81"/>
        <v>11765.17162671615</v>
      </c>
      <c r="AY52" s="167">
        <f t="shared" si="82"/>
        <v>647.08443946938826</v>
      </c>
      <c r="AZ52" s="165">
        <v>0</v>
      </c>
      <c r="BA52" s="166">
        <f t="shared" si="83"/>
        <v>0</v>
      </c>
      <c r="BB52" s="33">
        <f t="shared" si="84"/>
        <v>12612.256066185539</v>
      </c>
      <c r="BC52" s="167">
        <f t="shared" si="85"/>
        <v>693.67408364020469</v>
      </c>
      <c r="BD52" s="165">
        <v>0</v>
      </c>
      <c r="BE52" s="166">
        <f t="shared" si="86"/>
        <v>0</v>
      </c>
      <c r="BF52" s="33">
        <f t="shared" si="87"/>
        <v>13505.930149825743</v>
      </c>
      <c r="BG52" s="167">
        <f t="shared" si="88"/>
        <v>742.82615824041591</v>
      </c>
      <c r="BH52" s="165">
        <v>0</v>
      </c>
      <c r="BI52" s="166">
        <f t="shared" si="89"/>
        <v>0</v>
      </c>
      <c r="BJ52" s="33">
        <f t="shared" si="90"/>
        <v>14448.756308066158</v>
      </c>
      <c r="BK52" s="167">
        <f t="shared" si="91"/>
        <v>794.68159694363874</v>
      </c>
      <c r="BL52" s="87">
        <f t="shared" si="92"/>
        <v>0</v>
      </c>
    </row>
    <row r="53" spans="1:64">
      <c r="A53" s="10" t="s">
        <v>624</v>
      </c>
      <c r="B53" s="10" t="s">
        <v>117</v>
      </c>
      <c r="C53" s="80">
        <v>0</v>
      </c>
      <c r="D53" s="79">
        <f t="shared" si="47"/>
        <v>2400</v>
      </c>
      <c r="E53" s="79">
        <f>'2019-2020 New'!J53</f>
        <v>1638.2981887182295</v>
      </c>
      <c r="F53" s="139">
        <f>'2019-2020 New'!F53</f>
        <v>0</v>
      </c>
      <c r="G53" s="187">
        <f t="shared" si="48"/>
        <v>2400</v>
      </c>
      <c r="H53" s="159">
        <f t="shared" si="49"/>
        <v>500</v>
      </c>
      <c r="I53" s="190">
        <f t="shared" si="50"/>
        <v>1900</v>
      </c>
      <c r="J53" s="78">
        <f t="shared" si="46"/>
        <v>5986.5794074810829</v>
      </c>
      <c r="K53" s="78">
        <f t="shared" si="51"/>
        <v>5.5000000000000009</v>
      </c>
      <c r="L53" s="78">
        <f t="shared" si="52"/>
        <v>27.197500000000002</v>
      </c>
      <c r="M53" s="78">
        <f t="shared" si="53"/>
        <v>2448.2812187628533</v>
      </c>
      <c r="N53" s="194">
        <f t="shared" si="54"/>
        <v>2448.2812187628533</v>
      </c>
      <c r="O53" s="78">
        <f t="shared" si="55"/>
        <v>-1926.5837187628533</v>
      </c>
      <c r="P53" s="165">
        <v>0</v>
      </c>
      <c r="Q53" s="166">
        <f t="shared" si="56"/>
        <v>0</v>
      </c>
      <c r="R53" s="119">
        <f t="shared" si="57"/>
        <v>1838.2981887182295</v>
      </c>
      <c r="S53" s="167">
        <f t="shared" si="58"/>
        <v>101.10640037950263</v>
      </c>
      <c r="T53" s="165">
        <v>0</v>
      </c>
      <c r="U53" s="166">
        <f t="shared" si="59"/>
        <v>0</v>
      </c>
      <c r="V53" s="33">
        <f t="shared" si="60"/>
        <v>2139.4045890977322</v>
      </c>
      <c r="W53" s="167">
        <f t="shared" si="61"/>
        <v>117.66725240037528</v>
      </c>
      <c r="X53" s="165">
        <v>0</v>
      </c>
      <c r="Y53" s="166">
        <f t="shared" si="62"/>
        <v>0</v>
      </c>
      <c r="Z53" s="33">
        <f t="shared" si="63"/>
        <v>2457.0718414981075</v>
      </c>
      <c r="AA53" s="167">
        <f t="shared" si="64"/>
        <v>135.13895128239591</v>
      </c>
      <c r="AB53" s="165">
        <v>0</v>
      </c>
      <c r="AC53" s="166">
        <f t="shared" si="65"/>
        <v>0</v>
      </c>
      <c r="AD53" s="33">
        <f t="shared" si="66"/>
        <v>2792.2107927805032</v>
      </c>
      <c r="AE53" s="167">
        <f t="shared" si="67"/>
        <v>153.57159360292766</v>
      </c>
      <c r="AF53" s="165">
        <v>0</v>
      </c>
      <c r="AG53" s="166">
        <f t="shared" si="68"/>
        <v>0</v>
      </c>
      <c r="AH53" s="33">
        <f t="shared" si="69"/>
        <v>3145.782386383431</v>
      </c>
      <c r="AI53" s="167">
        <f t="shared" si="70"/>
        <v>173.0180312510887</v>
      </c>
      <c r="AJ53" s="165">
        <v>0</v>
      </c>
      <c r="AK53" s="166">
        <f t="shared" si="71"/>
        <v>0</v>
      </c>
      <c r="AL53" s="33">
        <f t="shared" si="72"/>
        <v>3518.8004176345198</v>
      </c>
      <c r="AM53" s="167">
        <f t="shared" si="73"/>
        <v>193.53402296989859</v>
      </c>
      <c r="AN53" s="165">
        <v>0</v>
      </c>
      <c r="AO53" s="166">
        <f t="shared" si="74"/>
        <v>0</v>
      </c>
      <c r="AP53" s="33">
        <f t="shared" si="75"/>
        <v>3912.3344406044184</v>
      </c>
      <c r="AQ53" s="167">
        <f t="shared" si="76"/>
        <v>215.17839423324301</v>
      </c>
      <c r="AR53" s="165">
        <v>0</v>
      </c>
      <c r="AS53" s="166">
        <f t="shared" si="77"/>
        <v>0</v>
      </c>
      <c r="AT53" s="33">
        <f t="shared" si="78"/>
        <v>4327.5128348376611</v>
      </c>
      <c r="AU53" s="167">
        <f t="shared" si="79"/>
        <v>238.01320591607137</v>
      </c>
      <c r="AV53" s="165">
        <v>0</v>
      </c>
      <c r="AW53" s="166">
        <f t="shared" si="80"/>
        <v>0</v>
      </c>
      <c r="AX53" s="33">
        <f t="shared" si="81"/>
        <v>4765.5260407537326</v>
      </c>
      <c r="AY53" s="167">
        <f t="shared" si="82"/>
        <v>262.10393224145531</v>
      </c>
      <c r="AZ53" s="165">
        <v>0</v>
      </c>
      <c r="BA53" s="166">
        <f t="shared" si="83"/>
        <v>0</v>
      </c>
      <c r="BB53" s="33">
        <f t="shared" si="84"/>
        <v>5227.6299729951879</v>
      </c>
      <c r="BC53" s="167">
        <f t="shared" si="85"/>
        <v>287.51964851473537</v>
      </c>
      <c r="BD53" s="165">
        <f>'2018-2019 B STATEMENT '!B768</f>
        <v>500</v>
      </c>
      <c r="BE53" s="166">
        <f t="shared" si="86"/>
        <v>5.5000000000000009</v>
      </c>
      <c r="BF53" s="33">
        <f t="shared" si="87"/>
        <v>5215.1496215099232</v>
      </c>
      <c r="BG53" s="167">
        <f t="shared" si="88"/>
        <v>259.33322918304577</v>
      </c>
      <c r="BH53" s="165">
        <v>0</v>
      </c>
      <c r="BI53" s="166">
        <f t="shared" si="89"/>
        <v>0</v>
      </c>
      <c r="BJ53" s="33">
        <f t="shared" si="90"/>
        <v>5674.4828506929689</v>
      </c>
      <c r="BK53" s="167">
        <f t="shared" si="91"/>
        <v>312.09655678811328</v>
      </c>
      <c r="BL53" s="87">
        <f t="shared" si="92"/>
        <v>500</v>
      </c>
    </row>
    <row r="54" spans="1:64">
      <c r="A54" s="10" t="s">
        <v>625</v>
      </c>
      <c r="B54" s="10" t="s">
        <v>116</v>
      </c>
      <c r="C54" s="80">
        <v>0</v>
      </c>
      <c r="D54" s="79">
        <f t="shared" si="47"/>
        <v>2400</v>
      </c>
      <c r="E54" s="79">
        <f>'2019-2020 New'!J54</f>
        <v>3398.5649268938892</v>
      </c>
      <c r="F54" s="139">
        <f>'2019-2020 New'!F54</f>
        <v>0</v>
      </c>
      <c r="G54" s="187">
        <f t="shared" si="48"/>
        <v>2400</v>
      </c>
      <c r="H54" s="159">
        <f t="shared" si="49"/>
        <v>2420</v>
      </c>
      <c r="I54" s="190">
        <f t="shared" si="50"/>
        <v>-20</v>
      </c>
      <c r="J54" s="78">
        <f t="shared" si="46"/>
        <v>6263.6763269677567</v>
      </c>
      <c r="K54" s="78">
        <f t="shared" si="51"/>
        <v>25.08</v>
      </c>
      <c r="L54" s="78">
        <f t="shared" si="52"/>
        <v>131.72060000000002</v>
      </c>
      <c r="M54" s="78">
        <f t="shared" si="53"/>
        <v>2885.1114000738676</v>
      </c>
      <c r="N54" s="194">
        <f t="shared" si="54"/>
        <v>2885.1114000738676</v>
      </c>
      <c r="O54" s="78">
        <f t="shared" si="55"/>
        <v>-358.47080007386751</v>
      </c>
      <c r="P54" s="165">
        <v>0</v>
      </c>
      <c r="Q54" s="166">
        <f t="shared" si="56"/>
        <v>0</v>
      </c>
      <c r="R54" s="119">
        <f t="shared" si="57"/>
        <v>3598.5649268938892</v>
      </c>
      <c r="S54" s="167">
        <f t="shared" si="58"/>
        <v>197.92107097916391</v>
      </c>
      <c r="T54" s="165">
        <f>'2018-2019 B STATEMENT '!B614</f>
        <v>400</v>
      </c>
      <c r="U54" s="166">
        <f t="shared" si="59"/>
        <v>3.9599999999999995</v>
      </c>
      <c r="V54" s="33">
        <f t="shared" si="60"/>
        <v>3596.4859978730528</v>
      </c>
      <c r="W54" s="167">
        <f t="shared" si="61"/>
        <v>175.80672988301791</v>
      </c>
      <c r="X54" s="165">
        <f>'2018-2019 B STATEMENT '!B638</f>
        <v>400</v>
      </c>
      <c r="Y54" s="166">
        <f t="shared" si="62"/>
        <v>3.9599999999999995</v>
      </c>
      <c r="Z54" s="33">
        <f t="shared" si="63"/>
        <v>3572.2927277560707</v>
      </c>
      <c r="AA54" s="167">
        <f t="shared" si="64"/>
        <v>174.47610002658388</v>
      </c>
      <c r="AB54" s="165">
        <f>'2018-2019 B STATEMENT '!B657</f>
        <v>200</v>
      </c>
      <c r="AC54" s="166">
        <f t="shared" si="65"/>
        <v>1.9799999999999998</v>
      </c>
      <c r="AD54" s="33">
        <f t="shared" si="66"/>
        <v>3746.7688277826546</v>
      </c>
      <c r="AE54" s="167">
        <f t="shared" si="67"/>
        <v>195.072285528046</v>
      </c>
      <c r="AF54" s="165">
        <f>'2018-2019 B STATEMENT '!B680</f>
        <v>200</v>
      </c>
      <c r="AG54" s="166">
        <f t="shared" si="68"/>
        <v>1.9799999999999998</v>
      </c>
      <c r="AH54" s="33">
        <f t="shared" si="69"/>
        <v>3941.8411133107006</v>
      </c>
      <c r="AI54" s="167">
        <f t="shared" si="70"/>
        <v>205.80126123208854</v>
      </c>
      <c r="AJ54" s="165">
        <f>'2018-2019 B STATEMENT '!B693</f>
        <v>200</v>
      </c>
      <c r="AK54" s="166">
        <f t="shared" si="71"/>
        <v>1.9799999999999998</v>
      </c>
      <c r="AL54" s="33">
        <f t="shared" si="72"/>
        <v>4147.6423745427892</v>
      </c>
      <c r="AM54" s="167">
        <f t="shared" si="73"/>
        <v>217.12033059985342</v>
      </c>
      <c r="AN54" s="165">
        <v>0</v>
      </c>
      <c r="AO54" s="166">
        <f t="shared" si="74"/>
        <v>0</v>
      </c>
      <c r="AP54" s="33">
        <f t="shared" si="75"/>
        <v>4564.7627051426425</v>
      </c>
      <c r="AQ54" s="167">
        <f t="shared" si="76"/>
        <v>251.06194878284535</v>
      </c>
      <c r="AR54" s="165">
        <v>0</v>
      </c>
      <c r="AS54" s="166">
        <f t="shared" si="77"/>
        <v>0</v>
      </c>
      <c r="AT54" s="33">
        <f t="shared" si="78"/>
        <v>5015.8246539254878</v>
      </c>
      <c r="AU54" s="167">
        <f t="shared" si="79"/>
        <v>275.87035596590181</v>
      </c>
      <c r="AV54" s="165">
        <v>0</v>
      </c>
      <c r="AW54" s="166">
        <f t="shared" si="80"/>
        <v>0</v>
      </c>
      <c r="AX54" s="33">
        <f t="shared" si="81"/>
        <v>5491.6950098913894</v>
      </c>
      <c r="AY54" s="167">
        <f t="shared" si="82"/>
        <v>302.04322554402643</v>
      </c>
      <c r="AZ54" s="165">
        <f>'2018-2019 B STATEMENT '!B745</f>
        <v>400</v>
      </c>
      <c r="BA54" s="166">
        <f t="shared" si="83"/>
        <v>4.4000000000000004</v>
      </c>
      <c r="BB54" s="33">
        <f t="shared" si="84"/>
        <v>5593.7382354354158</v>
      </c>
      <c r="BC54" s="167">
        <f t="shared" si="85"/>
        <v>285.65560294894789</v>
      </c>
      <c r="BD54" s="165">
        <f>'2018-2019 B STATEMENT '!B765+'2018-2019 B STATEMENT '!B766</f>
        <v>420</v>
      </c>
      <c r="BE54" s="166">
        <f t="shared" si="86"/>
        <v>4.62</v>
      </c>
      <c r="BF54" s="33">
        <f t="shared" si="87"/>
        <v>5659.3938383843633</v>
      </c>
      <c r="BG54" s="167">
        <f t="shared" si="88"/>
        <v>288.16666111114</v>
      </c>
      <c r="BH54" s="165">
        <f>'2018-2019 B STATEMENT '!B777</f>
        <v>200</v>
      </c>
      <c r="BI54" s="166">
        <f t="shared" si="89"/>
        <v>2.2000000000000002</v>
      </c>
      <c r="BJ54" s="33">
        <f t="shared" si="90"/>
        <v>5947.5604994955029</v>
      </c>
      <c r="BK54" s="167">
        <f t="shared" si="91"/>
        <v>316.11582747225265</v>
      </c>
      <c r="BL54" s="87">
        <f t="shared" si="92"/>
        <v>2420</v>
      </c>
    </row>
    <row r="55" spans="1:64" s="134" customFormat="1">
      <c r="A55" s="10" t="s">
        <v>626</v>
      </c>
      <c r="B55" s="10" t="s">
        <v>124</v>
      </c>
      <c r="C55" s="80">
        <v>0</v>
      </c>
      <c r="D55" s="130">
        <f t="shared" si="47"/>
        <v>2400</v>
      </c>
      <c r="E55" s="79">
        <f>'2019-2020 New'!J55</f>
        <v>2600.047200474874</v>
      </c>
      <c r="F55" s="139">
        <f>'2019-2020 New'!F55</f>
        <v>0</v>
      </c>
      <c r="G55" s="188">
        <f t="shared" si="48"/>
        <v>2400</v>
      </c>
      <c r="H55" s="159">
        <f t="shared" si="49"/>
        <v>1600</v>
      </c>
      <c r="I55" s="191">
        <f t="shared" si="50"/>
        <v>800</v>
      </c>
      <c r="J55" s="78">
        <f t="shared" si="46"/>
        <v>6136.7722163222188</v>
      </c>
      <c r="K55" s="131">
        <f t="shared" si="51"/>
        <v>15.839999999999998</v>
      </c>
      <c r="L55" s="78">
        <f t="shared" si="52"/>
        <v>87.128799999999998</v>
      </c>
      <c r="M55" s="131">
        <f t="shared" si="53"/>
        <v>2736.7250158473444</v>
      </c>
      <c r="N55" s="194">
        <f t="shared" si="54"/>
        <v>2736.7250158473444</v>
      </c>
      <c r="O55" s="131">
        <f t="shared" si="55"/>
        <v>-1065.4362158473443</v>
      </c>
      <c r="P55" s="165">
        <f>'2018-2019 B STATEMENT '!B741+'2018-2019 B STATEMENT '!B753</f>
        <v>800</v>
      </c>
      <c r="Q55" s="166">
        <f t="shared" si="56"/>
        <v>7.919999999999999</v>
      </c>
      <c r="R55" s="135">
        <f t="shared" si="57"/>
        <v>2800.047200474874</v>
      </c>
      <c r="S55" s="167">
        <f t="shared" si="58"/>
        <v>110.00259602611807</v>
      </c>
      <c r="T55" s="165">
        <f>'2018-2019 B STATEMENT '!B769</f>
        <v>200</v>
      </c>
      <c r="U55" s="166">
        <f t="shared" si="59"/>
        <v>1.9799999999999998</v>
      </c>
      <c r="V55" s="132">
        <f t="shared" si="60"/>
        <v>2910.0497965009922</v>
      </c>
      <c r="W55" s="167">
        <f t="shared" si="61"/>
        <v>149.05273880755456</v>
      </c>
      <c r="X55" s="165">
        <f>'2018-2019 B STATEMENT '!B782</f>
        <v>200</v>
      </c>
      <c r="Y55" s="166">
        <f t="shared" si="62"/>
        <v>1.9799999999999998</v>
      </c>
      <c r="Z55" s="132">
        <f t="shared" si="63"/>
        <v>3059.102535308547</v>
      </c>
      <c r="AA55" s="167">
        <f t="shared" si="64"/>
        <v>157.25063944197009</v>
      </c>
      <c r="AB55" s="165">
        <v>0</v>
      </c>
      <c r="AC55" s="166">
        <f t="shared" si="65"/>
        <v>0</v>
      </c>
      <c r="AD55" s="132">
        <f t="shared" si="66"/>
        <v>3416.3531747505172</v>
      </c>
      <c r="AE55" s="167">
        <f t="shared" si="67"/>
        <v>187.89942461127845</v>
      </c>
      <c r="AF55" s="165">
        <f>'2018-2019 B STATEMENT '!B791</f>
        <v>400</v>
      </c>
      <c r="AG55" s="166">
        <f t="shared" si="68"/>
        <v>3.9599999999999995</v>
      </c>
      <c r="AH55" s="132">
        <f t="shared" si="69"/>
        <v>3404.2525993617955</v>
      </c>
      <c r="AI55" s="167">
        <f t="shared" si="70"/>
        <v>165.23389296489876</v>
      </c>
      <c r="AJ55" s="165">
        <v>0</v>
      </c>
      <c r="AK55" s="166">
        <f t="shared" si="71"/>
        <v>0</v>
      </c>
      <c r="AL55" s="132">
        <f t="shared" si="72"/>
        <v>3769.4864923266941</v>
      </c>
      <c r="AM55" s="167">
        <f t="shared" si="73"/>
        <v>207.32175707796819</v>
      </c>
      <c r="AN55" s="165">
        <v>0</v>
      </c>
      <c r="AO55" s="166">
        <f t="shared" si="74"/>
        <v>0</v>
      </c>
      <c r="AP55" s="132">
        <f t="shared" si="75"/>
        <v>4176.8082494046621</v>
      </c>
      <c r="AQ55" s="167">
        <f t="shared" si="76"/>
        <v>229.72445371725641</v>
      </c>
      <c r="AR55" s="165">
        <v>0</v>
      </c>
      <c r="AS55" s="166">
        <f t="shared" si="77"/>
        <v>0</v>
      </c>
      <c r="AT55" s="132">
        <f t="shared" si="78"/>
        <v>4606.5327031219185</v>
      </c>
      <c r="AU55" s="167">
        <f t="shared" si="79"/>
        <v>253.35929867170552</v>
      </c>
      <c r="AV55" s="165">
        <v>0</v>
      </c>
      <c r="AW55" s="166">
        <f t="shared" si="80"/>
        <v>0</v>
      </c>
      <c r="AX55" s="132">
        <f t="shared" si="81"/>
        <v>5059.8920017936243</v>
      </c>
      <c r="AY55" s="167">
        <f t="shared" si="82"/>
        <v>278.29406009864937</v>
      </c>
      <c r="AZ55" s="165">
        <v>0</v>
      </c>
      <c r="BA55" s="166">
        <f t="shared" si="83"/>
        <v>0</v>
      </c>
      <c r="BB55" s="132">
        <f t="shared" si="84"/>
        <v>5538.1860618922738</v>
      </c>
      <c r="BC55" s="167">
        <f t="shared" si="85"/>
        <v>304.60023340407508</v>
      </c>
      <c r="BD55" s="165">
        <v>0</v>
      </c>
      <c r="BE55" s="166">
        <f t="shared" si="86"/>
        <v>0</v>
      </c>
      <c r="BF55" s="132">
        <f t="shared" si="87"/>
        <v>6042.7862952963487</v>
      </c>
      <c r="BG55" s="167">
        <f t="shared" si="88"/>
        <v>332.35324624129919</v>
      </c>
      <c r="BH55" s="165">
        <v>0</v>
      </c>
      <c r="BI55" s="166">
        <f t="shared" si="89"/>
        <v>0</v>
      </c>
      <c r="BJ55" s="132">
        <f t="shared" si="90"/>
        <v>6575.1395415376483</v>
      </c>
      <c r="BK55" s="167">
        <f t="shared" si="91"/>
        <v>361.63267478457067</v>
      </c>
      <c r="BL55" s="87">
        <f t="shared" si="92"/>
        <v>1600</v>
      </c>
    </row>
    <row r="56" spans="1:64">
      <c r="A56" s="10" t="s">
        <v>627</v>
      </c>
      <c r="B56" s="10" t="s">
        <v>124</v>
      </c>
      <c r="C56" s="80">
        <v>0</v>
      </c>
      <c r="D56" s="79">
        <f t="shared" si="47"/>
        <v>2400</v>
      </c>
      <c r="E56" s="79">
        <f>'2019-2020 New'!J56</f>
        <v>2894.2178313150071</v>
      </c>
      <c r="F56" s="139">
        <f>'2019-2020 New'!F56</f>
        <v>0</v>
      </c>
      <c r="G56" s="187">
        <f t="shared" si="48"/>
        <v>2400</v>
      </c>
      <c r="H56" s="159">
        <f t="shared" si="49"/>
        <v>2110</v>
      </c>
      <c r="I56" s="190">
        <f t="shared" si="50"/>
        <v>290</v>
      </c>
      <c r="J56" s="78">
        <f t="shared" si="46"/>
        <v>5850.4728638308334</v>
      </c>
      <c r="K56" s="78">
        <f t="shared" si="51"/>
        <v>21.988999999999997</v>
      </c>
      <c r="L56" s="78">
        <f t="shared" si="52"/>
        <v>114.840605</v>
      </c>
      <c r="M56" s="78">
        <f t="shared" si="53"/>
        <v>2666.2550325158268</v>
      </c>
      <c r="N56" s="194">
        <f t="shared" si="54"/>
        <v>2666.2550325158268</v>
      </c>
      <c r="O56" s="78">
        <f t="shared" si="55"/>
        <v>-463.40342751582682</v>
      </c>
      <c r="P56" s="165">
        <v>0</v>
      </c>
      <c r="Q56" s="166">
        <f t="shared" si="56"/>
        <v>0</v>
      </c>
      <c r="R56" s="119">
        <f t="shared" si="57"/>
        <v>3094.2178313150071</v>
      </c>
      <c r="S56" s="167">
        <f t="shared" si="58"/>
        <v>170.18198072232539</v>
      </c>
      <c r="T56" s="165">
        <v>0</v>
      </c>
      <c r="U56" s="166">
        <f t="shared" si="59"/>
        <v>0</v>
      </c>
      <c r="V56" s="33">
        <f t="shared" si="60"/>
        <v>3464.3998120373326</v>
      </c>
      <c r="W56" s="167">
        <f t="shared" si="61"/>
        <v>190.54198966205328</v>
      </c>
      <c r="X56" s="165">
        <f>'2018-2019 B STATEMENT '!B647</f>
        <v>200</v>
      </c>
      <c r="Y56" s="166">
        <f t="shared" si="62"/>
        <v>1.9799999999999998</v>
      </c>
      <c r="Z56" s="33">
        <f t="shared" si="63"/>
        <v>3654.9418016993859</v>
      </c>
      <c r="AA56" s="167">
        <f t="shared" si="64"/>
        <v>190.02179909346623</v>
      </c>
      <c r="AB56" s="165">
        <f>'2018-2019 B STATEMENT '!B650+'2018-2019 B STATEMENT '!B651</f>
        <v>500</v>
      </c>
      <c r="AC56" s="166">
        <f t="shared" si="65"/>
        <v>4.9499999999999993</v>
      </c>
      <c r="AD56" s="33">
        <f t="shared" si="66"/>
        <v>3544.963600792852</v>
      </c>
      <c r="AE56" s="167">
        <f t="shared" si="67"/>
        <v>167.47299804360685</v>
      </c>
      <c r="AF56" s="165">
        <v>0</v>
      </c>
      <c r="AG56" s="166">
        <f t="shared" si="68"/>
        <v>0</v>
      </c>
      <c r="AH56" s="33">
        <f t="shared" si="69"/>
        <v>3912.4365988364589</v>
      </c>
      <c r="AI56" s="167">
        <f t="shared" si="70"/>
        <v>215.18401293600525</v>
      </c>
      <c r="AJ56" s="165">
        <v>0</v>
      </c>
      <c r="AK56" s="166">
        <f t="shared" si="71"/>
        <v>0</v>
      </c>
      <c r="AL56" s="33">
        <f t="shared" si="72"/>
        <v>4327.6206117724641</v>
      </c>
      <c r="AM56" s="167">
        <f t="shared" si="73"/>
        <v>238.01913364748552</v>
      </c>
      <c r="AN56" s="165">
        <f>'2018-2019 B STATEMENT '!B704+'2018-2019 B STATEMENT '!B710</f>
        <v>410</v>
      </c>
      <c r="AO56" s="166">
        <f t="shared" si="74"/>
        <v>4.0589999999999993</v>
      </c>
      <c r="AP56" s="33">
        <f t="shared" si="75"/>
        <v>4355.6397454199496</v>
      </c>
      <c r="AQ56" s="167">
        <f t="shared" si="76"/>
        <v>217.01018599809723</v>
      </c>
      <c r="AR56" s="165">
        <v>0</v>
      </c>
      <c r="AS56" s="166">
        <f t="shared" si="77"/>
        <v>0</v>
      </c>
      <c r="AT56" s="33">
        <f t="shared" si="78"/>
        <v>4772.6499314180464</v>
      </c>
      <c r="AU56" s="167">
        <f t="shared" si="79"/>
        <v>262.49574622799258</v>
      </c>
      <c r="AV56" s="165">
        <f>'2018-2019 B STATEMENT '!B728</f>
        <v>1000</v>
      </c>
      <c r="AW56" s="166">
        <f t="shared" si="80"/>
        <v>11.000000000000002</v>
      </c>
      <c r="AX56" s="33">
        <f t="shared" si="81"/>
        <v>4235.1456776460391</v>
      </c>
      <c r="AY56" s="167">
        <f t="shared" si="82"/>
        <v>177.93301227053215</v>
      </c>
      <c r="AZ56" s="165">
        <v>0</v>
      </c>
      <c r="BA56" s="166">
        <f t="shared" si="83"/>
        <v>0</v>
      </c>
      <c r="BB56" s="33">
        <f t="shared" si="84"/>
        <v>4613.0786899165714</v>
      </c>
      <c r="BC56" s="167">
        <f t="shared" si="85"/>
        <v>253.71932794541144</v>
      </c>
      <c r="BD56" s="165">
        <v>0</v>
      </c>
      <c r="BE56" s="166">
        <f t="shared" si="86"/>
        <v>0</v>
      </c>
      <c r="BF56" s="33">
        <f t="shared" si="87"/>
        <v>5066.7980178619828</v>
      </c>
      <c r="BG56" s="167">
        <f t="shared" si="88"/>
        <v>278.67389098240903</v>
      </c>
      <c r="BH56" s="165">
        <v>0</v>
      </c>
      <c r="BI56" s="166">
        <f t="shared" si="89"/>
        <v>0</v>
      </c>
      <c r="BJ56" s="33">
        <f t="shared" si="90"/>
        <v>5545.4719088443917</v>
      </c>
      <c r="BK56" s="167">
        <f t="shared" si="91"/>
        <v>305.00095498644157</v>
      </c>
      <c r="BL56" s="87">
        <f t="shared" si="92"/>
        <v>2110</v>
      </c>
    </row>
    <row r="57" spans="1:64">
      <c r="A57" s="10" t="s">
        <v>628</v>
      </c>
      <c r="B57" s="10" t="s">
        <v>152</v>
      </c>
      <c r="C57" s="80">
        <v>0</v>
      </c>
      <c r="D57" s="79">
        <f t="shared" si="47"/>
        <v>2400</v>
      </c>
      <c r="E57" s="79">
        <f>'2019-2020 New'!J57</f>
        <v>607.37132498635185</v>
      </c>
      <c r="F57" s="139">
        <f>'2019-2020 New'!F57</f>
        <v>3200</v>
      </c>
      <c r="G57" s="187">
        <f t="shared" si="48"/>
        <v>2400</v>
      </c>
      <c r="H57" s="159">
        <f t="shared" si="49"/>
        <v>1300</v>
      </c>
      <c r="I57" s="190">
        <f t="shared" si="50"/>
        <v>1100</v>
      </c>
      <c r="J57" s="78">
        <f t="shared" si="46"/>
        <v>2275.7455004818603</v>
      </c>
      <c r="K57" s="78">
        <f t="shared" si="51"/>
        <v>12.87</v>
      </c>
      <c r="L57" s="78">
        <f t="shared" si="52"/>
        <v>70.792150000000007</v>
      </c>
      <c r="M57" s="78">
        <f t="shared" si="53"/>
        <v>568.37417549550867</v>
      </c>
      <c r="N57" s="194">
        <f t="shared" si="54"/>
        <v>568.37417549550867</v>
      </c>
      <c r="O57" s="78">
        <f t="shared" si="55"/>
        <v>789.54797450449144</v>
      </c>
      <c r="P57" s="165">
        <v>0</v>
      </c>
      <c r="Q57" s="166">
        <f t="shared" si="56"/>
        <v>0</v>
      </c>
      <c r="R57" s="119">
        <f t="shared" si="57"/>
        <v>807.37132498635185</v>
      </c>
      <c r="S57" s="167">
        <f t="shared" si="58"/>
        <v>44.405422874249354</v>
      </c>
      <c r="T57" s="165">
        <v>0</v>
      </c>
      <c r="U57" s="166">
        <f t="shared" si="59"/>
        <v>0</v>
      </c>
      <c r="V57" s="33">
        <f t="shared" si="60"/>
        <v>1051.7767478606013</v>
      </c>
      <c r="W57" s="167">
        <f t="shared" si="61"/>
        <v>57.847721132333071</v>
      </c>
      <c r="X57" s="165">
        <f>'2018-2019 B STATEMENT '!B630</f>
        <v>1300</v>
      </c>
      <c r="Y57" s="166">
        <f t="shared" si="62"/>
        <v>12.87</v>
      </c>
      <c r="Z57" s="33">
        <f t="shared" si="63"/>
        <v>9.6244689929343608</v>
      </c>
      <c r="AA57" s="167">
        <f t="shared" si="64"/>
        <v>-70.970654205388612</v>
      </c>
      <c r="AB57" s="165">
        <v>0</v>
      </c>
      <c r="AC57" s="166">
        <f t="shared" si="65"/>
        <v>0</v>
      </c>
      <c r="AD57" s="33">
        <f t="shared" si="66"/>
        <v>138.65381478754574</v>
      </c>
      <c r="AE57" s="167">
        <f t="shared" si="67"/>
        <v>7.6259598133150162</v>
      </c>
      <c r="AF57" s="165">
        <v>0</v>
      </c>
      <c r="AG57" s="166">
        <f t="shared" si="68"/>
        <v>0</v>
      </c>
      <c r="AH57" s="33">
        <f t="shared" si="69"/>
        <v>346.27977460086078</v>
      </c>
      <c r="AI57" s="167">
        <f t="shared" si="70"/>
        <v>19.045387603047342</v>
      </c>
      <c r="AJ57" s="165">
        <v>0</v>
      </c>
      <c r="AK57" s="166">
        <f t="shared" si="71"/>
        <v>0</v>
      </c>
      <c r="AL57" s="33">
        <f t="shared" si="72"/>
        <v>565.32516220390801</v>
      </c>
      <c r="AM57" s="167">
        <f t="shared" si="73"/>
        <v>31.092883921214941</v>
      </c>
      <c r="AN57" s="165">
        <v>0</v>
      </c>
      <c r="AO57" s="166">
        <f t="shared" si="74"/>
        <v>0</v>
      </c>
      <c r="AP57" s="33">
        <f t="shared" si="75"/>
        <v>796.41804612512294</v>
      </c>
      <c r="AQ57" s="167">
        <f t="shared" si="76"/>
        <v>43.80299253688176</v>
      </c>
      <c r="AR57" s="165">
        <v>0</v>
      </c>
      <c r="AS57" s="166">
        <f t="shared" si="77"/>
        <v>0</v>
      </c>
      <c r="AT57" s="33">
        <f t="shared" si="78"/>
        <v>1040.2210386620047</v>
      </c>
      <c r="AU57" s="167">
        <f t="shared" si="79"/>
        <v>57.212157126410261</v>
      </c>
      <c r="AV57" s="165">
        <v>0</v>
      </c>
      <c r="AW57" s="166">
        <f t="shared" si="80"/>
        <v>0</v>
      </c>
      <c r="AX57" s="33">
        <f t="shared" si="81"/>
        <v>1297.4331957884151</v>
      </c>
      <c r="AY57" s="167">
        <f t="shared" si="82"/>
        <v>71.358825768362834</v>
      </c>
      <c r="AZ57" s="165">
        <v>0</v>
      </c>
      <c r="BA57" s="166">
        <f t="shared" si="83"/>
        <v>0</v>
      </c>
      <c r="BB57" s="33">
        <f t="shared" si="84"/>
        <v>1568.7920215567779</v>
      </c>
      <c r="BC57" s="167">
        <f t="shared" si="85"/>
        <v>86.283561185622787</v>
      </c>
      <c r="BD57" s="165">
        <v>0</v>
      </c>
      <c r="BE57" s="166">
        <f t="shared" si="86"/>
        <v>0</v>
      </c>
      <c r="BF57" s="33">
        <f t="shared" si="87"/>
        <v>1855.0755827424007</v>
      </c>
      <c r="BG57" s="167">
        <f t="shared" si="88"/>
        <v>102.02915705083204</v>
      </c>
      <c r="BH57" s="165">
        <v>0</v>
      </c>
      <c r="BI57" s="166">
        <f t="shared" si="89"/>
        <v>0</v>
      </c>
      <c r="BJ57" s="33">
        <f t="shared" si="90"/>
        <v>2157.104739793233</v>
      </c>
      <c r="BK57" s="167">
        <f t="shared" si="91"/>
        <v>118.64076068862781</v>
      </c>
      <c r="BL57" s="87">
        <f t="shared" si="92"/>
        <v>1300</v>
      </c>
    </row>
    <row r="58" spans="1:64">
      <c r="A58" s="10" t="s">
        <v>629</v>
      </c>
      <c r="B58" s="10" t="s">
        <v>156</v>
      </c>
      <c r="C58" s="80">
        <v>0</v>
      </c>
      <c r="D58" s="79">
        <f t="shared" si="47"/>
        <v>2400</v>
      </c>
      <c r="E58" s="79">
        <f>'2019-2020 New'!J58</f>
        <v>6710.7423174662899</v>
      </c>
      <c r="F58" s="139">
        <f>'2019-2020 New'!F58</f>
        <v>2600</v>
      </c>
      <c r="G58" s="187">
        <f t="shared" si="48"/>
        <v>2400</v>
      </c>
      <c r="H58" s="159">
        <f t="shared" si="49"/>
        <v>0</v>
      </c>
      <c r="I58" s="190">
        <f t="shared" si="50"/>
        <v>2400</v>
      </c>
      <c r="J58" s="78">
        <f t="shared" si="46"/>
        <v>16215.873156151229</v>
      </c>
      <c r="K58" s="78">
        <f t="shared" si="51"/>
        <v>0</v>
      </c>
      <c r="L58" s="78">
        <f t="shared" si="52"/>
        <v>0</v>
      </c>
      <c r="M58" s="78">
        <f t="shared" si="53"/>
        <v>7105.1308386849378</v>
      </c>
      <c r="N58" s="194">
        <f t="shared" si="54"/>
        <v>7105.1308386849378</v>
      </c>
      <c r="O58" s="78">
        <f t="shared" si="55"/>
        <v>-7105.1308386849378</v>
      </c>
      <c r="P58" s="165">
        <v>0</v>
      </c>
      <c r="Q58" s="166">
        <f t="shared" si="56"/>
        <v>0</v>
      </c>
      <c r="R58" s="119">
        <f t="shared" si="57"/>
        <v>6910.7423174662899</v>
      </c>
      <c r="S58" s="167">
        <f t="shared" si="58"/>
        <v>380.09082746064593</v>
      </c>
      <c r="T58" s="165">
        <v>0</v>
      </c>
      <c r="U58" s="166">
        <f t="shared" si="59"/>
        <v>0</v>
      </c>
      <c r="V58" s="33">
        <f t="shared" si="60"/>
        <v>7490.8331449269363</v>
      </c>
      <c r="W58" s="167">
        <f t="shared" si="61"/>
        <v>411.99582297098152</v>
      </c>
      <c r="X58" s="165">
        <v>0</v>
      </c>
      <c r="Y58" s="166">
        <f t="shared" si="62"/>
        <v>0</v>
      </c>
      <c r="Z58" s="33">
        <f t="shared" si="63"/>
        <v>8102.8289678979181</v>
      </c>
      <c r="AA58" s="167">
        <f t="shared" si="64"/>
        <v>445.65559323438549</v>
      </c>
      <c r="AB58" s="165">
        <v>0</v>
      </c>
      <c r="AC58" s="166">
        <f t="shared" si="65"/>
        <v>0</v>
      </c>
      <c r="AD58" s="33">
        <f t="shared" si="66"/>
        <v>8748.4845611323035</v>
      </c>
      <c r="AE58" s="167">
        <f t="shared" si="67"/>
        <v>481.1666508622767</v>
      </c>
      <c r="AF58" s="165">
        <v>0</v>
      </c>
      <c r="AG58" s="166">
        <f t="shared" si="68"/>
        <v>0</v>
      </c>
      <c r="AH58" s="33">
        <f t="shared" si="69"/>
        <v>9429.6512119945801</v>
      </c>
      <c r="AI58" s="167">
        <f t="shared" si="70"/>
        <v>518.63081665970196</v>
      </c>
      <c r="AJ58" s="165">
        <v>0</v>
      </c>
      <c r="AK58" s="166">
        <f t="shared" si="71"/>
        <v>0</v>
      </c>
      <c r="AL58" s="33">
        <f t="shared" si="72"/>
        <v>10148.282028654283</v>
      </c>
      <c r="AM58" s="167">
        <f t="shared" si="73"/>
        <v>558.15551157598554</v>
      </c>
      <c r="AN58" s="165">
        <v>0</v>
      </c>
      <c r="AO58" s="166">
        <f t="shared" si="74"/>
        <v>0</v>
      </c>
      <c r="AP58" s="33">
        <f t="shared" si="75"/>
        <v>10906.437540230268</v>
      </c>
      <c r="AQ58" s="167">
        <f t="shared" si="76"/>
        <v>599.85406471266481</v>
      </c>
      <c r="AR58" s="165">
        <v>0</v>
      </c>
      <c r="AS58" s="166">
        <f t="shared" si="77"/>
        <v>0</v>
      </c>
      <c r="AT58" s="33">
        <f t="shared" si="78"/>
        <v>11706.291604942933</v>
      </c>
      <c r="AU58" s="167">
        <f t="shared" si="79"/>
        <v>643.84603827186129</v>
      </c>
      <c r="AV58" s="165">
        <v>0</v>
      </c>
      <c r="AW58" s="166">
        <f t="shared" si="80"/>
        <v>0</v>
      </c>
      <c r="AX58" s="33">
        <f t="shared" si="81"/>
        <v>12550.137643214795</v>
      </c>
      <c r="AY58" s="167">
        <f t="shared" si="82"/>
        <v>690.25757037681376</v>
      </c>
      <c r="AZ58" s="165">
        <v>0</v>
      </c>
      <c r="BA58" s="166">
        <f t="shared" si="83"/>
        <v>0</v>
      </c>
      <c r="BB58" s="33">
        <f t="shared" si="84"/>
        <v>13440.39521359161</v>
      </c>
      <c r="BC58" s="167">
        <f t="shared" si="85"/>
        <v>739.22173674753856</v>
      </c>
      <c r="BD58" s="165">
        <v>0</v>
      </c>
      <c r="BE58" s="166">
        <f t="shared" si="86"/>
        <v>0</v>
      </c>
      <c r="BF58" s="33">
        <f t="shared" si="87"/>
        <v>14379.616950339148</v>
      </c>
      <c r="BG58" s="167">
        <f t="shared" si="88"/>
        <v>790.87893226865322</v>
      </c>
      <c r="BH58" s="165">
        <v>0</v>
      </c>
      <c r="BI58" s="166">
        <f t="shared" si="89"/>
        <v>0</v>
      </c>
      <c r="BJ58" s="33">
        <f t="shared" si="90"/>
        <v>15370.495882607802</v>
      </c>
      <c r="BK58" s="167">
        <f t="shared" si="91"/>
        <v>845.37727354342906</v>
      </c>
      <c r="BL58" s="87">
        <f t="shared" si="92"/>
        <v>0</v>
      </c>
    </row>
    <row r="59" spans="1:64">
      <c r="A59" s="10" t="s">
        <v>630</v>
      </c>
      <c r="B59" s="10" t="s">
        <v>158</v>
      </c>
      <c r="C59" s="80">
        <v>0</v>
      </c>
      <c r="D59" s="79">
        <f t="shared" si="47"/>
        <v>2400</v>
      </c>
      <c r="E59" s="79">
        <f>'2019-2020 New'!J59</f>
        <v>7200.5225930061797</v>
      </c>
      <c r="F59" s="139">
        <f>'2019-2020 New'!F59</f>
        <v>3800</v>
      </c>
      <c r="G59" s="187">
        <f t="shared" si="48"/>
        <v>2400</v>
      </c>
      <c r="H59" s="159">
        <f t="shared" si="49"/>
        <v>0</v>
      </c>
      <c r="I59" s="190">
        <f t="shared" si="50"/>
        <v>2400</v>
      </c>
      <c r="J59" s="78">
        <f t="shared" si="46"/>
        <v>17147.047082384775</v>
      </c>
      <c r="K59" s="78">
        <f t="shared" si="51"/>
        <v>0</v>
      </c>
      <c r="L59" s="78">
        <f t="shared" si="52"/>
        <v>0</v>
      </c>
      <c r="M59" s="78">
        <f t="shared" si="53"/>
        <v>7546.5244893785948</v>
      </c>
      <c r="N59" s="194">
        <f t="shared" si="54"/>
        <v>7546.5244893785948</v>
      </c>
      <c r="O59" s="78">
        <f t="shared" si="55"/>
        <v>-7546.5244893785948</v>
      </c>
      <c r="P59" s="165">
        <v>0</v>
      </c>
      <c r="Q59" s="166">
        <f t="shared" si="56"/>
        <v>0</v>
      </c>
      <c r="R59" s="119">
        <f t="shared" si="57"/>
        <v>7400.5225930061797</v>
      </c>
      <c r="S59" s="167">
        <f t="shared" si="58"/>
        <v>407.02874261533987</v>
      </c>
      <c r="T59" s="165">
        <v>0</v>
      </c>
      <c r="U59" s="166">
        <f t="shared" si="59"/>
        <v>0</v>
      </c>
      <c r="V59" s="33">
        <f t="shared" si="60"/>
        <v>8007.5513356215197</v>
      </c>
      <c r="W59" s="167">
        <f t="shared" si="61"/>
        <v>440.41532345918358</v>
      </c>
      <c r="X59" s="165">
        <v>0</v>
      </c>
      <c r="Y59" s="166">
        <f t="shared" si="62"/>
        <v>0</v>
      </c>
      <c r="Z59" s="33">
        <f t="shared" si="63"/>
        <v>8647.9666590807028</v>
      </c>
      <c r="AA59" s="167">
        <f t="shared" si="64"/>
        <v>475.63816624943865</v>
      </c>
      <c r="AB59" s="165">
        <v>0</v>
      </c>
      <c r="AC59" s="166">
        <f t="shared" si="65"/>
        <v>0</v>
      </c>
      <c r="AD59" s="33">
        <f t="shared" si="66"/>
        <v>9323.6048253301415</v>
      </c>
      <c r="AE59" s="167">
        <f t="shared" si="67"/>
        <v>512.79826539315775</v>
      </c>
      <c r="AF59" s="165">
        <v>0</v>
      </c>
      <c r="AG59" s="166">
        <f t="shared" si="68"/>
        <v>0</v>
      </c>
      <c r="AH59" s="33">
        <f t="shared" si="69"/>
        <v>10036.403090723299</v>
      </c>
      <c r="AI59" s="167">
        <f t="shared" si="70"/>
        <v>552.00216998978146</v>
      </c>
      <c r="AJ59" s="165">
        <v>0</v>
      </c>
      <c r="AK59" s="166">
        <f t="shared" si="71"/>
        <v>0</v>
      </c>
      <c r="AL59" s="33">
        <f t="shared" si="72"/>
        <v>10788.40526071308</v>
      </c>
      <c r="AM59" s="167">
        <f t="shared" si="73"/>
        <v>593.36228933921939</v>
      </c>
      <c r="AN59" s="165">
        <v>0</v>
      </c>
      <c r="AO59" s="166">
        <f t="shared" si="74"/>
        <v>0</v>
      </c>
      <c r="AP59" s="33">
        <f t="shared" si="75"/>
        <v>11581.7675500523</v>
      </c>
      <c r="AQ59" s="167">
        <f t="shared" si="76"/>
        <v>636.99721525287646</v>
      </c>
      <c r="AR59" s="165">
        <v>0</v>
      </c>
      <c r="AS59" s="166">
        <f t="shared" si="77"/>
        <v>0</v>
      </c>
      <c r="AT59" s="33">
        <f t="shared" si="78"/>
        <v>12418.764765305177</v>
      </c>
      <c r="AU59" s="167">
        <f t="shared" si="79"/>
        <v>683.03206209178472</v>
      </c>
      <c r="AV59" s="165">
        <v>0</v>
      </c>
      <c r="AW59" s="166">
        <f t="shared" si="80"/>
        <v>0</v>
      </c>
      <c r="AX59" s="33">
        <f t="shared" si="81"/>
        <v>13301.796827396962</v>
      </c>
      <c r="AY59" s="167">
        <f t="shared" si="82"/>
        <v>731.5988255068329</v>
      </c>
      <c r="AZ59" s="165">
        <v>0</v>
      </c>
      <c r="BA59" s="166">
        <f t="shared" si="83"/>
        <v>0</v>
      </c>
      <c r="BB59" s="33">
        <f t="shared" si="84"/>
        <v>14233.395652903795</v>
      </c>
      <c r="BC59" s="167">
        <f t="shared" si="85"/>
        <v>782.83676090970869</v>
      </c>
      <c r="BD59" s="165">
        <v>0</v>
      </c>
      <c r="BE59" s="166">
        <f t="shared" si="86"/>
        <v>0</v>
      </c>
      <c r="BF59" s="33">
        <f t="shared" si="87"/>
        <v>15216.232413813505</v>
      </c>
      <c r="BG59" s="167">
        <f t="shared" si="88"/>
        <v>836.89278275974277</v>
      </c>
      <c r="BH59" s="165">
        <v>0</v>
      </c>
      <c r="BI59" s="166">
        <f t="shared" si="89"/>
        <v>0</v>
      </c>
      <c r="BJ59" s="33">
        <f t="shared" si="90"/>
        <v>16253.125196573248</v>
      </c>
      <c r="BK59" s="167">
        <f t="shared" si="91"/>
        <v>893.92188581152868</v>
      </c>
      <c r="BL59" s="87">
        <f t="shared" si="92"/>
        <v>0</v>
      </c>
    </row>
    <row r="60" spans="1:64">
      <c r="A60" s="10" t="s">
        <v>631</v>
      </c>
      <c r="B60" s="10" t="s">
        <v>118</v>
      </c>
      <c r="C60" s="80">
        <v>0</v>
      </c>
      <c r="D60" s="79">
        <f t="shared" si="47"/>
        <v>2400</v>
      </c>
      <c r="E60" s="79">
        <f>'2019-2020 New'!J60</f>
        <v>5280.7154870849172</v>
      </c>
      <c r="F60" s="139">
        <f>'2019-2020 New'!F60</f>
        <v>200</v>
      </c>
      <c r="G60" s="187">
        <f t="shared" si="48"/>
        <v>2400</v>
      </c>
      <c r="H60" s="159">
        <f t="shared" si="49"/>
        <v>1500</v>
      </c>
      <c r="I60" s="190">
        <f t="shared" si="50"/>
        <v>900</v>
      </c>
      <c r="J60" s="78">
        <f t="shared" si="46"/>
        <v>11848.422818099982</v>
      </c>
      <c r="K60" s="78">
        <f t="shared" si="51"/>
        <v>14.849999999999998</v>
      </c>
      <c r="L60" s="78">
        <f t="shared" si="52"/>
        <v>81.683250000000001</v>
      </c>
      <c r="M60" s="78">
        <f t="shared" si="53"/>
        <v>5667.7073310150654</v>
      </c>
      <c r="N60" s="194">
        <f t="shared" si="54"/>
        <v>5667.7073310150654</v>
      </c>
      <c r="O60" s="78">
        <f t="shared" si="55"/>
        <v>-4100.8740810150648</v>
      </c>
      <c r="P60" s="165">
        <f>'2018-2019 B STATEMENT '!B609</f>
        <v>1500</v>
      </c>
      <c r="Q60" s="166">
        <f t="shared" si="56"/>
        <v>14.849999999999998</v>
      </c>
      <c r="R60" s="119">
        <f t="shared" si="57"/>
        <v>5480.7154870849172</v>
      </c>
      <c r="S60" s="167">
        <f t="shared" si="58"/>
        <v>218.93935178967044</v>
      </c>
      <c r="T60" s="165">
        <v>0</v>
      </c>
      <c r="U60" s="166">
        <f t="shared" si="59"/>
        <v>0</v>
      </c>
      <c r="V60" s="33">
        <f t="shared" si="60"/>
        <v>5899.6548388745878</v>
      </c>
      <c r="W60" s="167">
        <f t="shared" si="61"/>
        <v>324.48101613810235</v>
      </c>
      <c r="X60" s="165">
        <v>0</v>
      </c>
      <c r="Y60" s="166">
        <f t="shared" si="62"/>
        <v>0</v>
      </c>
      <c r="Z60" s="33">
        <f t="shared" si="63"/>
        <v>6424.1358550126897</v>
      </c>
      <c r="AA60" s="167">
        <f t="shared" si="64"/>
        <v>353.32747202569794</v>
      </c>
      <c r="AB60" s="165">
        <v>0</v>
      </c>
      <c r="AC60" s="166">
        <f t="shared" si="65"/>
        <v>0</v>
      </c>
      <c r="AD60" s="33">
        <f t="shared" si="66"/>
        <v>6977.4633270383874</v>
      </c>
      <c r="AE60" s="167">
        <f t="shared" si="67"/>
        <v>383.76048298711129</v>
      </c>
      <c r="AF60" s="165">
        <v>0</v>
      </c>
      <c r="AG60" s="166">
        <f t="shared" si="68"/>
        <v>0</v>
      </c>
      <c r="AH60" s="33">
        <f t="shared" si="69"/>
        <v>7561.223810025499</v>
      </c>
      <c r="AI60" s="167">
        <f t="shared" si="70"/>
        <v>415.86730955140246</v>
      </c>
      <c r="AJ60" s="165">
        <v>0</v>
      </c>
      <c r="AK60" s="166">
        <f t="shared" si="71"/>
        <v>0</v>
      </c>
      <c r="AL60" s="33">
        <f t="shared" si="72"/>
        <v>8177.0911195769013</v>
      </c>
      <c r="AM60" s="167">
        <f t="shared" si="73"/>
        <v>449.74001157672956</v>
      </c>
      <c r="AN60" s="165">
        <v>0</v>
      </c>
      <c r="AO60" s="166">
        <f t="shared" si="74"/>
        <v>0</v>
      </c>
      <c r="AP60" s="33">
        <f t="shared" si="75"/>
        <v>8826.8311311536308</v>
      </c>
      <c r="AQ60" s="167">
        <f t="shared" si="76"/>
        <v>485.4757122134497</v>
      </c>
      <c r="AR60" s="165">
        <v>0</v>
      </c>
      <c r="AS60" s="166">
        <f t="shared" si="77"/>
        <v>0</v>
      </c>
      <c r="AT60" s="33">
        <f t="shared" si="78"/>
        <v>9512.3068433670815</v>
      </c>
      <c r="AU60" s="167">
        <f t="shared" si="79"/>
        <v>523.17687638518953</v>
      </c>
      <c r="AV60" s="165">
        <v>0</v>
      </c>
      <c r="AW60" s="166">
        <f t="shared" si="80"/>
        <v>0</v>
      </c>
      <c r="AX60" s="33">
        <f t="shared" si="81"/>
        <v>10235.48371975227</v>
      </c>
      <c r="AY60" s="167">
        <f t="shared" si="82"/>
        <v>562.95160458637486</v>
      </c>
      <c r="AZ60" s="165">
        <v>0</v>
      </c>
      <c r="BA60" s="166">
        <f t="shared" si="83"/>
        <v>0</v>
      </c>
      <c r="BB60" s="33">
        <f t="shared" si="84"/>
        <v>10998.435324338645</v>
      </c>
      <c r="BC60" s="167">
        <f t="shared" si="85"/>
        <v>604.91394283862553</v>
      </c>
      <c r="BD60" s="165">
        <v>0</v>
      </c>
      <c r="BE60" s="166">
        <f t="shared" si="86"/>
        <v>0</v>
      </c>
      <c r="BF60" s="33">
        <f t="shared" si="87"/>
        <v>11803.349267177271</v>
      </c>
      <c r="BG60" s="167">
        <f t="shared" si="88"/>
        <v>649.18420969474994</v>
      </c>
      <c r="BH60" s="165">
        <v>0</v>
      </c>
      <c r="BI60" s="166">
        <f t="shared" si="89"/>
        <v>0</v>
      </c>
      <c r="BJ60" s="33">
        <f t="shared" si="90"/>
        <v>12652.53347687202</v>
      </c>
      <c r="BK60" s="167">
        <f t="shared" si="91"/>
        <v>695.88934122796115</v>
      </c>
      <c r="BL60" s="87">
        <f t="shared" si="92"/>
        <v>1500</v>
      </c>
    </row>
    <row r="61" spans="1:64">
      <c r="A61" s="10" t="s">
        <v>632</v>
      </c>
      <c r="B61" s="10" t="s">
        <v>157</v>
      </c>
      <c r="C61" s="80">
        <v>0</v>
      </c>
      <c r="D61" s="79">
        <f t="shared" si="47"/>
        <v>2400</v>
      </c>
      <c r="E61" s="79">
        <f>'2019-2020 New'!J61</f>
        <v>5389.770965655397</v>
      </c>
      <c r="F61" s="139">
        <f>'2019-2020 New'!F61</f>
        <v>2600</v>
      </c>
      <c r="G61" s="187">
        <f t="shared" si="48"/>
        <v>2400</v>
      </c>
      <c r="H61" s="159">
        <f t="shared" si="49"/>
        <v>0</v>
      </c>
      <c r="I61" s="190">
        <f t="shared" si="50"/>
        <v>2400</v>
      </c>
      <c r="J61" s="78">
        <f t="shared" si="46"/>
        <v>13704.43253361516</v>
      </c>
      <c r="K61" s="78">
        <f t="shared" si="51"/>
        <v>0</v>
      </c>
      <c r="L61" s="78">
        <f t="shared" si="52"/>
        <v>0</v>
      </c>
      <c r="M61" s="78">
        <f t="shared" si="53"/>
        <v>5914.6615679597635</v>
      </c>
      <c r="N61" s="194">
        <f t="shared" si="54"/>
        <v>5914.6615679597635</v>
      </c>
      <c r="O61" s="78">
        <f t="shared" si="55"/>
        <v>-5914.6615679597635</v>
      </c>
      <c r="P61" s="165">
        <v>0</v>
      </c>
      <c r="Q61" s="166">
        <f t="shared" si="56"/>
        <v>0</v>
      </c>
      <c r="R61" s="119">
        <f t="shared" si="57"/>
        <v>5589.770965655397</v>
      </c>
      <c r="S61" s="167">
        <f t="shared" si="58"/>
        <v>307.43740311104682</v>
      </c>
      <c r="T61" s="165">
        <v>0</v>
      </c>
      <c r="U61" s="166">
        <f t="shared" si="59"/>
        <v>0</v>
      </c>
      <c r="V61" s="33">
        <f t="shared" si="60"/>
        <v>6097.2083687664435</v>
      </c>
      <c r="W61" s="167">
        <f t="shared" si="61"/>
        <v>335.3464602821544</v>
      </c>
      <c r="X61" s="165">
        <v>0</v>
      </c>
      <c r="Y61" s="166">
        <f t="shared" si="62"/>
        <v>0</v>
      </c>
      <c r="Z61" s="33">
        <f t="shared" si="63"/>
        <v>6632.5548290485976</v>
      </c>
      <c r="AA61" s="167">
        <f t="shared" si="64"/>
        <v>364.79051559767288</v>
      </c>
      <c r="AB61" s="165">
        <v>0</v>
      </c>
      <c r="AC61" s="166">
        <f t="shared" si="65"/>
        <v>0</v>
      </c>
      <c r="AD61" s="33">
        <f t="shared" si="66"/>
        <v>7197.3453446462709</v>
      </c>
      <c r="AE61" s="167">
        <f t="shared" si="67"/>
        <v>395.85399395554492</v>
      </c>
      <c r="AF61" s="165">
        <v>0</v>
      </c>
      <c r="AG61" s="166">
        <f t="shared" si="68"/>
        <v>0</v>
      </c>
      <c r="AH61" s="33">
        <f t="shared" si="69"/>
        <v>7793.1993386018157</v>
      </c>
      <c r="AI61" s="167">
        <f t="shared" si="70"/>
        <v>428.62596362309989</v>
      </c>
      <c r="AJ61" s="165">
        <v>0</v>
      </c>
      <c r="AK61" s="166">
        <f t="shared" si="71"/>
        <v>0</v>
      </c>
      <c r="AL61" s="33">
        <f t="shared" si="72"/>
        <v>8421.8253022249155</v>
      </c>
      <c r="AM61" s="167">
        <f t="shared" si="73"/>
        <v>463.20039162237038</v>
      </c>
      <c r="AN61" s="165">
        <v>0</v>
      </c>
      <c r="AO61" s="166">
        <f t="shared" si="74"/>
        <v>0</v>
      </c>
      <c r="AP61" s="33">
        <f t="shared" si="75"/>
        <v>9085.0256938472867</v>
      </c>
      <c r="AQ61" s="167">
        <f t="shared" si="76"/>
        <v>499.67641316160075</v>
      </c>
      <c r="AR61" s="165">
        <v>0</v>
      </c>
      <c r="AS61" s="166">
        <f t="shared" si="77"/>
        <v>0</v>
      </c>
      <c r="AT61" s="33">
        <f t="shared" si="78"/>
        <v>9784.7021070088867</v>
      </c>
      <c r="AU61" s="167">
        <f t="shared" si="79"/>
        <v>538.15861588548876</v>
      </c>
      <c r="AV61" s="165">
        <v>0</v>
      </c>
      <c r="AW61" s="166">
        <f t="shared" si="80"/>
        <v>0</v>
      </c>
      <c r="AX61" s="33">
        <f t="shared" si="81"/>
        <v>10522.860722894375</v>
      </c>
      <c r="AY61" s="167">
        <f t="shared" si="82"/>
        <v>578.75733975919059</v>
      </c>
      <c r="AZ61" s="165">
        <v>0</v>
      </c>
      <c r="BA61" s="166">
        <f t="shared" si="83"/>
        <v>0</v>
      </c>
      <c r="BB61" s="33">
        <f t="shared" si="84"/>
        <v>11301.618062653566</v>
      </c>
      <c r="BC61" s="167">
        <f t="shared" si="85"/>
        <v>621.58899344594613</v>
      </c>
      <c r="BD61" s="165">
        <v>0</v>
      </c>
      <c r="BE61" s="166">
        <f t="shared" si="86"/>
        <v>0</v>
      </c>
      <c r="BF61" s="33">
        <f t="shared" si="87"/>
        <v>12123.207056099513</v>
      </c>
      <c r="BG61" s="167">
        <f t="shared" si="88"/>
        <v>666.77638808547317</v>
      </c>
      <c r="BH61" s="165">
        <v>0</v>
      </c>
      <c r="BI61" s="166">
        <f t="shared" si="89"/>
        <v>0</v>
      </c>
      <c r="BJ61" s="33">
        <f t="shared" si="90"/>
        <v>12989.983444184985</v>
      </c>
      <c r="BK61" s="167">
        <f t="shared" si="91"/>
        <v>714.44908943017424</v>
      </c>
      <c r="BL61" s="87">
        <f t="shared" si="92"/>
        <v>0</v>
      </c>
    </row>
    <row r="62" spans="1:64">
      <c r="A62" s="10" t="s">
        <v>633</v>
      </c>
      <c r="B62" s="10" t="s">
        <v>127</v>
      </c>
      <c r="C62" s="80">
        <v>0</v>
      </c>
      <c r="D62" s="79">
        <f t="shared" si="47"/>
        <v>2400</v>
      </c>
      <c r="E62" s="79">
        <f>'2019-2020 New'!J62</f>
        <v>8020.2575930061794</v>
      </c>
      <c r="F62" s="139">
        <f>'2019-2020 New'!F62</f>
        <v>200</v>
      </c>
      <c r="G62" s="187">
        <f t="shared" si="48"/>
        <v>2400</v>
      </c>
      <c r="H62" s="159">
        <f t="shared" si="49"/>
        <v>200</v>
      </c>
      <c r="I62" s="190">
        <f t="shared" si="50"/>
        <v>2200</v>
      </c>
      <c r="J62" s="78">
        <f t="shared" si="46"/>
        <v>18444.851815473434</v>
      </c>
      <c r="K62" s="78">
        <f t="shared" si="51"/>
        <v>2.2000000000000002</v>
      </c>
      <c r="L62" s="78">
        <f t="shared" si="52"/>
        <v>10.879000000000001</v>
      </c>
      <c r="M62" s="78">
        <f t="shared" si="53"/>
        <v>8224.5942224672563</v>
      </c>
      <c r="N62" s="194">
        <f t="shared" si="54"/>
        <v>8224.5942224672563</v>
      </c>
      <c r="O62" s="78">
        <f t="shared" si="55"/>
        <v>-8015.9152224672562</v>
      </c>
      <c r="P62" s="165">
        <v>0</v>
      </c>
      <c r="Q62" s="166">
        <f t="shared" si="56"/>
        <v>0</v>
      </c>
      <c r="R62" s="119">
        <f t="shared" si="57"/>
        <v>8220.2575930061794</v>
      </c>
      <c r="S62" s="167">
        <f t="shared" si="58"/>
        <v>452.11416761533985</v>
      </c>
      <c r="T62" s="165">
        <v>0</v>
      </c>
      <c r="U62" s="166">
        <f t="shared" si="59"/>
        <v>0</v>
      </c>
      <c r="V62" s="33">
        <f t="shared" si="60"/>
        <v>8872.3717606215196</v>
      </c>
      <c r="W62" s="167">
        <f t="shared" si="61"/>
        <v>487.98044683418357</v>
      </c>
      <c r="X62" s="165">
        <v>0</v>
      </c>
      <c r="Y62" s="166">
        <f t="shared" si="62"/>
        <v>0</v>
      </c>
      <c r="Z62" s="33">
        <f t="shared" si="63"/>
        <v>9560.352207455704</v>
      </c>
      <c r="AA62" s="167">
        <f t="shared" si="64"/>
        <v>525.8193714100637</v>
      </c>
      <c r="AB62" s="165">
        <v>0</v>
      </c>
      <c r="AC62" s="166">
        <f t="shared" si="65"/>
        <v>0</v>
      </c>
      <c r="AD62" s="33">
        <f t="shared" si="66"/>
        <v>10286.171578865768</v>
      </c>
      <c r="AE62" s="167">
        <f t="shared" si="67"/>
        <v>565.73943683761718</v>
      </c>
      <c r="AF62" s="165">
        <v>0</v>
      </c>
      <c r="AG62" s="166">
        <f t="shared" si="68"/>
        <v>0</v>
      </c>
      <c r="AH62" s="33">
        <f t="shared" si="69"/>
        <v>11051.911015703385</v>
      </c>
      <c r="AI62" s="167">
        <f t="shared" si="70"/>
        <v>607.85510586368616</v>
      </c>
      <c r="AJ62" s="165">
        <v>0</v>
      </c>
      <c r="AK62" s="166">
        <f t="shared" si="71"/>
        <v>0</v>
      </c>
      <c r="AL62" s="33">
        <f t="shared" si="72"/>
        <v>11859.766121567071</v>
      </c>
      <c r="AM62" s="167">
        <f t="shared" si="73"/>
        <v>652.28713668618889</v>
      </c>
      <c r="AN62" s="165">
        <v>0</v>
      </c>
      <c r="AO62" s="166">
        <f t="shared" si="74"/>
        <v>0</v>
      </c>
      <c r="AP62" s="33">
        <f t="shared" si="75"/>
        <v>12712.05325825326</v>
      </c>
      <c r="AQ62" s="167">
        <f t="shared" si="76"/>
        <v>699.16292920392925</v>
      </c>
      <c r="AR62" s="165">
        <v>0</v>
      </c>
      <c r="AS62" s="166">
        <f t="shared" si="77"/>
        <v>0</v>
      </c>
      <c r="AT62" s="33">
        <f t="shared" si="78"/>
        <v>13611.216187457188</v>
      </c>
      <c r="AU62" s="167">
        <f t="shared" si="79"/>
        <v>748.61689031014532</v>
      </c>
      <c r="AV62" s="165">
        <f>'2018-2019 B STATEMENT '!B736</f>
        <v>200</v>
      </c>
      <c r="AW62" s="166">
        <f t="shared" si="80"/>
        <v>2.2000000000000002</v>
      </c>
      <c r="AX62" s="33">
        <f t="shared" si="81"/>
        <v>14359.833077767335</v>
      </c>
      <c r="AY62" s="167">
        <f t="shared" si="82"/>
        <v>778.79081927720335</v>
      </c>
      <c r="AZ62" s="165">
        <v>0</v>
      </c>
      <c r="BA62" s="166">
        <f t="shared" si="83"/>
        <v>0</v>
      </c>
      <c r="BB62" s="33">
        <f t="shared" si="84"/>
        <v>15338.623897044537</v>
      </c>
      <c r="BC62" s="167">
        <f t="shared" si="85"/>
        <v>843.62431433744962</v>
      </c>
      <c r="BD62" s="165">
        <v>0</v>
      </c>
      <c r="BE62" s="166">
        <f t="shared" si="86"/>
        <v>0</v>
      </c>
      <c r="BF62" s="33">
        <f t="shared" si="87"/>
        <v>16382.248211381988</v>
      </c>
      <c r="BG62" s="167">
        <f t="shared" si="88"/>
        <v>901.02365162600938</v>
      </c>
      <c r="BH62" s="165">
        <v>0</v>
      </c>
      <c r="BI62" s="166">
        <f t="shared" si="89"/>
        <v>0</v>
      </c>
      <c r="BJ62" s="33">
        <f t="shared" si="90"/>
        <v>17483.271863007994</v>
      </c>
      <c r="BK62" s="167">
        <f t="shared" si="91"/>
        <v>961.57995246543965</v>
      </c>
      <c r="BL62" s="87">
        <f t="shared" si="92"/>
        <v>200</v>
      </c>
    </row>
    <row r="63" spans="1:64">
      <c r="A63" s="10" t="s">
        <v>634</v>
      </c>
      <c r="B63" s="10" t="s">
        <v>127</v>
      </c>
      <c r="C63" s="80">
        <v>0</v>
      </c>
      <c r="D63" s="79">
        <f t="shared" si="47"/>
        <v>2400</v>
      </c>
      <c r="E63" s="79">
        <f>'2019-2020 New'!J63</f>
        <v>1928.7130400460665</v>
      </c>
      <c r="F63" s="139">
        <f>'2019-2020 New'!F63</f>
        <v>200</v>
      </c>
      <c r="G63" s="187">
        <f t="shared" si="48"/>
        <v>2400</v>
      </c>
      <c r="H63" s="159">
        <f t="shared" si="49"/>
        <v>2000</v>
      </c>
      <c r="I63" s="190">
        <f t="shared" si="50"/>
        <v>400</v>
      </c>
      <c r="J63" s="78">
        <f t="shared" si="46"/>
        <v>4812.6682968011555</v>
      </c>
      <c r="K63" s="78">
        <f t="shared" si="51"/>
        <v>22</v>
      </c>
      <c r="L63" s="78">
        <f t="shared" si="52"/>
        <v>108.79</v>
      </c>
      <c r="M63" s="78">
        <f t="shared" si="53"/>
        <v>2483.9552567550886</v>
      </c>
      <c r="N63" s="194">
        <f t="shared" si="54"/>
        <v>2483.9552567550886</v>
      </c>
      <c r="O63" s="78">
        <f t="shared" si="55"/>
        <v>-397.16525675508859</v>
      </c>
      <c r="P63" s="165">
        <v>0</v>
      </c>
      <c r="Q63" s="166">
        <f t="shared" si="56"/>
        <v>0</v>
      </c>
      <c r="R63" s="119">
        <f t="shared" si="57"/>
        <v>2128.7130400460665</v>
      </c>
      <c r="S63" s="167">
        <f t="shared" si="58"/>
        <v>117.07921720253366</v>
      </c>
      <c r="T63" s="165">
        <v>0</v>
      </c>
      <c r="U63" s="166">
        <f t="shared" si="59"/>
        <v>0</v>
      </c>
      <c r="V63" s="33">
        <f t="shared" si="60"/>
        <v>2445.7922572486</v>
      </c>
      <c r="W63" s="167">
        <f t="shared" si="61"/>
        <v>134.518574148673</v>
      </c>
      <c r="X63" s="165">
        <v>0</v>
      </c>
      <c r="Y63" s="166">
        <f t="shared" si="62"/>
        <v>0</v>
      </c>
      <c r="Z63" s="33">
        <f t="shared" si="63"/>
        <v>2780.310831397273</v>
      </c>
      <c r="AA63" s="167">
        <f t="shared" si="64"/>
        <v>152.91709572685002</v>
      </c>
      <c r="AB63" s="165">
        <v>0</v>
      </c>
      <c r="AC63" s="166">
        <f t="shared" si="65"/>
        <v>0</v>
      </c>
      <c r="AD63" s="33">
        <f t="shared" si="66"/>
        <v>3133.2279271241232</v>
      </c>
      <c r="AE63" s="167">
        <f t="shared" si="67"/>
        <v>172.32753599182678</v>
      </c>
      <c r="AF63" s="165">
        <v>0</v>
      </c>
      <c r="AG63" s="166">
        <f t="shared" si="68"/>
        <v>0</v>
      </c>
      <c r="AH63" s="33">
        <f t="shared" si="69"/>
        <v>3505.5554631159498</v>
      </c>
      <c r="AI63" s="167">
        <f t="shared" si="70"/>
        <v>192.80555047137725</v>
      </c>
      <c r="AJ63" s="165">
        <v>0</v>
      </c>
      <c r="AK63" s="166">
        <f t="shared" si="71"/>
        <v>0</v>
      </c>
      <c r="AL63" s="33">
        <f t="shared" si="72"/>
        <v>3898.3610135873269</v>
      </c>
      <c r="AM63" s="167">
        <f t="shared" si="73"/>
        <v>214.40985574730297</v>
      </c>
      <c r="AN63" s="165">
        <v>0</v>
      </c>
      <c r="AO63" s="166">
        <f t="shared" si="74"/>
        <v>0</v>
      </c>
      <c r="AP63" s="33">
        <f t="shared" si="75"/>
        <v>4312.7708693346294</v>
      </c>
      <c r="AQ63" s="167">
        <f t="shared" si="76"/>
        <v>237.20239781340462</v>
      </c>
      <c r="AR63" s="165">
        <v>0</v>
      </c>
      <c r="AS63" s="166">
        <f t="shared" si="77"/>
        <v>0</v>
      </c>
      <c r="AT63" s="33">
        <f t="shared" si="78"/>
        <v>4749.9732671480342</v>
      </c>
      <c r="AU63" s="167">
        <f t="shared" si="79"/>
        <v>261.2485296931419</v>
      </c>
      <c r="AV63" s="165">
        <v>0</v>
      </c>
      <c r="AW63" s="166">
        <f t="shared" si="80"/>
        <v>0</v>
      </c>
      <c r="AX63" s="33">
        <f t="shared" si="81"/>
        <v>5211.221796841176</v>
      </c>
      <c r="AY63" s="167">
        <f t="shared" si="82"/>
        <v>286.61719882626466</v>
      </c>
      <c r="AZ63" s="165">
        <v>0</v>
      </c>
      <c r="BA63" s="166">
        <f t="shared" si="83"/>
        <v>0</v>
      </c>
      <c r="BB63" s="33">
        <f t="shared" si="84"/>
        <v>5697.8389956674409</v>
      </c>
      <c r="BC63" s="167">
        <f t="shared" si="85"/>
        <v>313.38114476170927</v>
      </c>
      <c r="BD63" s="165">
        <f>'2018-2019 B STATEMENT '!B756</f>
        <v>1500</v>
      </c>
      <c r="BE63" s="166">
        <f t="shared" si="86"/>
        <v>16.5</v>
      </c>
      <c r="BF63" s="33">
        <f t="shared" si="87"/>
        <v>4711.22014042915</v>
      </c>
      <c r="BG63" s="167">
        <f t="shared" si="88"/>
        <v>176.61710772360325</v>
      </c>
      <c r="BH63" s="165">
        <f>'2018-2019 B STATEMENT '!B776</f>
        <v>500</v>
      </c>
      <c r="BI63" s="166">
        <f t="shared" si="89"/>
        <v>5.5000000000000009</v>
      </c>
      <c r="BJ63" s="33">
        <f t="shared" si="90"/>
        <v>4587.8372481527531</v>
      </c>
      <c r="BK63" s="167">
        <f t="shared" si="91"/>
        <v>224.83104864840143</v>
      </c>
      <c r="BL63" s="87">
        <f t="shared" si="92"/>
        <v>2000</v>
      </c>
    </row>
    <row r="64" spans="1:64">
      <c r="A64" s="10" t="s">
        <v>635</v>
      </c>
      <c r="B64" s="10" t="s">
        <v>128</v>
      </c>
      <c r="C64" s="80">
        <v>0</v>
      </c>
      <c r="D64" s="79">
        <f t="shared" si="47"/>
        <v>2400</v>
      </c>
      <c r="E64" s="79">
        <f>'2019-2020 New'!J64</f>
        <v>6879.5331015507745</v>
      </c>
      <c r="F64" s="139">
        <f>'2019-2020 New'!F64</f>
        <v>0</v>
      </c>
      <c r="G64" s="187">
        <f t="shared" si="48"/>
        <v>2400</v>
      </c>
      <c r="H64" s="159">
        <f t="shared" si="49"/>
        <v>0</v>
      </c>
      <c r="I64" s="190">
        <f t="shared" si="50"/>
        <v>2400</v>
      </c>
      <c r="J64" s="78">
        <f t="shared" si="46"/>
        <v>16536.77945837978</v>
      </c>
      <c r="K64" s="78">
        <f t="shared" si="51"/>
        <v>0</v>
      </c>
      <c r="L64" s="78">
        <f t="shared" si="52"/>
        <v>0</v>
      </c>
      <c r="M64" s="78">
        <f t="shared" si="53"/>
        <v>7257.2463568290068</v>
      </c>
      <c r="N64" s="194">
        <f t="shared" si="54"/>
        <v>7257.2463568290068</v>
      </c>
      <c r="O64" s="78">
        <f t="shared" si="55"/>
        <v>-7257.2463568290068</v>
      </c>
      <c r="P64" s="165">
        <v>0</v>
      </c>
      <c r="Q64" s="166">
        <f t="shared" si="56"/>
        <v>0</v>
      </c>
      <c r="R64" s="119">
        <f t="shared" si="57"/>
        <v>7079.5331015507745</v>
      </c>
      <c r="S64" s="167">
        <f t="shared" si="58"/>
        <v>389.37432058529259</v>
      </c>
      <c r="T64" s="165">
        <v>0</v>
      </c>
      <c r="U64" s="166">
        <f t="shared" si="59"/>
        <v>0</v>
      </c>
      <c r="V64" s="33">
        <f t="shared" si="60"/>
        <v>7668.907422136067</v>
      </c>
      <c r="W64" s="167">
        <f t="shared" si="61"/>
        <v>421.78990821748368</v>
      </c>
      <c r="X64" s="165">
        <v>0</v>
      </c>
      <c r="Y64" s="166">
        <f t="shared" si="62"/>
        <v>0</v>
      </c>
      <c r="Z64" s="33">
        <f t="shared" si="63"/>
        <v>8290.6973303535506</v>
      </c>
      <c r="AA64" s="167">
        <f t="shared" si="64"/>
        <v>455.9883531694453</v>
      </c>
      <c r="AB64" s="165">
        <v>0</v>
      </c>
      <c r="AC64" s="166">
        <f t="shared" si="65"/>
        <v>0</v>
      </c>
      <c r="AD64" s="33">
        <f t="shared" si="66"/>
        <v>8946.6856835229955</v>
      </c>
      <c r="AE64" s="167">
        <f t="shared" si="67"/>
        <v>492.06771259376478</v>
      </c>
      <c r="AF64" s="165">
        <v>0</v>
      </c>
      <c r="AG64" s="166">
        <f t="shared" si="68"/>
        <v>0</v>
      </c>
      <c r="AH64" s="33">
        <f t="shared" si="69"/>
        <v>9638.753396116761</v>
      </c>
      <c r="AI64" s="167">
        <f t="shared" si="70"/>
        <v>530.13143678642189</v>
      </c>
      <c r="AJ64" s="165">
        <v>0</v>
      </c>
      <c r="AK64" s="166">
        <f t="shared" si="71"/>
        <v>0</v>
      </c>
      <c r="AL64" s="33">
        <f t="shared" si="72"/>
        <v>10368.884832903183</v>
      </c>
      <c r="AM64" s="167">
        <f t="shared" si="73"/>
        <v>570.28866580967508</v>
      </c>
      <c r="AN64" s="165">
        <v>0</v>
      </c>
      <c r="AO64" s="166">
        <f t="shared" si="74"/>
        <v>0</v>
      </c>
      <c r="AP64" s="33">
        <f t="shared" si="75"/>
        <v>11139.173498712858</v>
      </c>
      <c r="AQ64" s="167">
        <f t="shared" si="76"/>
        <v>612.65454242920725</v>
      </c>
      <c r="AR64" s="165">
        <v>0</v>
      </c>
      <c r="AS64" s="166">
        <f t="shared" si="77"/>
        <v>0</v>
      </c>
      <c r="AT64" s="33">
        <f t="shared" si="78"/>
        <v>11951.828041142066</v>
      </c>
      <c r="AU64" s="167">
        <f t="shared" si="79"/>
        <v>657.35054226281363</v>
      </c>
      <c r="AV64" s="165">
        <v>0</v>
      </c>
      <c r="AW64" s="166">
        <f t="shared" si="80"/>
        <v>0</v>
      </c>
      <c r="AX64" s="33">
        <f t="shared" si="81"/>
        <v>12809.178583404879</v>
      </c>
      <c r="AY64" s="167">
        <f t="shared" si="82"/>
        <v>704.50482208726828</v>
      </c>
      <c r="AZ64" s="165">
        <v>0</v>
      </c>
      <c r="BA64" s="166">
        <f t="shared" si="83"/>
        <v>0</v>
      </c>
      <c r="BB64" s="33">
        <f t="shared" si="84"/>
        <v>13713.683405492147</v>
      </c>
      <c r="BC64" s="167">
        <f t="shared" si="85"/>
        <v>754.25258730206815</v>
      </c>
      <c r="BD64" s="165">
        <v>0</v>
      </c>
      <c r="BE64" s="166">
        <f t="shared" si="86"/>
        <v>0</v>
      </c>
      <c r="BF64" s="33">
        <f t="shared" si="87"/>
        <v>14667.935992794215</v>
      </c>
      <c r="BG64" s="167">
        <f t="shared" si="88"/>
        <v>806.7364796036818</v>
      </c>
      <c r="BH64" s="165">
        <v>0</v>
      </c>
      <c r="BI64" s="166">
        <f t="shared" si="89"/>
        <v>0</v>
      </c>
      <c r="BJ64" s="33">
        <f t="shared" si="90"/>
        <v>15674.672472397897</v>
      </c>
      <c r="BK64" s="167">
        <f t="shared" si="91"/>
        <v>862.10698598188435</v>
      </c>
      <c r="BL64" s="87">
        <f t="shared" si="92"/>
        <v>0</v>
      </c>
    </row>
    <row r="65" spans="1:64">
      <c r="A65" s="10" t="s">
        <v>636</v>
      </c>
      <c r="B65" s="10" t="s">
        <v>128</v>
      </c>
      <c r="C65" s="80">
        <v>0</v>
      </c>
      <c r="D65" s="79">
        <f t="shared" si="47"/>
        <v>2400</v>
      </c>
      <c r="E65" s="79">
        <f>'2019-2020 New'!J65</f>
        <v>6670.400278117284</v>
      </c>
      <c r="F65" s="139">
        <f>'2019-2020 New'!F65</f>
        <v>0</v>
      </c>
      <c r="G65" s="187">
        <f t="shared" si="48"/>
        <v>2400</v>
      </c>
      <c r="H65" s="159">
        <f t="shared" si="49"/>
        <v>0</v>
      </c>
      <c r="I65" s="190">
        <f t="shared" si="50"/>
        <v>2400</v>
      </c>
      <c r="J65" s="78">
        <f t="shared" si="46"/>
        <v>16139.174568950109</v>
      </c>
      <c r="K65" s="78">
        <f t="shared" si="51"/>
        <v>0</v>
      </c>
      <c r="L65" s="78">
        <f t="shared" si="52"/>
        <v>0</v>
      </c>
      <c r="M65" s="78">
        <f t="shared" si="53"/>
        <v>7068.7742908328264</v>
      </c>
      <c r="N65" s="194">
        <f t="shared" si="54"/>
        <v>7068.7742908328264</v>
      </c>
      <c r="O65" s="78">
        <f t="shared" si="55"/>
        <v>-7068.7742908328264</v>
      </c>
      <c r="P65" s="165">
        <v>0</v>
      </c>
      <c r="Q65" s="166">
        <f t="shared" si="56"/>
        <v>0</v>
      </c>
      <c r="R65" s="119">
        <f t="shared" si="57"/>
        <v>6870.400278117284</v>
      </c>
      <c r="S65" s="167">
        <f t="shared" si="58"/>
        <v>377.87201529645063</v>
      </c>
      <c r="T65" s="165">
        <v>0</v>
      </c>
      <c r="U65" s="166">
        <f t="shared" si="59"/>
        <v>0</v>
      </c>
      <c r="V65" s="33">
        <f t="shared" si="60"/>
        <v>7448.2722934137346</v>
      </c>
      <c r="W65" s="167">
        <f t="shared" si="61"/>
        <v>409.6549761377554</v>
      </c>
      <c r="X65" s="165">
        <v>0</v>
      </c>
      <c r="Y65" s="166">
        <f t="shared" si="62"/>
        <v>0</v>
      </c>
      <c r="Z65" s="33">
        <f t="shared" si="63"/>
        <v>8057.9272695514901</v>
      </c>
      <c r="AA65" s="167">
        <f t="shared" si="64"/>
        <v>443.18599982533198</v>
      </c>
      <c r="AB65" s="165">
        <v>0</v>
      </c>
      <c r="AC65" s="166">
        <f t="shared" si="65"/>
        <v>0</v>
      </c>
      <c r="AD65" s="33">
        <f t="shared" si="66"/>
        <v>8701.1132693768213</v>
      </c>
      <c r="AE65" s="167">
        <f t="shared" si="67"/>
        <v>478.5612298157252</v>
      </c>
      <c r="AF65" s="165">
        <v>0</v>
      </c>
      <c r="AG65" s="166">
        <f t="shared" si="68"/>
        <v>0</v>
      </c>
      <c r="AH65" s="33">
        <f t="shared" si="69"/>
        <v>9379.6744991925461</v>
      </c>
      <c r="AI65" s="167">
        <f t="shared" si="70"/>
        <v>515.88209745559004</v>
      </c>
      <c r="AJ65" s="165">
        <v>0</v>
      </c>
      <c r="AK65" s="166">
        <f t="shared" si="71"/>
        <v>0</v>
      </c>
      <c r="AL65" s="33">
        <f t="shared" si="72"/>
        <v>10095.556596648135</v>
      </c>
      <c r="AM65" s="167">
        <f t="shared" si="73"/>
        <v>555.2556128156474</v>
      </c>
      <c r="AN65" s="165">
        <v>0</v>
      </c>
      <c r="AO65" s="166">
        <f t="shared" si="74"/>
        <v>0</v>
      </c>
      <c r="AP65" s="33">
        <f t="shared" si="75"/>
        <v>10850.812209463782</v>
      </c>
      <c r="AQ65" s="167">
        <f t="shared" si="76"/>
        <v>596.79467152050802</v>
      </c>
      <c r="AR65" s="165">
        <v>0</v>
      </c>
      <c r="AS65" s="166">
        <f t="shared" si="77"/>
        <v>0</v>
      </c>
      <c r="AT65" s="33">
        <f t="shared" si="78"/>
        <v>11647.606880984291</v>
      </c>
      <c r="AU65" s="167">
        <f t="shared" si="79"/>
        <v>640.61837845413595</v>
      </c>
      <c r="AV65" s="165">
        <v>0</v>
      </c>
      <c r="AW65" s="166">
        <f t="shared" si="80"/>
        <v>0</v>
      </c>
      <c r="AX65" s="33">
        <f t="shared" si="81"/>
        <v>12488.225259438426</v>
      </c>
      <c r="AY65" s="167">
        <f t="shared" si="82"/>
        <v>686.85238926911347</v>
      </c>
      <c r="AZ65" s="165">
        <v>0</v>
      </c>
      <c r="BA65" s="166">
        <f t="shared" si="83"/>
        <v>0</v>
      </c>
      <c r="BB65" s="33">
        <f t="shared" si="84"/>
        <v>13375.07764870754</v>
      </c>
      <c r="BC65" s="167">
        <f t="shared" si="85"/>
        <v>735.62927067891474</v>
      </c>
      <c r="BD65" s="165">
        <v>0</v>
      </c>
      <c r="BE65" s="166">
        <f t="shared" si="86"/>
        <v>0</v>
      </c>
      <c r="BF65" s="33">
        <f t="shared" si="87"/>
        <v>14310.706919386455</v>
      </c>
      <c r="BG65" s="167">
        <f t="shared" si="88"/>
        <v>787.08888056625506</v>
      </c>
      <c r="BH65" s="165">
        <v>0</v>
      </c>
      <c r="BI65" s="166">
        <f t="shared" si="89"/>
        <v>0</v>
      </c>
      <c r="BJ65" s="33">
        <f t="shared" si="90"/>
        <v>15297.79579995271</v>
      </c>
      <c r="BK65" s="167">
        <f t="shared" si="91"/>
        <v>841.37876899739899</v>
      </c>
      <c r="BL65" s="87">
        <f t="shared" si="92"/>
        <v>0</v>
      </c>
    </row>
    <row r="66" spans="1:64">
      <c r="A66" s="10" t="s">
        <v>637</v>
      </c>
      <c r="B66" s="10" t="s">
        <v>155</v>
      </c>
      <c r="C66" s="80">
        <v>0</v>
      </c>
      <c r="D66" s="79">
        <f t="shared" ref="D66:D90" si="93">200*12</f>
        <v>2400</v>
      </c>
      <c r="E66" s="79">
        <f>'2019-2020 New'!J66</f>
        <v>4605.8348241197436</v>
      </c>
      <c r="F66" s="139">
        <f>'2019-2020 New'!F66</f>
        <v>600</v>
      </c>
      <c r="G66" s="187">
        <f t="shared" ref="G66:G90" si="94">C66+D66</f>
        <v>2400</v>
      </c>
      <c r="H66" s="159">
        <f t="shared" ref="H66:H90" si="95">BL66</f>
        <v>0</v>
      </c>
      <c r="I66" s="190">
        <f t="shared" ref="I66:I90" si="96">G66-H66-C66</f>
        <v>2400</v>
      </c>
      <c r="J66" s="78">
        <f t="shared" si="46"/>
        <v>12214.007272970543</v>
      </c>
      <c r="K66" s="78">
        <f t="shared" ref="K66:K90" si="97">Q66+U66+Y66+AC66+AG66+AK66+AO66+AS66+AW66+BA66+BE66+BI66</f>
        <v>0</v>
      </c>
      <c r="L66" s="78">
        <f t="shared" ref="L66:L90" si="98">(H66-K66-C66)*5.5%</f>
        <v>0</v>
      </c>
      <c r="M66" s="78">
        <f t="shared" ref="M66:M90" si="99">S66+W66+AA66+AE66+AI66+AM66+AQ66+AU66+AY66+BC66+BG66+BK66</f>
        <v>5208.172448850798</v>
      </c>
      <c r="N66" s="194">
        <f t="shared" ref="N66:N90" si="100">M66</f>
        <v>5208.172448850798</v>
      </c>
      <c r="O66" s="78">
        <f t="shared" ref="O66:O90" si="101">H66-K66-M66+L66</f>
        <v>-5208.172448850798</v>
      </c>
      <c r="P66" s="165">
        <v>0</v>
      </c>
      <c r="Q66" s="166">
        <f t="shared" ref="Q66:Q90" si="102">P66*0.99%</f>
        <v>0</v>
      </c>
      <c r="R66" s="119">
        <f t="shared" ref="R66:R90" si="103">E66+200</f>
        <v>4805.8348241197436</v>
      </c>
      <c r="S66" s="167">
        <f t="shared" ref="S66:S90" si="104">(R66-P66)*0.055</f>
        <v>264.32091532658592</v>
      </c>
      <c r="T66" s="165">
        <v>0</v>
      </c>
      <c r="U66" s="166">
        <f t="shared" ref="U66:U90" si="105">T66*0.99%</f>
        <v>0</v>
      </c>
      <c r="V66" s="33">
        <f t="shared" ref="V66:V90" si="106">R66-T66+200+S66</f>
        <v>5270.1557394463298</v>
      </c>
      <c r="W66" s="167">
        <f t="shared" ref="W66:W90" si="107">(V66-T66)*0.055</f>
        <v>289.85856566954811</v>
      </c>
      <c r="X66" s="165">
        <v>0</v>
      </c>
      <c r="Y66" s="166">
        <f t="shared" ref="Y66:Y90" si="108">X66*0.99%</f>
        <v>0</v>
      </c>
      <c r="Z66" s="33">
        <f t="shared" ref="Z66:Z90" si="109">V66-X66+200+W66</f>
        <v>5760.0143051158775</v>
      </c>
      <c r="AA66" s="167">
        <f t="shared" ref="AA66:AA90" si="110">(Z66-X66)*0.055</f>
        <v>316.80078678137329</v>
      </c>
      <c r="AB66" s="165">
        <v>0</v>
      </c>
      <c r="AC66" s="166">
        <f t="shared" ref="AC66:AC90" si="111">AB66*0.99%</f>
        <v>0</v>
      </c>
      <c r="AD66" s="33">
        <f t="shared" ref="AD66:AD90" si="112">Z66-AB66+200+AA66</f>
        <v>6276.8150918972506</v>
      </c>
      <c r="AE66" s="167">
        <f t="shared" ref="AE66:AE90" si="113">(AD66-AB66)*0.055</f>
        <v>345.22483005434879</v>
      </c>
      <c r="AF66" s="165">
        <v>0</v>
      </c>
      <c r="AG66" s="166">
        <f t="shared" ref="AG66:AG90" si="114">AF66*0.99%</f>
        <v>0</v>
      </c>
      <c r="AH66" s="33">
        <f t="shared" ref="AH66:AH90" si="115">AD66-AF66+200+AE66</f>
        <v>6822.0399219515994</v>
      </c>
      <c r="AI66" s="167">
        <f t="shared" ref="AI66:AI90" si="116">(AH66-AF66)*0.055</f>
        <v>375.21219570733797</v>
      </c>
      <c r="AJ66" s="165">
        <v>0</v>
      </c>
      <c r="AK66" s="166">
        <f t="shared" ref="AK66:AK90" si="117">AJ66*0.99%</f>
        <v>0</v>
      </c>
      <c r="AL66" s="33">
        <f t="shared" ref="AL66:AL90" si="118">AH66-AJ66+200+AI66</f>
        <v>7397.2521176589371</v>
      </c>
      <c r="AM66" s="167">
        <f t="shared" ref="AM66:AM90" si="119">(AL66-AJ66)*0.055</f>
        <v>406.84886647124154</v>
      </c>
      <c r="AN66" s="165">
        <v>0</v>
      </c>
      <c r="AO66" s="166">
        <f t="shared" ref="AO66:AO90" si="120">AN66*0.99%</f>
        <v>0</v>
      </c>
      <c r="AP66" s="33">
        <f t="shared" ref="AP66:AP90" si="121">AL66-AN66+200+AM66</f>
        <v>8004.1009841301784</v>
      </c>
      <c r="AQ66" s="167">
        <f t="shared" ref="AQ66:AQ90" si="122">(AP66-AN66)*0.055</f>
        <v>440.2255541271598</v>
      </c>
      <c r="AR66" s="165">
        <v>0</v>
      </c>
      <c r="AS66" s="166">
        <f t="shared" ref="AS66:AS90" si="123">AR66*0.99%</f>
        <v>0</v>
      </c>
      <c r="AT66" s="33">
        <f t="shared" ref="AT66:AT90" si="124">AP66-AR66+200+AQ66</f>
        <v>8644.3265382573391</v>
      </c>
      <c r="AU66" s="167">
        <f t="shared" ref="AU66:AU90" si="125">(AT66-AR66)*0.055</f>
        <v>475.43795960415366</v>
      </c>
      <c r="AV66" s="165">
        <v>0</v>
      </c>
      <c r="AW66" s="166">
        <f t="shared" ref="AW66:AW90" si="126">AV66*1.1%</f>
        <v>0</v>
      </c>
      <c r="AX66" s="33">
        <f t="shared" ref="AX66:AX90" si="127">AT66-AV66+200+AU66</f>
        <v>9319.7644978614935</v>
      </c>
      <c r="AY66" s="167">
        <f t="shared" ref="AY66:AY90" si="128">(AX66-AV66)*0.055</f>
        <v>512.58704738238214</v>
      </c>
      <c r="AZ66" s="165">
        <v>0</v>
      </c>
      <c r="BA66" s="166">
        <f t="shared" ref="BA66:BA90" si="129">AZ66*1.1%</f>
        <v>0</v>
      </c>
      <c r="BB66" s="33">
        <f t="shared" ref="BB66:BB90" si="130">AX66-AZ66+200+AY66</f>
        <v>10032.351545243875</v>
      </c>
      <c r="BC66" s="167">
        <f t="shared" ref="BC66:BC90" si="131">(BB66-AZ66)*0.055</f>
        <v>551.7793349884131</v>
      </c>
      <c r="BD66" s="165">
        <v>0</v>
      </c>
      <c r="BE66" s="166">
        <f t="shared" ref="BE66:BE90" si="132">BD66*1.1%</f>
        <v>0</v>
      </c>
      <c r="BF66" s="33">
        <f t="shared" ref="BF66:BF90" si="133">BB66-BD66+200+BC66</f>
        <v>10784.130880232287</v>
      </c>
      <c r="BG66" s="167">
        <f t="shared" ref="BG66:BG90" si="134">(BF66-BD66)*0.055</f>
        <v>593.12719841277578</v>
      </c>
      <c r="BH66" s="165">
        <v>0</v>
      </c>
      <c r="BI66" s="166">
        <f t="shared" ref="BI66:BI90" si="135">BH66*1.1%</f>
        <v>0</v>
      </c>
      <c r="BJ66" s="33">
        <f t="shared" ref="BJ66:BJ90" si="136">BF66-BH66+200+BG66</f>
        <v>11577.258078645064</v>
      </c>
      <c r="BK66" s="167">
        <f t="shared" ref="BK66:BK90" si="137">(BJ66-BH66)*0.055</f>
        <v>636.74919432547847</v>
      </c>
      <c r="BL66" s="87">
        <f t="shared" ref="BL66:BL90" si="138">P66+T66+X66+AB66+AF66+AJ66+AR66+AN66+AV66+AZ66+BD66+BH66</f>
        <v>0</v>
      </c>
    </row>
    <row r="67" spans="1:64">
      <c r="A67" s="10" t="s">
        <v>638</v>
      </c>
      <c r="B67" s="10" t="s">
        <v>126</v>
      </c>
      <c r="C67" s="80">
        <v>0</v>
      </c>
      <c r="D67" s="79">
        <f t="shared" si="93"/>
        <v>2400</v>
      </c>
      <c r="E67" s="79">
        <f>'2019-2020 New'!J67</f>
        <v>6003.0677527219323</v>
      </c>
      <c r="F67" s="139">
        <f>'2019-2020 New'!F67</f>
        <v>200</v>
      </c>
      <c r="G67" s="187">
        <f t="shared" si="94"/>
        <v>2400</v>
      </c>
      <c r="H67" s="159">
        <f t="shared" si="95"/>
        <v>1600</v>
      </c>
      <c r="I67" s="190">
        <f t="shared" si="96"/>
        <v>800</v>
      </c>
      <c r="J67" s="78">
        <f t="shared" ref="J67:J90" si="139">I67+M67+E67</f>
        <v>12507.319123923638</v>
      </c>
      <c r="K67" s="78">
        <f t="shared" si="97"/>
        <v>16.5</v>
      </c>
      <c r="L67" s="78">
        <f t="shared" si="98"/>
        <v>87.092500000000001</v>
      </c>
      <c r="M67" s="78">
        <f t="shared" si="99"/>
        <v>5704.2513712017062</v>
      </c>
      <c r="N67" s="194">
        <f t="shared" si="100"/>
        <v>5704.2513712017062</v>
      </c>
      <c r="O67" s="78">
        <f t="shared" si="101"/>
        <v>-4033.658871201706</v>
      </c>
      <c r="P67" s="165">
        <v>0</v>
      </c>
      <c r="Q67" s="166">
        <f t="shared" si="102"/>
        <v>0</v>
      </c>
      <c r="R67" s="119">
        <f t="shared" si="103"/>
        <v>6203.0677527219323</v>
      </c>
      <c r="S67" s="167">
        <f t="shared" si="104"/>
        <v>341.16872639970626</v>
      </c>
      <c r="T67" s="165">
        <f>'2018-2019 B STATEMENT '!B635</f>
        <v>200</v>
      </c>
      <c r="U67" s="166">
        <f t="shared" si="105"/>
        <v>1.9799999999999998</v>
      </c>
      <c r="V67" s="33">
        <f t="shared" si="106"/>
        <v>6544.2364791216387</v>
      </c>
      <c r="W67" s="167">
        <f t="shared" si="107"/>
        <v>348.93300635169015</v>
      </c>
      <c r="X67" s="165">
        <v>0</v>
      </c>
      <c r="Y67" s="166">
        <f t="shared" si="108"/>
        <v>0</v>
      </c>
      <c r="Z67" s="33">
        <f t="shared" si="109"/>
        <v>7093.1694854733287</v>
      </c>
      <c r="AA67" s="167">
        <f t="shared" si="110"/>
        <v>390.12432170103307</v>
      </c>
      <c r="AB67" s="165">
        <f>'2018-2019 B STATEMENT '!B662</f>
        <v>200</v>
      </c>
      <c r="AC67" s="166">
        <f t="shared" si="111"/>
        <v>1.9799999999999998</v>
      </c>
      <c r="AD67" s="33">
        <f t="shared" si="112"/>
        <v>7483.293807174362</v>
      </c>
      <c r="AE67" s="167">
        <f t="shared" si="113"/>
        <v>400.58115939458992</v>
      </c>
      <c r="AF67" s="165">
        <f>'2018-2019 B STATEMENT '!B678</f>
        <v>200</v>
      </c>
      <c r="AG67" s="166">
        <f t="shared" si="114"/>
        <v>1.9799999999999998</v>
      </c>
      <c r="AH67" s="33">
        <f t="shared" si="115"/>
        <v>7883.874966568952</v>
      </c>
      <c r="AI67" s="167">
        <f t="shared" si="116"/>
        <v>422.61312316129238</v>
      </c>
      <c r="AJ67" s="165">
        <f>'2018-2019 B STATEMENT '!B691</f>
        <v>200</v>
      </c>
      <c r="AK67" s="166">
        <f t="shared" si="117"/>
        <v>1.9799999999999998</v>
      </c>
      <c r="AL67" s="33">
        <f t="shared" si="118"/>
        <v>8306.4880897302446</v>
      </c>
      <c r="AM67" s="167">
        <f t="shared" si="119"/>
        <v>445.85684493516345</v>
      </c>
      <c r="AN67" s="165">
        <f>'2018-2019 B STATEMENT '!B711</f>
        <v>200</v>
      </c>
      <c r="AO67" s="166">
        <f t="shared" si="120"/>
        <v>1.9799999999999998</v>
      </c>
      <c r="AP67" s="33">
        <f t="shared" si="121"/>
        <v>8752.3449346654088</v>
      </c>
      <c r="AQ67" s="167">
        <f t="shared" si="122"/>
        <v>470.37897140659749</v>
      </c>
      <c r="AR67" s="165">
        <v>0</v>
      </c>
      <c r="AS67" s="166">
        <f t="shared" si="123"/>
        <v>0</v>
      </c>
      <c r="AT67" s="33">
        <f t="shared" si="124"/>
        <v>9422.7239060720058</v>
      </c>
      <c r="AU67" s="167">
        <f t="shared" si="125"/>
        <v>518.24981483396027</v>
      </c>
      <c r="AV67" s="165">
        <f>'2018-2019 B STATEMENT '!B732</f>
        <v>300</v>
      </c>
      <c r="AW67" s="166">
        <f t="shared" si="126"/>
        <v>3.3000000000000003</v>
      </c>
      <c r="AX67" s="33">
        <f t="shared" si="127"/>
        <v>9840.9737209059658</v>
      </c>
      <c r="AY67" s="167">
        <f t="shared" si="128"/>
        <v>524.75355464982817</v>
      </c>
      <c r="AZ67" s="165">
        <v>0</v>
      </c>
      <c r="BA67" s="166">
        <f t="shared" si="129"/>
        <v>0</v>
      </c>
      <c r="BB67" s="33">
        <f t="shared" si="130"/>
        <v>10565.727275555793</v>
      </c>
      <c r="BC67" s="167">
        <f t="shared" si="131"/>
        <v>581.11500015556862</v>
      </c>
      <c r="BD67" s="165">
        <v>0</v>
      </c>
      <c r="BE67" s="166">
        <f t="shared" si="132"/>
        <v>0</v>
      </c>
      <c r="BF67" s="33">
        <f t="shared" si="133"/>
        <v>11346.842275711362</v>
      </c>
      <c r="BG67" s="167">
        <f t="shared" si="134"/>
        <v>624.07632516412491</v>
      </c>
      <c r="BH67" s="165">
        <f>'2018-2019 B STATEMENT '!B773</f>
        <v>300</v>
      </c>
      <c r="BI67" s="166">
        <f t="shared" si="135"/>
        <v>3.3000000000000003</v>
      </c>
      <c r="BJ67" s="33">
        <f t="shared" si="136"/>
        <v>11870.918600875488</v>
      </c>
      <c r="BK67" s="167">
        <f t="shared" si="137"/>
        <v>636.40052304815185</v>
      </c>
      <c r="BL67" s="87">
        <f t="shared" si="138"/>
        <v>1600</v>
      </c>
    </row>
    <row r="68" spans="1:64">
      <c r="A68" s="10" t="s">
        <v>639</v>
      </c>
      <c r="B68" s="10" t="s">
        <v>116</v>
      </c>
      <c r="C68" s="80">
        <v>0</v>
      </c>
      <c r="D68" s="79">
        <f t="shared" si="93"/>
        <v>2400</v>
      </c>
      <c r="E68" s="79">
        <f>'2019-2020 New'!J68</f>
        <v>3859.428052558193</v>
      </c>
      <c r="F68" s="139">
        <f>'2019-2020 New'!F68</f>
        <v>0</v>
      </c>
      <c r="G68" s="187">
        <f t="shared" si="94"/>
        <v>2400</v>
      </c>
      <c r="H68" s="159">
        <f t="shared" si="95"/>
        <v>1600</v>
      </c>
      <c r="I68" s="190">
        <f t="shared" si="96"/>
        <v>800</v>
      </c>
      <c r="J68" s="78">
        <f t="shared" si="139"/>
        <v>8028.9221667551556</v>
      </c>
      <c r="K68" s="78">
        <f t="shared" si="97"/>
        <v>15.839999999999998</v>
      </c>
      <c r="L68" s="78">
        <f t="shared" si="98"/>
        <v>87.128799999999998</v>
      </c>
      <c r="M68" s="78">
        <f t="shared" si="99"/>
        <v>3369.4941141969621</v>
      </c>
      <c r="N68" s="194">
        <f t="shared" si="100"/>
        <v>3369.4941141969621</v>
      </c>
      <c r="O68" s="78">
        <f t="shared" si="101"/>
        <v>-1698.205314196962</v>
      </c>
      <c r="P68" s="165">
        <v>0</v>
      </c>
      <c r="Q68" s="166">
        <f t="shared" si="102"/>
        <v>0</v>
      </c>
      <c r="R68" s="119">
        <f t="shared" si="103"/>
        <v>4059.428052558193</v>
      </c>
      <c r="S68" s="167">
        <f t="shared" si="104"/>
        <v>223.26854289070062</v>
      </c>
      <c r="T68" s="165">
        <v>0</v>
      </c>
      <c r="U68" s="166">
        <f t="shared" si="105"/>
        <v>0</v>
      </c>
      <c r="V68" s="33">
        <f t="shared" si="106"/>
        <v>4482.6965954488933</v>
      </c>
      <c r="W68" s="167">
        <f t="shared" si="107"/>
        <v>246.54831274968913</v>
      </c>
      <c r="X68" s="165">
        <f>'2018-2019 B STATEMENT '!B640</f>
        <v>1000</v>
      </c>
      <c r="Y68" s="166">
        <f t="shared" si="108"/>
        <v>9.8999999999999986</v>
      </c>
      <c r="Z68" s="33">
        <f t="shared" si="109"/>
        <v>3929.2449081985824</v>
      </c>
      <c r="AA68" s="167">
        <f t="shared" si="110"/>
        <v>161.10846995092203</v>
      </c>
      <c r="AB68" s="165">
        <v>0</v>
      </c>
      <c r="AC68" s="166">
        <f t="shared" si="111"/>
        <v>0</v>
      </c>
      <c r="AD68" s="33">
        <f t="shared" si="112"/>
        <v>4290.3533781495044</v>
      </c>
      <c r="AE68" s="167">
        <f t="shared" si="113"/>
        <v>235.96943579822275</v>
      </c>
      <c r="AF68" s="165">
        <f>'2018-2019 B STATEMENT '!B679</f>
        <v>600</v>
      </c>
      <c r="AG68" s="166">
        <f t="shared" si="114"/>
        <v>5.9399999999999995</v>
      </c>
      <c r="AH68" s="33">
        <f t="shared" si="115"/>
        <v>4126.3228139477269</v>
      </c>
      <c r="AI68" s="167">
        <f t="shared" si="116"/>
        <v>193.94775476712499</v>
      </c>
      <c r="AJ68" s="165">
        <v>0</v>
      </c>
      <c r="AK68" s="166">
        <f t="shared" si="117"/>
        <v>0</v>
      </c>
      <c r="AL68" s="33">
        <f t="shared" si="118"/>
        <v>4520.2705687148518</v>
      </c>
      <c r="AM68" s="167">
        <f t="shared" si="119"/>
        <v>248.61488127931685</v>
      </c>
      <c r="AN68" s="165">
        <v>0</v>
      </c>
      <c r="AO68" s="166">
        <f t="shared" si="120"/>
        <v>0</v>
      </c>
      <c r="AP68" s="33">
        <f t="shared" si="121"/>
        <v>4968.885449994169</v>
      </c>
      <c r="AQ68" s="167">
        <f t="shared" si="122"/>
        <v>273.28869974967932</v>
      </c>
      <c r="AR68" s="165">
        <v>0</v>
      </c>
      <c r="AS68" s="166">
        <f t="shared" si="123"/>
        <v>0</v>
      </c>
      <c r="AT68" s="33">
        <f t="shared" si="124"/>
        <v>5442.1741497438479</v>
      </c>
      <c r="AU68" s="167">
        <f t="shared" si="125"/>
        <v>299.31957823591165</v>
      </c>
      <c r="AV68" s="165">
        <v>0</v>
      </c>
      <c r="AW68" s="166">
        <f t="shared" si="126"/>
        <v>0</v>
      </c>
      <c r="AX68" s="33">
        <f t="shared" si="127"/>
        <v>5941.4937279797596</v>
      </c>
      <c r="AY68" s="167">
        <f t="shared" si="128"/>
        <v>326.7821550388868</v>
      </c>
      <c r="AZ68" s="165">
        <v>0</v>
      </c>
      <c r="BA68" s="166">
        <f t="shared" si="129"/>
        <v>0</v>
      </c>
      <c r="BB68" s="33">
        <f t="shared" si="130"/>
        <v>6468.2758830186467</v>
      </c>
      <c r="BC68" s="167">
        <f t="shared" si="131"/>
        <v>355.75517356602558</v>
      </c>
      <c r="BD68" s="165">
        <v>0</v>
      </c>
      <c r="BE68" s="166">
        <f t="shared" si="132"/>
        <v>0</v>
      </c>
      <c r="BF68" s="33">
        <f t="shared" si="133"/>
        <v>7024.0310565846721</v>
      </c>
      <c r="BG68" s="167">
        <f t="shared" si="134"/>
        <v>386.32170811215695</v>
      </c>
      <c r="BH68" s="165">
        <v>0</v>
      </c>
      <c r="BI68" s="166">
        <f t="shared" si="135"/>
        <v>0</v>
      </c>
      <c r="BJ68" s="33">
        <f t="shared" si="136"/>
        <v>7610.3527646968287</v>
      </c>
      <c r="BK68" s="167">
        <f t="shared" si="137"/>
        <v>418.56940205832558</v>
      </c>
      <c r="BL68" s="87">
        <f t="shared" si="138"/>
        <v>1600</v>
      </c>
    </row>
    <row r="69" spans="1:64">
      <c r="A69" s="10" t="s">
        <v>640</v>
      </c>
      <c r="B69" s="10" t="s">
        <v>154</v>
      </c>
      <c r="C69" s="80">
        <v>0</v>
      </c>
      <c r="D69" s="79">
        <f t="shared" si="93"/>
        <v>2400</v>
      </c>
      <c r="E69" s="79">
        <f>'2019-2020 New'!J69</f>
        <v>-2114.0867182176189</v>
      </c>
      <c r="F69" s="139">
        <f>'2019-2020 New'!F69</f>
        <v>1800</v>
      </c>
      <c r="G69" s="187">
        <f t="shared" si="94"/>
        <v>2400</v>
      </c>
      <c r="H69" s="159">
        <f t="shared" si="95"/>
        <v>600</v>
      </c>
      <c r="I69" s="190">
        <f t="shared" si="96"/>
        <v>1800</v>
      </c>
      <c r="J69" s="78">
        <f t="shared" si="139"/>
        <v>-1290.3509670344729</v>
      </c>
      <c r="K69" s="78">
        <f t="shared" si="97"/>
        <v>6.6000000000000005</v>
      </c>
      <c r="L69" s="78">
        <f t="shared" si="98"/>
        <v>32.637</v>
      </c>
      <c r="M69" s="78">
        <f t="shared" si="99"/>
        <v>-976.26424881685398</v>
      </c>
      <c r="N69" s="194">
        <f t="shared" si="100"/>
        <v>-976.26424881685398</v>
      </c>
      <c r="O69" s="78">
        <f t="shared" si="101"/>
        <v>1602.301248816854</v>
      </c>
      <c r="P69" s="165">
        <v>0</v>
      </c>
      <c r="Q69" s="166">
        <f t="shared" si="102"/>
        <v>0</v>
      </c>
      <c r="R69" s="119">
        <f t="shared" si="103"/>
        <v>-1914.0867182176189</v>
      </c>
      <c r="S69" s="167">
        <f t="shared" si="104"/>
        <v>-105.27476950196905</v>
      </c>
      <c r="T69" s="165">
        <v>0</v>
      </c>
      <c r="U69" s="166">
        <f t="shared" si="105"/>
        <v>0</v>
      </c>
      <c r="V69" s="33">
        <f t="shared" si="106"/>
        <v>-1819.361487719588</v>
      </c>
      <c r="W69" s="167">
        <f t="shared" si="107"/>
        <v>-100.06488182457734</v>
      </c>
      <c r="X69" s="165">
        <v>0</v>
      </c>
      <c r="Y69" s="166">
        <f t="shared" si="108"/>
        <v>0</v>
      </c>
      <c r="Z69" s="33">
        <f t="shared" si="109"/>
        <v>-1719.4263695441653</v>
      </c>
      <c r="AA69" s="167">
        <f t="shared" si="110"/>
        <v>-94.568450324929088</v>
      </c>
      <c r="AB69" s="165">
        <v>0</v>
      </c>
      <c r="AC69" s="166">
        <f t="shared" si="111"/>
        <v>0</v>
      </c>
      <c r="AD69" s="33">
        <f t="shared" si="112"/>
        <v>-1613.9948198690943</v>
      </c>
      <c r="AE69" s="167">
        <f t="shared" si="113"/>
        <v>-88.769715092800183</v>
      </c>
      <c r="AF69" s="165">
        <v>0</v>
      </c>
      <c r="AG69" s="166">
        <f t="shared" si="114"/>
        <v>0</v>
      </c>
      <c r="AH69" s="33">
        <f t="shared" si="115"/>
        <v>-1502.7645349618945</v>
      </c>
      <c r="AI69" s="167">
        <f t="shared" si="116"/>
        <v>-82.652049422904199</v>
      </c>
      <c r="AJ69" s="165">
        <v>0</v>
      </c>
      <c r="AK69" s="166">
        <f t="shared" si="117"/>
        <v>0</v>
      </c>
      <c r="AL69" s="33">
        <f t="shared" si="118"/>
        <v>-1385.4165843847986</v>
      </c>
      <c r="AM69" s="167">
        <f t="shared" si="119"/>
        <v>-76.197912141163926</v>
      </c>
      <c r="AN69" s="165">
        <v>0</v>
      </c>
      <c r="AO69" s="166">
        <f t="shared" si="120"/>
        <v>0</v>
      </c>
      <c r="AP69" s="33">
        <f t="shared" si="121"/>
        <v>-1261.6144965259625</v>
      </c>
      <c r="AQ69" s="167">
        <f t="shared" si="122"/>
        <v>-69.388797308927934</v>
      </c>
      <c r="AR69" s="165">
        <v>0</v>
      </c>
      <c r="AS69" s="166">
        <f t="shared" si="123"/>
        <v>0</v>
      </c>
      <c r="AT69" s="33">
        <f t="shared" si="124"/>
        <v>-1131.0032938348904</v>
      </c>
      <c r="AU69" s="167">
        <f t="shared" si="125"/>
        <v>-62.205181160918976</v>
      </c>
      <c r="AV69" s="165">
        <v>0</v>
      </c>
      <c r="AW69" s="166">
        <f t="shared" si="126"/>
        <v>0</v>
      </c>
      <c r="AX69" s="33">
        <f t="shared" si="127"/>
        <v>-993.20847499580941</v>
      </c>
      <c r="AY69" s="167">
        <f t="shared" si="128"/>
        <v>-54.626466124769514</v>
      </c>
      <c r="AZ69" s="165">
        <f>'2018-2019 B STATEMENT '!B750</f>
        <v>400</v>
      </c>
      <c r="BA69" s="166">
        <f t="shared" si="129"/>
        <v>4.4000000000000004</v>
      </c>
      <c r="BB69" s="33">
        <f t="shared" si="130"/>
        <v>-1247.8349411205788</v>
      </c>
      <c r="BC69" s="167">
        <f t="shared" si="131"/>
        <v>-90.630921761631839</v>
      </c>
      <c r="BD69" s="165">
        <f>'2018-2019 B STATEMENT '!B758</f>
        <v>200</v>
      </c>
      <c r="BE69" s="166">
        <f t="shared" si="132"/>
        <v>2.2000000000000002</v>
      </c>
      <c r="BF69" s="33">
        <f t="shared" si="133"/>
        <v>-1338.4658628822108</v>
      </c>
      <c r="BG69" s="167">
        <f t="shared" si="134"/>
        <v>-84.615622458521599</v>
      </c>
      <c r="BH69" s="165">
        <v>0</v>
      </c>
      <c r="BI69" s="166">
        <f t="shared" si="135"/>
        <v>0</v>
      </c>
      <c r="BJ69" s="33">
        <f t="shared" si="136"/>
        <v>-1223.0814853407323</v>
      </c>
      <c r="BK69" s="167">
        <f t="shared" si="137"/>
        <v>-67.269481693740275</v>
      </c>
      <c r="BL69" s="87">
        <f t="shared" si="138"/>
        <v>600</v>
      </c>
    </row>
    <row r="70" spans="1:64">
      <c r="A70" s="10" t="s">
        <v>641</v>
      </c>
      <c r="B70" s="10" t="s">
        <v>115</v>
      </c>
      <c r="C70" s="80">
        <v>0</v>
      </c>
      <c r="D70" s="79">
        <f t="shared" si="93"/>
        <v>2400</v>
      </c>
      <c r="E70" s="79">
        <f>'2019-2020 New'!J70</f>
        <v>3694.1574043685641</v>
      </c>
      <c r="F70" s="139">
        <f>'2019-2020 New'!F70</f>
        <v>0</v>
      </c>
      <c r="G70" s="187">
        <f t="shared" si="94"/>
        <v>2400</v>
      </c>
      <c r="H70" s="159">
        <f t="shared" si="95"/>
        <v>2400</v>
      </c>
      <c r="I70" s="190">
        <f t="shared" si="96"/>
        <v>0</v>
      </c>
      <c r="J70" s="78">
        <f t="shared" si="139"/>
        <v>7021.9773886098992</v>
      </c>
      <c r="K70" s="78">
        <f t="shared" si="97"/>
        <v>24.639999999999997</v>
      </c>
      <c r="L70" s="78">
        <f t="shared" si="98"/>
        <v>130.6448</v>
      </c>
      <c r="M70" s="78">
        <f t="shared" si="99"/>
        <v>3327.8199842413351</v>
      </c>
      <c r="N70" s="194">
        <f t="shared" si="100"/>
        <v>3327.8199842413351</v>
      </c>
      <c r="O70" s="78">
        <f t="shared" si="101"/>
        <v>-821.81518424133492</v>
      </c>
      <c r="P70" s="165">
        <v>0</v>
      </c>
      <c r="Q70" s="166">
        <f t="shared" si="102"/>
        <v>0</v>
      </c>
      <c r="R70" s="119">
        <f t="shared" si="103"/>
        <v>3894.1574043685641</v>
      </c>
      <c r="S70" s="167">
        <f t="shared" si="104"/>
        <v>214.17865724027104</v>
      </c>
      <c r="T70" s="165">
        <f>'2018-2019 B STATEMENT '!B622</f>
        <v>600</v>
      </c>
      <c r="U70" s="166">
        <f t="shared" si="105"/>
        <v>5.9399999999999995</v>
      </c>
      <c r="V70" s="33">
        <f t="shared" si="106"/>
        <v>3708.3360616088353</v>
      </c>
      <c r="W70" s="167">
        <f t="shared" si="107"/>
        <v>170.95848338848594</v>
      </c>
      <c r="X70" s="165">
        <v>0</v>
      </c>
      <c r="Y70" s="166">
        <f t="shared" si="108"/>
        <v>0</v>
      </c>
      <c r="Z70" s="33">
        <f t="shared" si="109"/>
        <v>4079.2945449973213</v>
      </c>
      <c r="AA70" s="167">
        <f t="shared" si="110"/>
        <v>224.36119997485267</v>
      </c>
      <c r="AB70" s="165">
        <v>0</v>
      </c>
      <c r="AC70" s="166">
        <f t="shared" si="111"/>
        <v>0</v>
      </c>
      <c r="AD70" s="33">
        <f t="shared" si="112"/>
        <v>4503.655744972174</v>
      </c>
      <c r="AE70" s="167">
        <f t="shared" si="113"/>
        <v>247.70106597346958</v>
      </c>
      <c r="AF70" s="165">
        <v>0</v>
      </c>
      <c r="AG70" s="166">
        <f t="shared" si="114"/>
        <v>0</v>
      </c>
      <c r="AH70" s="33">
        <f t="shared" si="115"/>
        <v>4951.3568109456437</v>
      </c>
      <c r="AI70" s="167">
        <f t="shared" si="116"/>
        <v>272.32462460201043</v>
      </c>
      <c r="AJ70" s="165">
        <v>0</v>
      </c>
      <c r="AK70" s="166">
        <f t="shared" si="117"/>
        <v>0</v>
      </c>
      <c r="AL70" s="33">
        <f t="shared" si="118"/>
        <v>5423.6814355476545</v>
      </c>
      <c r="AM70" s="167">
        <f t="shared" si="119"/>
        <v>298.30247895512099</v>
      </c>
      <c r="AN70" s="165">
        <v>0</v>
      </c>
      <c r="AO70" s="166">
        <f t="shared" si="120"/>
        <v>0</v>
      </c>
      <c r="AP70" s="33">
        <f t="shared" si="121"/>
        <v>5921.9839145027754</v>
      </c>
      <c r="AQ70" s="167">
        <f t="shared" si="122"/>
        <v>325.70911529765266</v>
      </c>
      <c r="AR70" s="165">
        <f>'2018-2019 B STATEMENT '!B725</f>
        <v>1000</v>
      </c>
      <c r="AS70" s="166">
        <f t="shared" si="123"/>
        <v>9.8999999999999986</v>
      </c>
      <c r="AT70" s="33">
        <f t="shared" si="124"/>
        <v>5447.6930298004281</v>
      </c>
      <c r="AU70" s="167">
        <f t="shared" si="125"/>
        <v>244.62311663902355</v>
      </c>
      <c r="AV70" s="165">
        <f>'2018-2019 B STATEMENT '!B737</f>
        <v>300</v>
      </c>
      <c r="AW70" s="166">
        <f t="shared" si="126"/>
        <v>3.3000000000000003</v>
      </c>
      <c r="AX70" s="33">
        <f t="shared" si="127"/>
        <v>5592.3161464394516</v>
      </c>
      <c r="AY70" s="167">
        <f t="shared" si="128"/>
        <v>291.07738805416983</v>
      </c>
      <c r="AZ70" s="165">
        <v>0</v>
      </c>
      <c r="BA70" s="166">
        <f t="shared" si="129"/>
        <v>0</v>
      </c>
      <c r="BB70" s="33">
        <f t="shared" si="130"/>
        <v>6083.3935344936217</v>
      </c>
      <c r="BC70" s="167">
        <f t="shared" si="131"/>
        <v>334.5866443971492</v>
      </c>
      <c r="BD70" s="165">
        <v>0</v>
      </c>
      <c r="BE70" s="166">
        <f t="shared" si="132"/>
        <v>0</v>
      </c>
      <c r="BF70" s="33">
        <f t="shared" si="133"/>
        <v>6617.9801788907707</v>
      </c>
      <c r="BG70" s="167">
        <f t="shared" si="134"/>
        <v>363.98890983899241</v>
      </c>
      <c r="BH70" s="165">
        <f>'2018-2019 B STATEMENT '!B781</f>
        <v>500</v>
      </c>
      <c r="BI70" s="166">
        <f t="shared" si="135"/>
        <v>5.5000000000000009</v>
      </c>
      <c r="BJ70" s="33">
        <f t="shared" si="136"/>
        <v>6681.9690887297629</v>
      </c>
      <c r="BK70" s="167">
        <f t="shared" si="137"/>
        <v>340.00829988013697</v>
      </c>
      <c r="BL70" s="87">
        <f t="shared" si="138"/>
        <v>2400</v>
      </c>
    </row>
    <row r="71" spans="1:64">
      <c r="A71" s="10" t="s">
        <v>642</v>
      </c>
      <c r="B71" s="10" t="s">
        <v>153</v>
      </c>
      <c r="C71" s="80">
        <v>0</v>
      </c>
      <c r="D71" s="79">
        <f t="shared" si="93"/>
        <v>2400</v>
      </c>
      <c r="E71" s="79">
        <f>'2019-2020 New'!J71</f>
        <v>303.20019422363765</v>
      </c>
      <c r="F71" s="139">
        <f>'2019-2020 New'!F71</f>
        <v>600</v>
      </c>
      <c r="G71" s="187">
        <f t="shared" si="94"/>
        <v>2400</v>
      </c>
      <c r="H71" s="159">
        <f t="shared" si="95"/>
        <v>600</v>
      </c>
      <c r="I71" s="190">
        <f t="shared" si="96"/>
        <v>1800</v>
      </c>
      <c r="J71" s="78">
        <f t="shared" si="139"/>
        <v>3127.9415059353473</v>
      </c>
      <c r="K71" s="78">
        <f t="shared" si="97"/>
        <v>5.9399999999999995</v>
      </c>
      <c r="L71" s="78">
        <f t="shared" si="98"/>
        <v>32.673299999999998</v>
      </c>
      <c r="M71" s="78">
        <f t="shared" si="99"/>
        <v>1024.7413117117098</v>
      </c>
      <c r="N71" s="194">
        <f t="shared" si="100"/>
        <v>1024.7413117117098</v>
      </c>
      <c r="O71" s="78">
        <f t="shared" si="101"/>
        <v>-398.00801171170991</v>
      </c>
      <c r="P71" s="165">
        <v>0</v>
      </c>
      <c r="Q71" s="166">
        <f t="shared" si="102"/>
        <v>0</v>
      </c>
      <c r="R71" s="119">
        <f t="shared" si="103"/>
        <v>503.20019422363765</v>
      </c>
      <c r="S71" s="167">
        <f t="shared" si="104"/>
        <v>27.67601068230007</v>
      </c>
      <c r="T71" s="165">
        <v>0</v>
      </c>
      <c r="U71" s="166">
        <f t="shared" si="105"/>
        <v>0</v>
      </c>
      <c r="V71" s="33">
        <f t="shared" si="106"/>
        <v>730.87620490593781</v>
      </c>
      <c r="W71" s="167">
        <f t="shared" si="107"/>
        <v>40.19819126982658</v>
      </c>
      <c r="X71" s="165">
        <v>0</v>
      </c>
      <c r="Y71" s="166">
        <f t="shared" si="108"/>
        <v>0</v>
      </c>
      <c r="Z71" s="33">
        <f t="shared" si="109"/>
        <v>971.07439617576438</v>
      </c>
      <c r="AA71" s="167">
        <f t="shared" si="110"/>
        <v>53.409091789667038</v>
      </c>
      <c r="AB71" s="165">
        <f>'2018-2019 B STATEMENT '!B665</f>
        <v>200</v>
      </c>
      <c r="AC71" s="166">
        <f t="shared" si="111"/>
        <v>1.9799999999999998</v>
      </c>
      <c r="AD71" s="33">
        <f t="shared" si="112"/>
        <v>1024.4834879654313</v>
      </c>
      <c r="AE71" s="167">
        <f t="shared" si="113"/>
        <v>45.346591838098725</v>
      </c>
      <c r="AF71" s="165">
        <v>0</v>
      </c>
      <c r="AG71" s="166">
        <f t="shared" si="114"/>
        <v>0</v>
      </c>
      <c r="AH71" s="33">
        <f t="shared" si="115"/>
        <v>1269.83007980353</v>
      </c>
      <c r="AI71" s="167">
        <f t="shared" si="116"/>
        <v>69.840654389194157</v>
      </c>
      <c r="AJ71" s="165">
        <v>0</v>
      </c>
      <c r="AK71" s="166">
        <f t="shared" si="117"/>
        <v>0</v>
      </c>
      <c r="AL71" s="33">
        <f t="shared" si="118"/>
        <v>1539.6707341927242</v>
      </c>
      <c r="AM71" s="167">
        <f t="shared" si="119"/>
        <v>84.681890380599839</v>
      </c>
      <c r="AN71" s="165">
        <f>'2018-2019 B STATEMENT '!B712</f>
        <v>200</v>
      </c>
      <c r="AO71" s="166">
        <f t="shared" si="120"/>
        <v>1.9799999999999998</v>
      </c>
      <c r="AP71" s="33">
        <f t="shared" si="121"/>
        <v>1624.3526245733242</v>
      </c>
      <c r="AQ71" s="167">
        <f t="shared" si="122"/>
        <v>78.339394351532832</v>
      </c>
      <c r="AR71" s="165">
        <f>'2018-2019 B STATEMENT '!B721</f>
        <v>200</v>
      </c>
      <c r="AS71" s="166">
        <f t="shared" si="123"/>
        <v>1.9799999999999998</v>
      </c>
      <c r="AT71" s="33">
        <f t="shared" si="124"/>
        <v>1702.6920189248569</v>
      </c>
      <c r="AU71" s="167">
        <f t="shared" si="125"/>
        <v>82.648061040867134</v>
      </c>
      <c r="AV71" s="165">
        <v>0</v>
      </c>
      <c r="AW71" s="166">
        <f t="shared" si="126"/>
        <v>0</v>
      </c>
      <c r="AX71" s="33">
        <f t="shared" si="127"/>
        <v>1985.340079965724</v>
      </c>
      <c r="AY71" s="167">
        <f t="shared" si="128"/>
        <v>109.19370439811482</v>
      </c>
      <c r="AZ71" s="165">
        <v>0</v>
      </c>
      <c r="BA71" s="166">
        <f t="shared" si="129"/>
        <v>0</v>
      </c>
      <c r="BB71" s="33">
        <f t="shared" si="130"/>
        <v>2294.5337843638385</v>
      </c>
      <c r="BC71" s="167">
        <f t="shared" si="131"/>
        <v>126.19935814001111</v>
      </c>
      <c r="BD71" s="165">
        <v>0</v>
      </c>
      <c r="BE71" s="166">
        <f t="shared" si="132"/>
        <v>0</v>
      </c>
      <c r="BF71" s="33">
        <f t="shared" si="133"/>
        <v>2620.7331425038496</v>
      </c>
      <c r="BG71" s="167">
        <f t="shared" si="134"/>
        <v>144.14032283771172</v>
      </c>
      <c r="BH71" s="165">
        <v>0</v>
      </c>
      <c r="BI71" s="166">
        <f t="shared" si="135"/>
        <v>0</v>
      </c>
      <c r="BJ71" s="33">
        <f t="shared" si="136"/>
        <v>2964.8734653415613</v>
      </c>
      <c r="BK71" s="167">
        <f t="shared" si="137"/>
        <v>163.06804059378587</v>
      </c>
      <c r="BL71" s="87">
        <f t="shared" si="138"/>
        <v>600</v>
      </c>
    </row>
    <row r="72" spans="1:64">
      <c r="A72" s="10" t="s">
        <v>643</v>
      </c>
      <c r="B72" s="10" t="s">
        <v>122</v>
      </c>
      <c r="C72" s="80">
        <v>0</v>
      </c>
      <c r="D72" s="79">
        <f t="shared" si="93"/>
        <v>2400</v>
      </c>
      <c r="E72" s="79">
        <f>'2019-2020 New'!J72</f>
        <v>4131.7347152850252</v>
      </c>
      <c r="F72" s="139">
        <f>'2019-2020 New'!F72</f>
        <v>200</v>
      </c>
      <c r="G72" s="187">
        <f t="shared" si="94"/>
        <v>2400</v>
      </c>
      <c r="H72" s="159">
        <f t="shared" si="95"/>
        <v>0</v>
      </c>
      <c r="I72" s="190">
        <f t="shared" si="96"/>
        <v>2400</v>
      </c>
      <c r="J72" s="78">
        <f t="shared" si="139"/>
        <v>11312.644597054816</v>
      </c>
      <c r="K72" s="78">
        <f t="shared" si="97"/>
        <v>0</v>
      </c>
      <c r="L72" s="78">
        <f t="shared" si="98"/>
        <v>0</v>
      </c>
      <c r="M72" s="78">
        <f t="shared" si="99"/>
        <v>4780.9098817697914</v>
      </c>
      <c r="N72" s="194">
        <f t="shared" si="100"/>
        <v>4780.9098817697914</v>
      </c>
      <c r="O72" s="78">
        <f t="shared" si="101"/>
        <v>-4780.9098817697914</v>
      </c>
      <c r="P72" s="165">
        <v>0</v>
      </c>
      <c r="Q72" s="166">
        <f t="shared" si="102"/>
        <v>0</v>
      </c>
      <c r="R72" s="119">
        <f t="shared" si="103"/>
        <v>4331.7347152850252</v>
      </c>
      <c r="S72" s="167">
        <f t="shared" si="104"/>
        <v>238.24540934067639</v>
      </c>
      <c r="T72" s="165">
        <v>0</v>
      </c>
      <c r="U72" s="166">
        <f t="shared" si="105"/>
        <v>0</v>
      </c>
      <c r="V72" s="33">
        <f t="shared" si="106"/>
        <v>4769.980124625702</v>
      </c>
      <c r="W72" s="167">
        <f t="shared" si="107"/>
        <v>262.3489068544136</v>
      </c>
      <c r="X72" s="165">
        <v>0</v>
      </c>
      <c r="Y72" s="166">
        <f t="shared" si="108"/>
        <v>0</v>
      </c>
      <c r="Z72" s="33">
        <f t="shared" si="109"/>
        <v>5232.3290314801161</v>
      </c>
      <c r="AA72" s="167">
        <f t="shared" si="110"/>
        <v>287.77809673140638</v>
      </c>
      <c r="AB72" s="165">
        <v>0</v>
      </c>
      <c r="AC72" s="166">
        <f t="shared" si="111"/>
        <v>0</v>
      </c>
      <c r="AD72" s="33">
        <f t="shared" si="112"/>
        <v>5720.1071282115226</v>
      </c>
      <c r="AE72" s="167">
        <f t="shared" si="113"/>
        <v>314.60589205163376</v>
      </c>
      <c r="AF72" s="165">
        <v>0</v>
      </c>
      <c r="AG72" s="166">
        <f t="shared" si="114"/>
        <v>0</v>
      </c>
      <c r="AH72" s="33">
        <f t="shared" si="115"/>
        <v>6234.7130202631561</v>
      </c>
      <c r="AI72" s="167">
        <f t="shared" si="116"/>
        <v>342.90921611447357</v>
      </c>
      <c r="AJ72" s="165">
        <v>0</v>
      </c>
      <c r="AK72" s="166">
        <f t="shared" si="117"/>
        <v>0</v>
      </c>
      <c r="AL72" s="33">
        <f t="shared" si="118"/>
        <v>6777.6222363776296</v>
      </c>
      <c r="AM72" s="167">
        <f t="shared" si="119"/>
        <v>372.76922300076961</v>
      </c>
      <c r="AN72" s="165">
        <v>0</v>
      </c>
      <c r="AO72" s="166">
        <f t="shared" si="120"/>
        <v>0</v>
      </c>
      <c r="AP72" s="33">
        <f t="shared" si="121"/>
        <v>7350.3914593783993</v>
      </c>
      <c r="AQ72" s="167">
        <f t="shared" si="122"/>
        <v>404.27153026581198</v>
      </c>
      <c r="AR72" s="165">
        <v>0</v>
      </c>
      <c r="AS72" s="166">
        <f t="shared" si="123"/>
        <v>0</v>
      </c>
      <c r="AT72" s="33">
        <f t="shared" si="124"/>
        <v>7954.6629896442109</v>
      </c>
      <c r="AU72" s="167">
        <f t="shared" si="125"/>
        <v>437.50646443043161</v>
      </c>
      <c r="AV72" s="165">
        <v>0</v>
      </c>
      <c r="AW72" s="166">
        <f t="shared" si="126"/>
        <v>0</v>
      </c>
      <c r="AX72" s="33">
        <f t="shared" si="127"/>
        <v>8592.169454074643</v>
      </c>
      <c r="AY72" s="167">
        <f t="shared" si="128"/>
        <v>472.56931997410538</v>
      </c>
      <c r="AZ72" s="165">
        <v>0</v>
      </c>
      <c r="BA72" s="166">
        <f t="shared" si="129"/>
        <v>0</v>
      </c>
      <c r="BB72" s="33">
        <f t="shared" si="130"/>
        <v>9264.7387740487484</v>
      </c>
      <c r="BC72" s="167">
        <f t="shared" si="131"/>
        <v>509.56063257268119</v>
      </c>
      <c r="BD72" s="165">
        <v>0</v>
      </c>
      <c r="BE72" s="166">
        <f t="shared" si="132"/>
        <v>0</v>
      </c>
      <c r="BF72" s="33">
        <f t="shared" si="133"/>
        <v>9974.2994066214287</v>
      </c>
      <c r="BG72" s="167">
        <f t="shared" si="134"/>
        <v>548.58646736417859</v>
      </c>
      <c r="BH72" s="165">
        <v>0</v>
      </c>
      <c r="BI72" s="166">
        <f t="shared" si="135"/>
        <v>0</v>
      </c>
      <c r="BJ72" s="33">
        <f t="shared" si="136"/>
        <v>10722.885873985608</v>
      </c>
      <c r="BK72" s="167">
        <f t="shared" si="137"/>
        <v>589.75872306920849</v>
      </c>
      <c r="BL72" s="87">
        <f t="shared" si="138"/>
        <v>0</v>
      </c>
    </row>
    <row r="73" spans="1:64">
      <c r="A73" s="10" t="s">
        <v>644</v>
      </c>
      <c r="B73" s="10" t="s">
        <v>129</v>
      </c>
      <c r="C73" s="80">
        <v>0</v>
      </c>
      <c r="D73" s="79">
        <f t="shared" si="93"/>
        <v>2400</v>
      </c>
      <c r="E73" s="79">
        <f>'2019-2020 New'!J73</f>
        <v>4753.0187143975209</v>
      </c>
      <c r="F73" s="139">
        <f>'2019-2020 New'!F73</f>
        <v>200</v>
      </c>
      <c r="G73" s="187">
        <f t="shared" si="94"/>
        <v>2400</v>
      </c>
      <c r="H73" s="159">
        <f t="shared" si="95"/>
        <v>2400</v>
      </c>
      <c r="I73" s="190">
        <f t="shared" si="96"/>
        <v>0</v>
      </c>
      <c r="J73" s="78">
        <f t="shared" si="139"/>
        <v>9036.474759765224</v>
      </c>
      <c r="K73" s="78">
        <f t="shared" si="97"/>
        <v>24.639999999999997</v>
      </c>
      <c r="L73" s="78">
        <f t="shared" si="98"/>
        <v>130.6448</v>
      </c>
      <c r="M73" s="78">
        <f t="shared" si="99"/>
        <v>4283.4560453677041</v>
      </c>
      <c r="N73" s="194">
        <f t="shared" si="100"/>
        <v>4283.4560453677041</v>
      </c>
      <c r="O73" s="78">
        <f t="shared" si="101"/>
        <v>-1777.4512453677039</v>
      </c>
      <c r="P73" s="165">
        <f>'2018-2019 B STATEMENT '!B598</f>
        <v>200</v>
      </c>
      <c r="Q73" s="166">
        <f t="shared" si="102"/>
        <v>1.9799999999999998</v>
      </c>
      <c r="R73" s="119">
        <f t="shared" si="103"/>
        <v>4953.0187143975209</v>
      </c>
      <c r="S73" s="167">
        <f t="shared" si="104"/>
        <v>261.41602929186365</v>
      </c>
      <c r="T73" s="165">
        <f>'2018-2019 B STATEMENT '!B619</f>
        <v>200</v>
      </c>
      <c r="U73" s="166">
        <f t="shared" si="105"/>
        <v>1.9799999999999998</v>
      </c>
      <c r="V73" s="33">
        <f t="shared" si="106"/>
        <v>5214.434743689384</v>
      </c>
      <c r="W73" s="167">
        <f t="shared" si="107"/>
        <v>275.79391090291614</v>
      </c>
      <c r="X73" s="165">
        <f>'2018-2019 B STATEMENT '!B639</f>
        <v>200</v>
      </c>
      <c r="Y73" s="166">
        <f t="shared" si="108"/>
        <v>1.9799999999999998</v>
      </c>
      <c r="Z73" s="33">
        <f t="shared" si="109"/>
        <v>5490.2286545922998</v>
      </c>
      <c r="AA73" s="167">
        <f t="shared" si="110"/>
        <v>290.9625760025765</v>
      </c>
      <c r="AB73" s="165">
        <f>'2018-2019 B STATEMENT '!B666</f>
        <v>200</v>
      </c>
      <c r="AC73" s="166">
        <f t="shared" si="111"/>
        <v>1.9799999999999998</v>
      </c>
      <c r="AD73" s="33">
        <f t="shared" si="112"/>
        <v>5781.1912305948763</v>
      </c>
      <c r="AE73" s="167">
        <f t="shared" si="113"/>
        <v>306.9655176827182</v>
      </c>
      <c r="AF73" s="165">
        <f>'2018-2019 B STATEMENT '!B681</f>
        <v>200</v>
      </c>
      <c r="AG73" s="166">
        <f t="shared" si="114"/>
        <v>1.9799999999999998</v>
      </c>
      <c r="AH73" s="33">
        <f t="shared" si="115"/>
        <v>6088.1567482775945</v>
      </c>
      <c r="AI73" s="167">
        <f t="shared" si="116"/>
        <v>323.84862115526772</v>
      </c>
      <c r="AJ73" s="165">
        <f>'2018-2019 B STATEMENT '!B696</f>
        <v>200</v>
      </c>
      <c r="AK73" s="166">
        <f t="shared" si="117"/>
        <v>1.9799999999999998</v>
      </c>
      <c r="AL73" s="33">
        <f t="shared" si="118"/>
        <v>6412.0053694328626</v>
      </c>
      <c r="AM73" s="167">
        <f t="shared" si="119"/>
        <v>341.66029531880747</v>
      </c>
      <c r="AN73" s="165">
        <f>'2018-2019 B STATEMENT '!B714</f>
        <v>200</v>
      </c>
      <c r="AO73" s="166">
        <f t="shared" si="120"/>
        <v>1.9799999999999998</v>
      </c>
      <c r="AP73" s="33">
        <f t="shared" si="121"/>
        <v>6753.6656647516702</v>
      </c>
      <c r="AQ73" s="167">
        <f t="shared" si="122"/>
        <v>360.45161156134185</v>
      </c>
      <c r="AR73" s="165">
        <f>'2018-2019 B STATEMENT '!B724</f>
        <v>200</v>
      </c>
      <c r="AS73" s="166">
        <f t="shared" si="123"/>
        <v>1.9799999999999998</v>
      </c>
      <c r="AT73" s="33">
        <f t="shared" si="124"/>
        <v>7114.1172763130116</v>
      </c>
      <c r="AU73" s="167">
        <f t="shared" si="125"/>
        <v>380.27645019721564</v>
      </c>
      <c r="AV73" s="165">
        <f>'2018-2019 B STATEMENT '!B738</f>
        <v>200</v>
      </c>
      <c r="AW73" s="166">
        <f t="shared" si="126"/>
        <v>2.2000000000000002</v>
      </c>
      <c r="AX73" s="33">
        <f t="shared" si="127"/>
        <v>7494.3937265102277</v>
      </c>
      <c r="AY73" s="167">
        <f t="shared" si="128"/>
        <v>401.19165495806254</v>
      </c>
      <c r="AZ73" s="165">
        <f>'2018-2019 B STATEMENT '!B748</f>
        <v>200</v>
      </c>
      <c r="BA73" s="166">
        <f t="shared" si="129"/>
        <v>2.2000000000000002</v>
      </c>
      <c r="BB73" s="33">
        <f t="shared" si="130"/>
        <v>7895.5853814682905</v>
      </c>
      <c r="BC73" s="167">
        <f t="shared" si="131"/>
        <v>423.25719598075597</v>
      </c>
      <c r="BD73" s="165">
        <f>'2018-2019 B STATEMENT '!B757</f>
        <v>200</v>
      </c>
      <c r="BE73" s="166">
        <f t="shared" si="132"/>
        <v>2.2000000000000002</v>
      </c>
      <c r="BF73" s="33">
        <f t="shared" si="133"/>
        <v>8318.8425774490461</v>
      </c>
      <c r="BG73" s="167">
        <f t="shared" si="134"/>
        <v>446.53634175969756</v>
      </c>
      <c r="BH73" s="165">
        <f>'2018-2019 B STATEMENT '!B778</f>
        <v>200</v>
      </c>
      <c r="BI73" s="166">
        <f t="shared" si="135"/>
        <v>2.2000000000000002</v>
      </c>
      <c r="BJ73" s="33">
        <f t="shared" si="136"/>
        <v>8765.3789192087443</v>
      </c>
      <c r="BK73" s="167">
        <f t="shared" si="137"/>
        <v>471.09584055648094</v>
      </c>
      <c r="BL73" s="87">
        <f t="shared" si="138"/>
        <v>2400</v>
      </c>
    </row>
    <row r="74" spans="1:64">
      <c r="A74" s="10" t="s">
        <v>645</v>
      </c>
      <c r="B74" s="10" t="s">
        <v>130</v>
      </c>
      <c r="C74" s="80">
        <v>0</v>
      </c>
      <c r="D74" s="79">
        <f t="shared" si="93"/>
        <v>2400</v>
      </c>
      <c r="E74" s="79">
        <f>'2019-2020 New'!J74</f>
        <v>1339.0931863465023</v>
      </c>
      <c r="F74" s="139">
        <f>'2019-2020 New'!F74</f>
        <v>400</v>
      </c>
      <c r="G74" s="187">
        <f t="shared" si="94"/>
        <v>2400</v>
      </c>
      <c r="H74" s="159">
        <f t="shared" si="95"/>
        <v>1415.15</v>
      </c>
      <c r="I74" s="190">
        <f t="shared" si="96"/>
        <v>984.84999999999991</v>
      </c>
      <c r="J74" s="78">
        <f t="shared" si="139"/>
        <v>3459.9536176073671</v>
      </c>
      <c r="K74" s="78">
        <f t="shared" si="97"/>
        <v>14.009985</v>
      </c>
      <c r="L74" s="78">
        <f t="shared" si="98"/>
        <v>77.062700825000007</v>
      </c>
      <c r="M74" s="78">
        <f t="shared" si="99"/>
        <v>1136.0104312608653</v>
      </c>
      <c r="N74" s="194">
        <f t="shared" si="100"/>
        <v>1136.0104312608653</v>
      </c>
      <c r="O74" s="78">
        <f t="shared" si="101"/>
        <v>342.19228456413487</v>
      </c>
      <c r="P74" s="165">
        <v>0</v>
      </c>
      <c r="Q74" s="166">
        <f t="shared" si="102"/>
        <v>0</v>
      </c>
      <c r="R74" s="119">
        <f t="shared" si="103"/>
        <v>1539.0931863465023</v>
      </c>
      <c r="S74" s="167">
        <f t="shared" si="104"/>
        <v>84.650125249057623</v>
      </c>
      <c r="T74" s="165">
        <v>0</v>
      </c>
      <c r="U74" s="166">
        <f t="shared" si="105"/>
        <v>0</v>
      </c>
      <c r="V74" s="33">
        <f t="shared" si="106"/>
        <v>1823.74331159556</v>
      </c>
      <c r="W74" s="167">
        <f t="shared" si="107"/>
        <v>100.3058821377558</v>
      </c>
      <c r="X74" s="165">
        <f>'2018-2019 B STATEMENT '!B645</f>
        <v>1415.15</v>
      </c>
      <c r="Y74" s="166">
        <f t="shared" si="108"/>
        <v>14.009985</v>
      </c>
      <c r="Z74" s="33">
        <f t="shared" si="109"/>
        <v>708.89919373331577</v>
      </c>
      <c r="AA74" s="167">
        <f t="shared" si="110"/>
        <v>-38.843794344667636</v>
      </c>
      <c r="AB74" s="165">
        <v>0</v>
      </c>
      <c r="AC74" s="166">
        <f t="shared" si="111"/>
        <v>0</v>
      </c>
      <c r="AD74" s="33">
        <f t="shared" si="112"/>
        <v>870.05539938864808</v>
      </c>
      <c r="AE74" s="167">
        <f t="shared" si="113"/>
        <v>47.853046966375643</v>
      </c>
      <c r="AF74" s="165">
        <v>0</v>
      </c>
      <c r="AG74" s="166">
        <f t="shared" si="114"/>
        <v>0</v>
      </c>
      <c r="AH74" s="33">
        <f t="shared" si="115"/>
        <v>1117.9084463550237</v>
      </c>
      <c r="AI74" s="167">
        <f t="shared" si="116"/>
        <v>61.484964549526303</v>
      </c>
      <c r="AJ74" s="165">
        <v>0</v>
      </c>
      <c r="AK74" s="166">
        <f t="shared" si="117"/>
        <v>0</v>
      </c>
      <c r="AL74" s="33">
        <f t="shared" si="118"/>
        <v>1379.3934109045499</v>
      </c>
      <c r="AM74" s="167">
        <f t="shared" si="119"/>
        <v>75.866637599750248</v>
      </c>
      <c r="AN74" s="165">
        <v>0</v>
      </c>
      <c r="AO74" s="166">
        <f t="shared" si="120"/>
        <v>0</v>
      </c>
      <c r="AP74" s="33">
        <f t="shared" si="121"/>
        <v>1655.2600485043001</v>
      </c>
      <c r="AQ74" s="167">
        <f t="shared" si="122"/>
        <v>91.039302667736507</v>
      </c>
      <c r="AR74" s="165">
        <v>0</v>
      </c>
      <c r="AS74" s="166">
        <f t="shared" si="123"/>
        <v>0</v>
      </c>
      <c r="AT74" s="33">
        <f t="shared" si="124"/>
        <v>1946.2993511720367</v>
      </c>
      <c r="AU74" s="167">
        <f t="shared" si="125"/>
        <v>107.04646431446201</v>
      </c>
      <c r="AV74" s="165">
        <v>0</v>
      </c>
      <c r="AW74" s="166">
        <f t="shared" si="126"/>
        <v>0</v>
      </c>
      <c r="AX74" s="33">
        <f t="shared" si="127"/>
        <v>2253.3458154864989</v>
      </c>
      <c r="AY74" s="167">
        <f t="shared" si="128"/>
        <v>123.93401985175744</v>
      </c>
      <c r="AZ74" s="165">
        <v>0</v>
      </c>
      <c r="BA74" s="166">
        <f t="shared" si="129"/>
        <v>0</v>
      </c>
      <c r="BB74" s="33">
        <f t="shared" si="130"/>
        <v>2577.2798353382564</v>
      </c>
      <c r="BC74" s="167">
        <f t="shared" si="131"/>
        <v>141.75039094360409</v>
      </c>
      <c r="BD74" s="165">
        <v>0</v>
      </c>
      <c r="BE74" s="166">
        <f t="shared" si="132"/>
        <v>0</v>
      </c>
      <c r="BF74" s="33">
        <f t="shared" si="133"/>
        <v>2919.0302262818605</v>
      </c>
      <c r="BG74" s="167">
        <f t="shared" si="134"/>
        <v>160.54666244550234</v>
      </c>
      <c r="BH74" s="165">
        <v>0</v>
      </c>
      <c r="BI74" s="166">
        <f t="shared" si="135"/>
        <v>0</v>
      </c>
      <c r="BJ74" s="33">
        <f t="shared" si="136"/>
        <v>3279.576888727363</v>
      </c>
      <c r="BK74" s="167">
        <f t="shared" si="137"/>
        <v>180.37672888000498</v>
      </c>
      <c r="BL74" s="87">
        <f t="shared" si="138"/>
        <v>1415.15</v>
      </c>
    </row>
    <row r="75" spans="1:64">
      <c r="A75" s="10" t="s">
        <v>646</v>
      </c>
      <c r="B75" s="10" t="s">
        <v>125</v>
      </c>
      <c r="C75" s="80">
        <v>0</v>
      </c>
      <c r="D75" s="79">
        <f t="shared" si="93"/>
        <v>2400</v>
      </c>
      <c r="E75" s="79">
        <f>'2019-2020 New'!J75</f>
        <v>-985.8055080048839</v>
      </c>
      <c r="F75" s="139">
        <f>'2019-2020 New'!F75</f>
        <v>200</v>
      </c>
      <c r="G75" s="187">
        <f t="shared" si="94"/>
        <v>2400</v>
      </c>
      <c r="H75" s="159">
        <f t="shared" si="95"/>
        <v>200</v>
      </c>
      <c r="I75" s="190">
        <f t="shared" si="96"/>
        <v>2200</v>
      </c>
      <c r="J75" s="78">
        <f t="shared" si="139"/>
        <v>1223.6998871859632</v>
      </c>
      <c r="K75" s="78">
        <f t="shared" si="97"/>
        <v>1.9799999999999998</v>
      </c>
      <c r="L75" s="78">
        <f t="shared" si="98"/>
        <v>10.8911</v>
      </c>
      <c r="M75" s="78">
        <f t="shared" si="99"/>
        <v>9.5053951908471817</v>
      </c>
      <c r="N75" s="194">
        <f t="shared" si="100"/>
        <v>9.5053951908471817</v>
      </c>
      <c r="O75" s="78">
        <f t="shared" si="101"/>
        <v>199.40570480915284</v>
      </c>
      <c r="P75" s="165">
        <v>0</v>
      </c>
      <c r="Q75" s="166">
        <f t="shared" si="102"/>
        <v>0</v>
      </c>
      <c r="R75" s="119">
        <f t="shared" si="103"/>
        <v>-785.8055080048839</v>
      </c>
      <c r="S75" s="167">
        <f t="shared" si="104"/>
        <v>-43.219302940268612</v>
      </c>
      <c r="T75" s="165">
        <v>0</v>
      </c>
      <c r="U75" s="166">
        <f t="shared" si="105"/>
        <v>0</v>
      </c>
      <c r="V75" s="33">
        <f t="shared" si="106"/>
        <v>-629.02481094515247</v>
      </c>
      <c r="W75" s="167">
        <f t="shared" si="107"/>
        <v>-34.596364601983389</v>
      </c>
      <c r="X75" s="165">
        <f>'2018-2019 B STATEMENT '!B636</f>
        <v>200</v>
      </c>
      <c r="Y75" s="166">
        <f t="shared" si="108"/>
        <v>1.9799999999999998</v>
      </c>
      <c r="Z75" s="33">
        <f t="shared" si="109"/>
        <v>-663.62117554713586</v>
      </c>
      <c r="AA75" s="167">
        <f t="shared" si="110"/>
        <v>-47.499164655092471</v>
      </c>
      <c r="AB75" s="165">
        <v>0</v>
      </c>
      <c r="AC75" s="166">
        <f t="shared" si="111"/>
        <v>0</v>
      </c>
      <c r="AD75" s="33">
        <f t="shared" si="112"/>
        <v>-511.12034020222836</v>
      </c>
      <c r="AE75" s="167">
        <f t="shared" si="113"/>
        <v>-28.11161871112256</v>
      </c>
      <c r="AF75" s="165">
        <v>0</v>
      </c>
      <c r="AG75" s="166">
        <f t="shared" si="114"/>
        <v>0</v>
      </c>
      <c r="AH75" s="33">
        <f t="shared" si="115"/>
        <v>-339.23195891335092</v>
      </c>
      <c r="AI75" s="167">
        <f t="shared" si="116"/>
        <v>-18.657757740234302</v>
      </c>
      <c r="AJ75" s="165">
        <v>0</v>
      </c>
      <c r="AK75" s="166">
        <f t="shared" si="117"/>
        <v>0</v>
      </c>
      <c r="AL75" s="33">
        <f t="shared" si="118"/>
        <v>-157.88971665358523</v>
      </c>
      <c r="AM75" s="167">
        <f t="shared" si="119"/>
        <v>-8.6839344159471867</v>
      </c>
      <c r="AN75" s="165">
        <v>0</v>
      </c>
      <c r="AO75" s="166">
        <f t="shared" si="120"/>
        <v>0</v>
      </c>
      <c r="AP75" s="33">
        <f t="shared" si="121"/>
        <v>33.42634893046759</v>
      </c>
      <c r="AQ75" s="167">
        <f t="shared" si="122"/>
        <v>1.8384491911757175</v>
      </c>
      <c r="AR75" s="165">
        <v>0</v>
      </c>
      <c r="AS75" s="166">
        <f t="shared" si="123"/>
        <v>0</v>
      </c>
      <c r="AT75" s="33">
        <f t="shared" si="124"/>
        <v>235.26479812164331</v>
      </c>
      <c r="AU75" s="167">
        <f t="shared" si="125"/>
        <v>12.939563896690382</v>
      </c>
      <c r="AV75" s="165">
        <v>0</v>
      </c>
      <c r="AW75" s="166">
        <f t="shared" si="126"/>
        <v>0</v>
      </c>
      <c r="AX75" s="33">
        <f t="shared" si="127"/>
        <v>448.20436201833371</v>
      </c>
      <c r="AY75" s="167">
        <f t="shared" si="128"/>
        <v>24.651239911008354</v>
      </c>
      <c r="AZ75" s="165">
        <v>0</v>
      </c>
      <c r="BA75" s="166">
        <f t="shared" si="129"/>
        <v>0</v>
      </c>
      <c r="BB75" s="33">
        <f t="shared" si="130"/>
        <v>672.85560192934213</v>
      </c>
      <c r="BC75" s="167">
        <f t="shared" si="131"/>
        <v>37.007058106113817</v>
      </c>
      <c r="BD75" s="165">
        <v>0</v>
      </c>
      <c r="BE75" s="166">
        <f t="shared" si="132"/>
        <v>0</v>
      </c>
      <c r="BF75" s="33">
        <f t="shared" si="133"/>
        <v>909.86266003545597</v>
      </c>
      <c r="BG75" s="167">
        <f t="shared" si="134"/>
        <v>50.042446301950079</v>
      </c>
      <c r="BH75" s="165">
        <v>0</v>
      </c>
      <c r="BI75" s="166">
        <f t="shared" si="135"/>
        <v>0</v>
      </c>
      <c r="BJ75" s="33">
        <f t="shared" si="136"/>
        <v>1159.9051063374061</v>
      </c>
      <c r="BK75" s="167">
        <f t="shared" si="137"/>
        <v>63.794780848557338</v>
      </c>
      <c r="BL75" s="87">
        <f t="shared" si="138"/>
        <v>200</v>
      </c>
    </row>
    <row r="76" spans="1:64">
      <c r="A76" s="10" t="s">
        <v>647</v>
      </c>
      <c r="B76" s="10" t="s">
        <v>131</v>
      </c>
      <c r="C76" s="80">
        <v>0</v>
      </c>
      <c r="D76" s="79">
        <f t="shared" si="93"/>
        <v>2400</v>
      </c>
      <c r="E76" s="79">
        <f>'2019-2020 New'!J76</f>
        <v>4069.3270098613675</v>
      </c>
      <c r="F76" s="139">
        <f>'2019-2020 New'!F76</f>
        <v>200</v>
      </c>
      <c r="G76" s="187">
        <f t="shared" si="94"/>
        <v>2400</v>
      </c>
      <c r="H76" s="159">
        <f t="shared" si="95"/>
        <v>0</v>
      </c>
      <c r="I76" s="190">
        <f t="shared" si="96"/>
        <v>2400</v>
      </c>
      <c r="J76" s="78">
        <f t="shared" si="139"/>
        <v>11193.994600334314</v>
      </c>
      <c r="K76" s="78">
        <f t="shared" si="97"/>
        <v>0</v>
      </c>
      <c r="L76" s="78">
        <f t="shared" si="98"/>
        <v>0</v>
      </c>
      <c r="M76" s="78">
        <f t="shared" si="99"/>
        <v>4724.6675904729464</v>
      </c>
      <c r="N76" s="194">
        <f t="shared" si="100"/>
        <v>4724.6675904729464</v>
      </c>
      <c r="O76" s="78">
        <f t="shared" si="101"/>
        <v>-4724.6675904729464</v>
      </c>
      <c r="P76" s="165">
        <v>0</v>
      </c>
      <c r="Q76" s="166">
        <f t="shared" si="102"/>
        <v>0</v>
      </c>
      <c r="R76" s="119">
        <f t="shared" si="103"/>
        <v>4269.3270098613675</v>
      </c>
      <c r="S76" s="167">
        <f t="shared" si="104"/>
        <v>234.8129855423752</v>
      </c>
      <c r="T76" s="165">
        <v>0</v>
      </c>
      <c r="U76" s="166">
        <f t="shared" si="105"/>
        <v>0</v>
      </c>
      <c r="V76" s="33">
        <f t="shared" si="106"/>
        <v>4704.1399954037424</v>
      </c>
      <c r="W76" s="167">
        <f t="shared" si="107"/>
        <v>258.72769974720586</v>
      </c>
      <c r="X76" s="165">
        <v>0</v>
      </c>
      <c r="Y76" s="166">
        <f t="shared" si="108"/>
        <v>0</v>
      </c>
      <c r="Z76" s="33">
        <f t="shared" si="109"/>
        <v>5162.8676951509478</v>
      </c>
      <c r="AA76" s="167">
        <f t="shared" si="110"/>
        <v>283.95772323330215</v>
      </c>
      <c r="AB76" s="165">
        <v>0</v>
      </c>
      <c r="AC76" s="166">
        <f t="shared" si="111"/>
        <v>0</v>
      </c>
      <c r="AD76" s="33">
        <f t="shared" si="112"/>
        <v>5646.82541838425</v>
      </c>
      <c r="AE76" s="167">
        <f t="shared" si="113"/>
        <v>310.57539801113376</v>
      </c>
      <c r="AF76" s="165">
        <v>0</v>
      </c>
      <c r="AG76" s="166">
        <f t="shared" si="114"/>
        <v>0</v>
      </c>
      <c r="AH76" s="33">
        <f t="shared" si="115"/>
        <v>6157.400816395384</v>
      </c>
      <c r="AI76" s="167">
        <f t="shared" si="116"/>
        <v>338.65704490174613</v>
      </c>
      <c r="AJ76" s="165">
        <v>0</v>
      </c>
      <c r="AK76" s="166">
        <f t="shared" si="117"/>
        <v>0</v>
      </c>
      <c r="AL76" s="33">
        <f t="shared" si="118"/>
        <v>6696.0578612971303</v>
      </c>
      <c r="AM76" s="167">
        <f t="shared" si="119"/>
        <v>368.28318237134215</v>
      </c>
      <c r="AN76" s="165">
        <v>0</v>
      </c>
      <c r="AO76" s="166">
        <f t="shared" si="120"/>
        <v>0</v>
      </c>
      <c r="AP76" s="33">
        <f t="shared" si="121"/>
        <v>7264.3410436684726</v>
      </c>
      <c r="AQ76" s="167">
        <f t="shared" si="122"/>
        <v>399.53875740176602</v>
      </c>
      <c r="AR76" s="165">
        <v>0</v>
      </c>
      <c r="AS76" s="166">
        <f t="shared" si="123"/>
        <v>0</v>
      </c>
      <c r="AT76" s="33">
        <f t="shared" si="124"/>
        <v>7863.8798010702385</v>
      </c>
      <c r="AU76" s="167">
        <f t="shared" si="125"/>
        <v>432.51338905886314</v>
      </c>
      <c r="AV76" s="165">
        <v>0</v>
      </c>
      <c r="AW76" s="166">
        <f t="shared" si="126"/>
        <v>0</v>
      </c>
      <c r="AX76" s="33">
        <f t="shared" si="127"/>
        <v>8496.3931901291016</v>
      </c>
      <c r="AY76" s="167">
        <f t="shared" si="128"/>
        <v>467.30162545710061</v>
      </c>
      <c r="AZ76" s="165">
        <v>0</v>
      </c>
      <c r="BA76" s="166">
        <f t="shared" si="129"/>
        <v>0</v>
      </c>
      <c r="BB76" s="33">
        <f t="shared" si="130"/>
        <v>9163.6948155862028</v>
      </c>
      <c r="BC76" s="167">
        <f t="shared" si="131"/>
        <v>504.00321485724118</v>
      </c>
      <c r="BD76" s="165">
        <v>0</v>
      </c>
      <c r="BE76" s="166">
        <f t="shared" si="132"/>
        <v>0</v>
      </c>
      <c r="BF76" s="33">
        <f t="shared" si="133"/>
        <v>9867.6980304434437</v>
      </c>
      <c r="BG76" s="167">
        <f t="shared" si="134"/>
        <v>542.7233916743894</v>
      </c>
      <c r="BH76" s="165">
        <v>0</v>
      </c>
      <c r="BI76" s="166">
        <f t="shared" si="135"/>
        <v>0</v>
      </c>
      <c r="BJ76" s="33">
        <f t="shared" si="136"/>
        <v>10610.421422117834</v>
      </c>
      <c r="BK76" s="167">
        <f t="shared" si="137"/>
        <v>583.57317821648087</v>
      </c>
      <c r="BL76" s="87">
        <f t="shared" si="138"/>
        <v>0</v>
      </c>
    </row>
    <row r="77" spans="1:64">
      <c r="A77" s="10" t="s">
        <v>648</v>
      </c>
      <c r="B77" s="10" t="s">
        <v>116</v>
      </c>
      <c r="C77" s="80">
        <v>0</v>
      </c>
      <c r="D77" s="79">
        <f t="shared" si="93"/>
        <v>2400</v>
      </c>
      <c r="E77" s="79">
        <f>'2019-2020 New'!J77</f>
        <v>4598.0841186399648</v>
      </c>
      <c r="F77" s="139">
        <f>'2019-2020 New'!F77</f>
        <v>0</v>
      </c>
      <c r="G77" s="187">
        <f t="shared" si="94"/>
        <v>2400</v>
      </c>
      <c r="H77" s="159">
        <f t="shared" si="95"/>
        <v>0</v>
      </c>
      <c r="I77" s="190">
        <f t="shared" si="96"/>
        <v>2400</v>
      </c>
      <c r="J77" s="78">
        <f t="shared" si="139"/>
        <v>12199.271573692473</v>
      </c>
      <c r="K77" s="78">
        <f t="shared" si="97"/>
        <v>0</v>
      </c>
      <c r="L77" s="78">
        <f t="shared" si="98"/>
        <v>0</v>
      </c>
      <c r="M77" s="78">
        <f t="shared" si="99"/>
        <v>5201.1874550525081</v>
      </c>
      <c r="N77" s="194">
        <f t="shared" si="100"/>
        <v>5201.1874550525081</v>
      </c>
      <c r="O77" s="78">
        <f t="shared" si="101"/>
        <v>-5201.1874550525081</v>
      </c>
      <c r="P77" s="165">
        <v>0</v>
      </c>
      <c r="Q77" s="166">
        <f t="shared" si="102"/>
        <v>0</v>
      </c>
      <c r="R77" s="119">
        <f t="shared" si="103"/>
        <v>4798.0841186399648</v>
      </c>
      <c r="S77" s="167">
        <f t="shared" si="104"/>
        <v>263.89462652519808</v>
      </c>
      <c r="T77" s="165">
        <v>0</v>
      </c>
      <c r="U77" s="166">
        <f t="shared" si="105"/>
        <v>0</v>
      </c>
      <c r="V77" s="33">
        <f t="shared" si="106"/>
        <v>5261.9787451651628</v>
      </c>
      <c r="W77" s="167">
        <f t="shared" si="107"/>
        <v>289.40883098408398</v>
      </c>
      <c r="X77" s="165">
        <v>0</v>
      </c>
      <c r="Y77" s="166">
        <f t="shared" si="108"/>
        <v>0</v>
      </c>
      <c r="Z77" s="33">
        <f t="shared" si="109"/>
        <v>5751.3875761492463</v>
      </c>
      <c r="AA77" s="167">
        <f t="shared" si="110"/>
        <v>316.32631668820858</v>
      </c>
      <c r="AB77" s="165">
        <v>0</v>
      </c>
      <c r="AC77" s="166">
        <f t="shared" si="111"/>
        <v>0</v>
      </c>
      <c r="AD77" s="33">
        <f t="shared" si="112"/>
        <v>6267.7138928374552</v>
      </c>
      <c r="AE77" s="167">
        <f t="shared" si="113"/>
        <v>344.72426410606005</v>
      </c>
      <c r="AF77" s="165">
        <v>0</v>
      </c>
      <c r="AG77" s="166">
        <f t="shared" si="114"/>
        <v>0</v>
      </c>
      <c r="AH77" s="33">
        <f t="shared" si="115"/>
        <v>6812.4381569435154</v>
      </c>
      <c r="AI77" s="167">
        <f t="shared" si="116"/>
        <v>374.68409863189333</v>
      </c>
      <c r="AJ77" s="165">
        <v>0</v>
      </c>
      <c r="AK77" s="166">
        <f t="shared" si="117"/>
        <v>0</v>
      </c>
      <c r="AL77" s="33">
        <f t="shared" si="118"/>
        <v>7387.1222555754084</v>
      </c>
      <c r="AM77" s="167">
        <f t="shared" si="119"/>
        <v>406.29172405664747</v>
      </c>
      <c r="AN77" s="165">
        <v>0</v>
      </c>
      <c r="AO77" s="166">
        <f t="shared" si="120"/>
        <v>0</v>
      </c>
      <c r="AP77" s="33">
        <f t="shared" si="121"/>
        <v>7993.413979632056</v>
      </c>
      <c r="AQ77" s="167">
        <f t="shared" si="122"/>
        <v>439.63776887976309</v>
      </c>
      <c r="AR77" s="165">
        <v>0</v>
      </c>
      <c r="AS77" s="166">
        <f t="shared" si="123"/>
        <v>0</v>
      </c>
      <c r="AT77" s="33">
        <f t="shared" si="124"/>
        <v>8633.0517485118198</v>
      </c>
      <c r="AU77" s="167">
        <f t="shared" si="125"/>
        <v>474.81784616815008</v>
      </c>
      <c r="AV77" s="165">
        <v>0</v>
      </c>
      <c r="AW77" s="166">
        <f t="shared" si="126"/>
        <v>0</v>
      </c>
      <c r="AX77" s="33">
        <f t="shared" si="127"/>
        <v>9307.8695946799708</v>
      </c>
      <c r="AY77" s="167">
        <f t="shared" si="128"/>
        <v>511.93282770739842</v>
      </c>
      <c r="AZ77" s="165">
        <v>0</v>
      </c>
      <c r="BA77" s="166">
        <f t="shared" si="129"/>
        <v>0</v>
      </c>
      <c r="BB77" s="33">
        <f t="shared" si="130"/>
        <v>10019.802422387369</v>
      </c>
      <c r="BC77" s="167">
        <f t="shared" si="131"/>
        <v>551.08913323130525</v>
      </c>
      <c r="BD77" s="165">
        <v>0</v>
      </c>
      <c r="BE77" s="166">
        <f t="shared" si="132"/>
        <v>0</v>
      </c>
      <c r="BF77" s="33">
        <f t="shared" si="133"/>
        <v>10770.891555618675</v>
      </c>
      <c r="BG77" s="167">
        <f t="shared" si="134"/>
        <v>592.39903555902708</v>
      </c>
      <c r="BH77" s="165">
        <v>0</v>
      </c>
      <c r="BI77" s="166">
        <f t="shared" si="135"/>
        <v>0</v>
      </c>
      <c r="BJ77" s="33">
        <f t="shared" si="136"/>
        <v>11563.290591177702</v>
      </c>
      <c r="BK77" s="167">
        <f t="shared" si="137"/>
        <v>635.98098251477359</v>
      </c>
      <c r="BL77" s="87">
        <f t="shared" si="138"/>
        <v>0</v>
      </c>
    </row>
    <row r="78" spans="1:64">
      <c r="A78" s="10" t="s">
        <v>649</v>
      </c>
      <c r="B78" s="10" t="s">
        <v>132</v>
      </c>
      <c r="C78" s="80">
        <v>0</v>
      </c>
      <c r="D78" s="79">
        <f t="shared" si="93"/>
        <v>2400</v>
      </c>
      <c r="E78" s="79">
        <f>'2019-2020 New'!J78</f>
        <v>5040.3814992055486</v>
      </c>
      <c r="F78" s="139">
        <f>'2019-2020 New'!F78</f>
        <v>0</v>
      </c>
      <c r="G78" s="187">
        <f t="shared" si="94"/>
        <v>2400</v>
      </c>
      <c r="H78" s="159">
        <f t="shared" si="95"/>
        <v>600</v>
      </c>
      <c r="I78" s="190">
        <f t="shared" si="96"/>
        <v>1800</v>
      </c>
      <c r="J78" s="78">
        <f t="shared" si="139"/>
        <v>12134.306064364586</v>
      </c>
      <c r="K78" s="78">
        <f t="shared" si="97"/>
        <v>5.9399999999999995</v>
      </c>
      <c r="L78" s="78">
        <f t="shared" si="98"/>
        <v>32.673299999999998</v>
      </c>
      <c r="M78" s="78">
        <f t="shared" si="99"/>
        <v>5293.9245651590372</v>
      </c>
      <c r="N78" s="194">
        <f t="shared" si="100"/>
        <v>5293.9245651590372</v>
      </c>
      <c r="O78" s="78">
        <f t="shared" si="101"/>
        <v>-4667.1912651590374</v>
      </c>
      <c r="P78" s="165">
        <v>0</v>
      </c>
      <c r="Q78" s="166">
        <f t="shared" si="102"/>
        <v>0</v>
      </c>
      <c r="R78" s="119">
        <f t="shared" si="103"/>
        <v>5240.3814992055486</v>
      </c>
      <c r="S78" s="167">
        <f t="shared" si="104"/>
        <v>288.22098245630519</v>
      </c>
      <c r="T78" s="165">
        <v>0</v>
      </c>
      <c r="U78" s="166">
        <f t="shared" si="105"/>
        <v>0</v>
      </c>
      <c r="V78" s="33">
        <f t="shared" si="106"/>
        <v>5728.6024816618537</v>
      </c>
      <c r="W78" s="167">
        <f t="shared" si="107"/>
        <v>315.07313649140195</v>
      </c>
      <c r="X78" s="165">
        <v>0</v>
      </c>
      <c r="Y78" s="166">
        <f t="shared" si="108"/>
        <v>0</v>
      </c>
      <c r="Z78" s="33">
        <f t="shared" si="109"/>
        <v>6243.6756181532555</v>
      </c>
      <c r="AA78" s="167">
        <f t="shared" si="110"/>
        <v>343.40215899842906</v>
      </c>
      <c r="AB78" s="165">
        <f>'2018-2019 B STATEMENT '!B667</f>
        <v>200</v>
      </c>
      <c r="AC78" s="166">
        <f t="shared" si="111"/>
        <v>1.9799999999999998</v>
      </c>
      <c r="AD78" s="33">
        <f t="shared" si="112"/>
        <v>6587.0777771516841</v>
      </c>
      <c r="AE78" s="167">
        <f t="shared" si="113"/>
        <v>351.28927774334261</v>
      </c>
      <c r="AF78" s="165">
        <v>0</v>
      </c>
      <c r="AG78" s="166">
        <f t="shared" si="114"/>
        <v>0</v>
      </c>
      <c r="AH78" s="33">
        <f t="shared" si="115"/>
        <v>7138.3670548950267</v>
      </c>
      <c r="AI78" s="167">
        <f t="shared" si="116"/>
        <v>392.61018801922648</v>
      </c>
      <c r="AJ78" s="165">
        <v>0</v>
      </c>
      <c r="AK78" s="166">
        <f t="shared" si="117"/>
        <v>0</v>
      </c>
      <c r="AL78" s="33">
        <f t="shared" si="118"/>
        <v>7730.9772429142531</v>
      </c>
      <c r="AM78" s="167">
        <f t="shared" si="119"/>
        <v>425.2037483602839</v>
      </c>
      <c r="AN78" s="165">
        <f>'2018-2019 B STATEMENT '!B713</f>
        <v>200</v>
      </c>
      <c r="AO78" s="166">
        <f t="shared" si="120"/>
        <v>1.9799999999999998</v>
      </c>
      <c r="AP78" s="33">
        <f t="shared" si="121"/>
        <v>8156.1809912745366</v>
      </c>
      <c r="AQ78" s="167">
        <f t="shared" si="122"/>
        <v>437.58995452009952</v>
      </c>
      <c r="AR78" s="165">
        <f>'2018-2019 B STATEMENT '!B722</f>
        <v>200</v>
      </c>
      <c r="AS78" s="166">
        <f t="shared" si="123"/>
        <v>1.9799999999999998</v>
      </c>
      <c r="AT78" s="33">
        <f t="shared" si="124"/>
        <v>8593.7709457946366</v>
      </c>
      <c r="AU78" s="167">
        <f t="shared" si="125"/>
        <v>461.657402018705</v>
      </c>
      <c r="AV78" s="165">
        <v>0</v>
      </c>
      <c r="AW78" s="166">
        <f t="shared" si="126"/>
        <v>0</v>
      </c>
      <c r="AX78" s="33">
        <f t="shared" si="127"/>
        <v>9255.428347813342</v>
      </c>
      <c r="AY78" s="167">
        <f t="shared" si="128"/>
        <v>509.0485591297338</v>
      </c>
      <c r="AZ78" s="165">
        <v>0</v>
      </c>
      <c r="BA78" s="166">
        <f t="shared" si="129"/>
        <v>0</v>
      </c>
      <c r="BB78" s="33">
        <f t="shared" si="130"/>
        <v>9964.4769069430768</v>
      </c>
      <c r="BC78" s="167">
        <f t="shared" si="131"/>
        <v>548.04622988186918</v>
      </c>
      <c r="BD78" s="165">
        <v>0</v>
      </c>
      <c r="BE78" s="166">
        <f t="shared" si="132"/>
        <v>0</v>
      </c>
      <c r="BF78" s="33">
        <f t="shared" si="133"/>
        <v>10712.523136824946</v>
      </c>
      <c r="BG78" s="167">
        <f t="shared" si="134"/>
        <v>589.18877252537209</v>
      </c>
      <c r="BH78" s="165">
        <v>0</v>
      </c>
      <c r="BI78" s="166">
        <f t="shared" si="135"/>
        <v>0</v>
      </c>
      <c r="BJ78" s="33">
        <f t="shared" si="136"/>
        <v>11501.711909350319</v>
      </c>
      <c r="BK78" s="167">
        <f t="shared" si="137"/>
        <v>632.59415501426759</v>
      </c>
      <c r="BL78" s="87">
        <f t="shared" si="138"/>
        <v>600</v>
      </c>
    </row>
    <row r="79" spans="1:64">
      <c r="A79" s="10" t="s">
        <v>650</v>
      </c>
      <c r="B79" s="10" t="s">
        <v>113</v>
      </c>
      <c r="C79" s="80">
        <v>0</v>
      </c>
      <c r="D79" s="79">
        <f t="shared" si="93"/>
        <v>2400</v>
      </c>
      <c r="E79" s="79">
        <f>'2019-2020 New'!J79</f>
        <v>4027.7218729122624</v>
      </c>
      <c r="F79" s="139">
        <f>'2019-2020 New'!F79</f>
        <v>200</v>
      </c>
      <c r="G79" s="187">
        <f t="shared" si="94"/>
        <v>2400</v>
      </c>
      <c r="H79" s="159">
        <f t="shared" si="95"/>
        <v>0</v>
      </c>
      <c r="I79" s="190">
        <f t="shared" si="96"/>
        <v>2400</v>
      </c>
      <c r="J79" s="78">
        <f t="shared" si="139"/>
        <v>11114.894602520646</v>
      </c>
      <c r="K79" s="78">
        <f t="shared" si="97"/>
        <v>0</v>
      </c>
      <c r="L79" s="78">
        <f t="shared" si="98"/>
        <v>0</v>
      </c>
      <c r="M79" s="78">
        <f t="shared" si="99"/>
        <v>4687.1727296083845</v>
      </c>
      <c r="N79" s="194">
        <f t="shared" si="100"/>
        <v>4687.1727296083845</v>
      </c>
      <c r="O79" s="78">
        <f t="shared" si="101"/>
        <v>-4687.1727296083845</v>
      </c>
      <c r="P79" s="165">
        <v>0</v>
      </c>
      <c r="Q79" s="166">
        <f t="shared" si="102"/>
        <v>0</v>
      </c>
      <c r="R79" s="119">
        <f t="shared" si="103"/>
        <v>4227.7218729122624</v>
      </c>
      <c r="S79" s="167">
        <f t="shared" si="104"/>
        <v>232.52470301017442</v>
      </c>
      <c r="T79" s="165">
        <v>0</v>
      </c>
      <c r="U79" s="166">
        <f t="shared" si="105"/>
        <v>0</v>
      </c>
      <c r="V79" s="33">
        <f t="shared" si="106"/>
        <v>4660.2465759224369</v>
      </c>
      <c r="W79" s="167">
        <f t="shared" si="107"/>
        <v>256.31356167573404</v>
      </c>
      <c r="X79" s="165">
        <v>0</v>
      </c>
      <c r="Y79" s="166">
        <f t="shared" si="108"/>
        <v>0</v>
      </c>
      <c r="Z79" s="33">
        <f t="shared" si="109"/>
        <v>5116.5601375981714</v>
      </c>
      <c r="AA79" s="167">
        <f t="shared" si="110"/>
        <v>281.41080756789944</v>
      </c>
      <c r="AB79" s="165">
        <v>0</v>
      </c>
      <c r="AC79" s="166">
        <f t="shared" si="111"/>
        <v>0</v>
      </c>
      <c r="AD79" s="33">
        <f t="shared" si="112"/>
        <v>5597.970945166071</v>
      </c>
      <c r="AE79" s="167">
        <f t="shared" si="113"/>
        <v>307.88840198413391</v>
      </c>
      <c r="AF79" s="165">
        <v>0</v>
      </c>
      <c r="AG79" s="166">
        <f t="shared" si="114"/>
        <v>0</v>
      </c>
      <c r="AH79" s="33">
        <f t="shared" si="115"/>
        <v>6105.8593471502045</v>
      </c>
      <c r="AI79" s="167">
        <f t="shared" si="116"/>
        <v>335.82226409326125</v>
      </c>
      <c r="AJ79" s="165">
        <v>0</v>
      </c>
      <c r="AK79" s="166">
        <f t="shared" si="117"/>
        <v>0</v>
      </c>
      <c r="AL79" s="33">
        <f t="shared" si="118"/>
        <v>6641.6816112434653</v>
      </c>
      <c r="AM79" s="167">
        <f t="shared" si="119"/>
        <v>365.29248861839062</v>
      </c>
      <c r="AN79" s="165">
        <v>0</v>
      </c>
      <c r="AO79" s="166">
        <f t="shared" si="120"/>
        <v>0</v>
      </c>
      <c r="AP79" s="33">
        <f t="shared" si="121"/>
        <v>7206.9740998618563</v>
      </c>
      <c r="AQ79" s="167">
        <f t="shared" si="122"/>
        <v>396.38357549240209</v>
      </c>
      <c r="AR79" s="165">
        <v>0</v>
      </c>
      <c r="AS79" s="166">
        <f t="shared" si="123"/>
        <v>0</v>
      </c>
      <c r="AT79" s="33">
        <f t="shared" si="124"/>
        <v>7803.3576753542584</v>
      </c>
      <c r="AU79" s="167">
        <f t="shared" si="125"/>
        <v>429.18467214448424</v>
      </c>
      <c r="AV79" s="165">
        <v>0</v>
      </c>
      <c r="AW79" s="166">
        <f t="shared" si="126"/>
        <v>0</v>
      </c>
      <c r="AX79" s="33">
        <f t="shared" si="127"/>
        <v>8432.5423474987419</v>
      </c>
      <c r="AY79" s="167">
        <f t="shared" si="128"/>
        <v>463.78982911243082</v>
      </c>
      <c r="AZ79" s="165">
        <v>0</v>
      </c>
      <c r="BA79" s="166">
        <f t="shared" si="129"/>
        <v>0</v>
      </c>
      <c r="BB79" s="33">
        <f t="shared" si="130"/>
        <v>9096.3321766111731</v>
      </c>
      <c r="BC79" s="167">
        <f t="shared" si="131"/>
        <v>500.2982697136145</v>
      </c>
      <c r="BD79" s="165">
        <v>0</v>
      </c>
      <c r="BE79" s="166">
        <f t="shared" si="132"/>
        <v>0</v>
      </c>
      <c r="BF79" s="33">
        <f t="shared" si="133"/>
        <v>9796.630446324787</v>
      </c>
      <c r="BG79" s="167">
        <f t="shared" si="134"/>
        <v>538.81467454786332</v>
      </c>
      <c r="BH79" s="165">
        <v>0</v>
      </c>
      <c r="BI79" s="166">
        <f t="shared" si="135"/>
        <v>0</v>
      </c>
      <c r="BJ79" s="33">
        <f t="shared" si="136"/>
        <v>10535.44512087265</v>
      </c>
      <c r="BK79" s="167">
        <f t="shared" si="137"/>
        <v>579.44948164799575</v>
      </c>
      <c r="BL79" s="87">
        <f t="shared" si="138"/>
        <v>0</v>
      </c>
    </row>
    <row r="80" spans="1:64">
      <c r="A80" s="10" t="s">
        <v>651</v>
      </c>
      <c r="B80" s="10" t="s">
        <v>124</v>
      </c>
      <c r="C80" s="80">
        <v>0</v>
      </c>
      <c r="D80" s="79">
        <f t="shared" si="93"/>
        <v>2400</v>
      </c>
      <c r="E80" s="79">
        <f>'2019-2020 New'!J80</f>
        <v>6689.412352974874</v>
      </c>
      <c r="F80" s="139">
        <f>'2019-2020 New'!F80</f>
        <v>0</v>
      </c>
      <c r="G80" s="187">
        <f t="shared" si="94"/>
        <v>2400</v>
      </c>
      <c r="H80" s="159">
        <f t="shared" si="95"/>
        <v>0</v>
      </c>
      <c r="I80" s="190">
        <f t="shared" si="96"/>
        <v>2400</v>
      </c>
      <c r="J80" s="78">
        <f t="shared" si="139"/>
        <v>16175.320467989171</v>
      </c>
      <c r="K80" s="78">
        <f t="shared" si="97"/>
        <v>0</v>
      </c>
      <c r="L80" s="78">
        <f t="shared" si="98"/>
        <v>0</v>
      </c>
      <c r="M80" s="78">
        <f t="shared" si="99"/>
        <v>7085.9081150142974</v>
      </c>
      <c r="N80" s="194">
        <f t="shared" si="100"/>
        <v>7085.9081150142974</v>
      </c>
      <c r="O80" s="78">
        <f t="shared" si="101"/>
        <v>-7085.9081150142974</v>
      </c>
      <c r="P80" s="165">
        <v>0</v>
      </c>
      <c r="Q80" s="166">
        <f t="shared" si="102"/>
        <v>0</v>
      </c>
      <c r="R80" s="119">
        <f t="shared" si="103"/>
        <v>6889.412352974874</v>
      </c>
      <c r="S80" s="167">
        <f t="shared" si="104"/>
        <v>378.91767941361809</v>
      </c>
      <c r="T80" s="165">
        <v>0</v>
      </c>
      <c r="U80" s="166">
        <f t="shared" si="105"/>
        <v>0</v>
      </c>
      <c r="V80" s="33">
        <f t="shared" si="106"/>
        <v>7468.3300323884923</v>
      </c>
      <c r="W80" s="167">
        <f t="shared" si="107"/>
        <v>410.75815178136708</v>
      </c>
      <c r="X80" s="165">
        <v>0</v>
      </c>
      <c r="Y80" s="166">
        <f t="shared" si="108"/>
        <v>0</v>
      </c>
      <c r="Z80" s="33">
        <f t="shared" si="109"/>
        <v>8079.0881841698592</v>
      </c>
      <c r="AA80" s="167">
        <f t="shared" si="110"/>
        <v>444.34985012934226</v>
      </c>
      <c r="AB80" s="165">
        <v>0</v>
      </c>
      <c r="AC80" s="166">
        <f t="shared" si="111"/>
        <v>0</v>
      </c>
      <c r="AD80" s="33">
        <f t="shared" si="112"/>
        <v>8723.4380342992008</v>
      </c>
      <c r="AE80" s="167">
        <f t="shared" si="113"/>
        <v>479.78909188645605</v>
      </c>
      <c r="AF80" s="165">
        <v>0</v>
      </c>
      <c r="AG80" s="166">
        <f t="shared" si="114"/>
        <v>0</v>
      </c>
      <c r="AH80" s="33">
        <f t="shared" si="115"/>
        <v>9403.2271261856567</v>
      </c>
      <c r="AI80" s="167">
        <f t="shared" si="116"/>
        <v>517.1774919402111</v>
      </c>
      <c r="AJ80" s="165">
        <v>0</v>
      </c>
      <c r="AK80" s="166">
        <f t="shared" si="117"/>
        <v>0</v>
      </c>
      <c r="AL80" s="33">
        <f t="shared" si="118"/>
        <v>10120.404618125867</v>
      </c>
      <c r="AM80" s="167">
        <f t="shared" si="119"/>
        <v>556.62225399692272</v>
      </c>
      <c r="AN80" s="165">
        <v>0</v>
      </c>
      <c r="AO80" s="166">
        <f t="shared" si="120"/>
        <v>0</v>
      </c>
      <c r="AP80" s="33">
        <f t="shared" si="121"/>
        <v>10877.026872122789</v>
      </c>
      <c r="AQ80" s="167">
        <f t="shared" si="122"/>
        <v>598.23647796675345</v>
      </c>
      <c r="AR80" s="165">
        <v>0</v>
      </c>
      <c r="AS80" s="166">
        <f t="shared" si="123"/>
        <v>0</v>
      </c>
      <c r="AT80" s="33">
        <f t="shared" si="124"/>
        <v>11675.263350089543</v>
      </c>
      <c r="AU80" s="167">
        <f t="shared" si="125"/>
        <v>642.13948425492481</v>
      </c>
      <c r="AV80" s="165">
        <v>0</v>
      </c>
      <c r="AW80" s="166">
        <f t="shared" si="126"/>
        <v>0</v>
      </c>
      <c r="AX80" s="33">
        <f t="shared" si="127"/>
        <v>12517.402834344468</v>
      </c>
      <c r="AY80" s="167">
        <f t="shared" si="128"/>
        <v>688.45715588894575</v>
      </c>
      <c r="AZ80" s="165">
        <v>0</v>
      </c>
      <c r="BA80" s="166">
        <f t="shared" si="129"/>
        <v>0</v>
      </c>
      <c r="BB80" s="33">
        <f t="shared" si="130"/>
        <v>13405.859990233414</v>
      </c>
      <c r="BC80" s="167">
        <f t="shared" si="131"/>
        <v>737.3222994628378</v>
      </c>
      <c r="BD80" s="165">
        <v>0</v>
      </c>
      <c r="BE80" s="166">
        <f t="shared" si="132"/>
        <v>0</v>
      </c>
      <c r="BF80" s="33">
        <f t="shared" si="133"/>
        <v>14343.182289696251</v>
      </c>
      <c r="BG80" s="167">
        <f t="shared" si="134"/>
        <v>788.87502593329384</v>
      </c>
      <c r="BH80" s="165">
        <v>0</v>
      </c>
      <c r="BI80" s="166">
        <f t="shared" si="135"/>
        <v>0</v>
      </c>
      <c r="BJ80" s="33">
        <f t="shared" si="136"/>
        <v>15332.057315629545</v>
      </c>
      <c r="BK80" s="167">
        <f t="shared" si="137"/>
        <v>843.263152359625</v>
      </c>
      <c r="BL80" s="87">
        <f t="shared" si="138"/>
        <v>0</v>
      </c>
    </row>
    <row r="81" spans="1:64">
      <c r="A81" s="10" t="s">
        <v>652</v>
      </c>
      <c r="B81" s="10" t="s">
        <v>149</v>
      </c>
      <c r="C81" s="80">
        <v>0</v>
      </c>
      <c r="D81" s="79">
        <f t="shared" si="93"/>
        <v>2400</v>
      </c>
      <c r="E81" s="79">
        <f>'2019-2020 New'!J81</f>
        <v>3462.9994413868144</v>
      </c>
      <c r="F81" s="139">
        <f>'2019-2020 New'!F81</f>
        <v>600</v>
      </c>
      <c r="G81" s="187">
        <f t="shared" si="94"/>
        <v>2400</v>
      </c>
      <c r="H81" s="159">
        <f t="shared" si="95"/>
        <v>1550</v>
      </c>
      <c r="I81" s="190">
        <f t="shared" si="96"/>
        <v>850</v>
      </c>
      <c r="J81" s="78">
        <f t="shared" si="139"/>
        <v>7500.0435994702248</v>
      </c>
      <c r="K81" s="78">
        <f t="shared" si="97"/>
        <v>15.344999999999999</v>
      </c>
      <c r="L81" s="78">
        <f t="shared" si="98"/>
        <v>84.406025</v>
      </c>
      <c r="M81" s="78">
        <f t="shared" si="99"/>
        <v>3187.0441580834104</v>
      </c>
      <c r="N81" s="194">
        <f t="shared" si="100"/>
        <v>3187.0441580834104</v>
      </c>
      <c r="O81" s="78">
        <f t="shared" si="101"/>
        <v>-1567.9831330834104</v>
      </c>
      <c r="P81" s="165">
        <f>'2018-2019 B STATEMENT '!B599</f>
        <v>250</v>
      </c>
      <c r="Q81" s="166">
        <f t="shared" si="102"/>
        <v>2.4749999999999996</v>
      </c>
      <c r="R81" s="119">
        <f t="shared" si="103"/>
        <v>3662.9994413868144</v>
      </c>
      <c r="S81" s="167">
        <f t="shared" si="104"/>
        <v>187.71496927627479</v>
      </c>
      <c r="T81" s="165">
        <f>'2018-2019 B STATEMENT '!B627</f>
        <v>500</v>
      </c>
      <c r="U81" s="166">
        <f t="shared" si="105"/>
        <v>4.9499999999999993</v>
      </c>
      <c r="V81" s="33">
        <f t="shared" si="106"/>
        <v>3550.714410663089</v>
      </c>
      <c r="W81" s="167">
        <f t="shared" si="107"/>
        <v>167.78929258646988</v>
      </c>
      <c r="X81" s="165">
        <v>0</v>
      </c>
      <c r="Y81" s="166">
        <f t="shared" si="108"/>
        <v>0</v>
      </c>
      <c r="Z81" s="33">
        <f t="shared" si="109"/>
        <v>3918.5037032495588</v>
      </c>
      <c r="AA81" s="167">
        <f t="shared" si="110"/>
        <v>215.51770367872572</v>
      </c>
      <c r="AB81" s="165">
        <f>'2018-2019 B STATEMENT '!B660</f>
        <v>300</v>
      </c>
      <c r="AC81" s="166">
        <f t="shared" si="111"/>
        <v>2.9699999999999998</v>
      </c>
      <c r="AD81" s="33">
        <f t="shared" si="112"/>
        <v>4034.0214069282847</v>
      </c>
      <c r="AE81" s="167">
        <f t="shared" si="113"/>
        <v>205.37117738105567</v>
      </c>
      <c r="AF81" s="165">
        <f>'2018-2019 B STATEMENT '!B674</f>
        <v>500</v>
      </c>
      <c r="AG81" s="166">
        <f t="shared" si="114"/>
        <v>4.9499999999999993</v>
      </c>
      <c r="AH81" s="33">
        <f t="shared" si="115"/>
        <v>3939.3925843093402</v>
      </c>
      <c r="AI81" s="167">
        <f t="shared" si="116"/>
        <v>189.16659213701371</v>
      </c>
      <c r="AJ81" s="165">
        <v>0</v>
      </c>
      <c r="AK81" s="166">
        <f t="shared" si="117"/>
        <v>0</v>
      </c>
      <c r="AL81" s="33">
        <f t="shared" si="118"/>
        <v>4328.5591764463543</v>
      </c>
      <c r="AM81" s="167">
        <f t="shared" si="119"/>
        <v>238.0707547045495</v>
      </c>
      <c r="AN81" s="165">
        <v>0</v>
      </c>
      <c r="AO81" s="166">
        <f t="shared" si="120"/>
        <v>0</v>
      </c>
      <c r="AP81" s="33">
        <f t="shared" si="121"/>
        <v>4766.6299311509038</v>
      </c>
      <c r="AQ81" s="167">
        <f t="shared" si="122"/>
        <v>262.1646462132997</v>
      </c>
      <c r="AR81" s="165">
        <v>0</v>
      </c>
      <c r="AS81" s="166">
        <f t="shared" si="123"/>
        <v>0</v>
      </c>
      <c r="AT81" s="33">
        <f t="shared" si="124"/>
        <v>5228.7945773642032</v>
      </c>
      <c r="AU81" s="167">
        <f t="shared" si="125"/>
        <v>287.5837017550312</v>
      </c>
      <c r="AV81" s="165">
        <v>0</v>
      </c>
      <c r="AW81" s="166">
        <f t="shared" si="126"/>
        <v>0</v>
      </c>
      <c r="AX81" s="33">
        <f t="shared" si="127"/>
        <v>5716.3782791192343</v>
      </c>
      <c r="AY81" s="167">
        <f t="shared" si="128"/>
        <v>314.40080535155789</v>
      </c>
      <c r="AZ81" s="165">
        <v>0</v>
      </c>
      <c r="BA81" s="166">
        <f t="shared" si="129"/>
        <v>0</v>
      </c>
      <c r="BB81" s="33">
        <f t="shared" si="130"/>
        <v>6230.7790844707924</v>
      </c>
      <c r="BC81" s="167">
        <f t="shared" si="131"/>
        <v>342.6928496458936</v>
      </c>
      <c r="BD81" s="165">
        <v>0</v>
      </c>
      <c r="BE81" s="166">
        <f t="shared" si="132"/>
        <v>0</v>
      </c>
      <c r="BF81" s="33">
        <f t="shared" si="133"/>
        <v>6773.4719341166856</v>
      </c>
      <c r="BG81" s="167">
        <f t="shared" si="134"/>
        <v>372.54095637641768</v>
      </c>
      <c r="BH81" s="165">
        <v>0</v>
      </c>
      <c r="BI81" s="166">
        <f t="shared" si="135"/>
        <v>0</v>
      </c>
      <c r="BJ81" s="33">
        <f t="shared" si="136"/>
        <v>7346.0128904931034</v>
      </c>
      <c r="BK81" s="167">
        <f t="shared" si="137"/>
        <v>404.0307089771207</v>
      </c>
      <c r="BL81" s="87">
        <f t="shared" si="138"/>
        <v>1550</v>
      </c>
    </row>
    <row r="82" spans="1:64">
      <c r="A82" s="10" t="s">
        <v>653</v>
      </c>
      <c r="B82" s="10" t="s">
        <v>148</v>
      </c>
      <c r="C82" s="80">
        <v>0</v>
      </c>
      <c r="D82" s="79">
        <f t="shared" si="93"/>
        <v>2400</v>
      </c>
      <c r="E82" s="79">
        <f>'2019-2020 New'!J82</f>
        <v>2358.243081346418</v>
      </c>
      <c r="F82" s="139">
        <f>'2019-2020 New'!F82</f>
        <v>2400</v>
      </c>
      <c r="G82" s="187">
        <f t="shared" si="94"/>
        <v>2400</v>
      </c>
      <c r="H82" s="159">
        <f t="shared" si="95"/>
        <v>0</v>
      </c>
      <c r="I82" s="190">
        <f t="shared" si="96"/>
        <v>2400</v>
      </c>
      <c r="J82" s="78">
        <f t="shared" si="139"/>
        <v>7940.8690266797603</v>
      </c>
      <c r="K82" s="78">
        <f t="shared" si="97"/>
        <v>0</v>
      </c>
      <c r="L82" s="78">
        <f t="shared" si="98"/>
        <v>0</v>
      </c>
      <c r="M82" s="78">
        <f t="shared" si="99"/>
        <v>3182.6259453333419</v>
      </c>
      <c r="N82" s="194">
        <f t="shared" si="100"/>
        <v>3182.6259453333419</v>
      </c>
      <c r="O82" s="78">
        <f t="shared" si="101"/>
        <v>-3182.6259453333419</v>
      </c>
      <c r="P82" s="165">
        <v>0</v>
      </c>
      <c r="Q82" s="166">
        <f t="shared" si="102"/>
        <v>0</v>
      </c>
      <c r="R82" s="119">
        <f t="shared" si="103"/>
        <v>2558.243081346418</v>
      </c>
      <c r="S82" s="167">
        <f t="shared" si="104"/>
        <v>140.70336947405298</v>
      </c>
      <c r="T82" s="165">
        <v>0</v>
      </c>
      <c r="U82" s="166">
        <f t="shared" si="105"/>
        <v>0</v>
      </c>
      <c r="V82" s="33">
        <f t="shared" si="106"/>
        <v>2898.946450820471</v>
      </c>
      <c r="W82" s="167">
        <f t="shared" si="107"/>
        <v>159.4420547951259</v>
      </c>
      <c r="X82" s="165">
        <v>0</v>
      </c>
      <c r="Y82" s="166">
        <f t="shared" si="108"/>
        <v>0</v>
      </c>
      <c r="Z82" s="33">
        <f t="shared" si="109"/>
        <v>3258.3885056155968</v>
      </c>
      <c r="AA82" s="167">
        <f t="shared" si="110"/>
        <v>179.21136780885783</v>
      </c>
      <c r="AB82" s="165">
        <v>0</v>
      </c>
      <c r="AC82" s="166">
        <f t="shared" si="111"/>
        <v>0</v>
      </c>
      <c r="AD82" s="33">
        <f t="shared" si="112"/>
        <v>3637.5998734244545</v>
      </c>
      <c r="AE82" s="167">
        <f t="shared" si="113"/>
        <v>200.06799303834501</v>
      </c>
      <c r="AF82" s="165">
        <v>0</v>
      </c>
      <c r="AG82" s="166">
        <f t="shared" si="114"/>
        <v>0</v>
      </c>
      <c r="AH82" s="33">
        <f t="shared" si="115"/>
        <v>4037.6678664627993</v>
      </c>
      <c r="AI82" s="167">
        <f t="shared" si="116"/>
        <v>222.07173265545396</v>
      </c>
      <c r="AJ82" s="165">
        <v>0</v>
      </c>
      <c r="AK82" s="166">
        <f t="shared" si="117"/>
        <v>0</v>
      </c>
      <c r="AL82" s="33">
        <f t="shared" si="118"/>
        <v>4459.7395991182539</v>
      </c>
      <c r="AM82" s="167">
        <f t="shared" si="119"/>
        <v>245.28567795150397</v>
      </c>
      <c r="AN82" s="165">
        <v>0</v>
      </c>
      <c r="AO82" s="166">
        <f t="shared" si="120"/>
        <v>0</v>
      </c>
      <c r="AP82" s="33">
        <f t="shared" si="121"/>
        <v>4905.025277069758</v>
      </c>
      <c r="AQ82" s="167">
        <f t="shared" si="122"/>
        <v>269.77639023883671</v>
      </c>
      <c r="AR82" s="165">
        <v>0</v>
      </c>
      <c r="AS82" s="166">
        <f t="shared" si="123"/>
        <v>0</v>
      </c>
      <c r="AT82" s="33">
        <f t="shared" si="124"/>
        <v>5374.8016673085949</v>
      </c>
      <c r="AU82" s="167">
        <f t="shared" si="125"/>
        <v>295.61409170197271</v>
      </c>
      <c r="AV82" s="165">
        <v>0</v>
      </c>
      <c r="AW82" s="166">
        <f t="shared" si="126"/>
        <v>0</v>
      </c>
      <c r="AX82" s="33">
        <f t="shared" si="127"/>
        <v>5870.4157590105679</v>
      </c>
      <c r="AY82" s="167">
        <f t="shared" si="128"/>
        <v>322.87286674558123</v>
      </c>
      <c r="AZ82" s="165">
        <v>0</v>
      </c>
      <c r="BA82" s="166">
        <f t="shared" si="129"/>
        <v>0</v>
      </c>
      <c r="BB82" s="33">
        <f t="shared" si="130"/>
        <v>6393.2886257561495</v>
      </c>
      <c r="BC82" s="167">
        <f t="shared" si="131"/>
        <v>351.6308744165882</v>
      </c>
      <c r="BD82" s="165">
        <v>0</v>
      </c>
      <c r="BE82" s="166">
        <f t="shared" si="132"/>
        <v>0</v>
      </c>
      <c r="BF82" s="33">
        <f t="shared" si="133"/>
        <v>6944.9195001727376</v>
      </c>
      <c r="BG82" s="167">
        <f t="shared" si="134"/>
        <v>381.97057250950058</v>
      </c>
      <c r="BH82" s="165">
        <v>0</v>
      </c>
      <c r="BI82" s="166">
        <f t="shared" si="135"/>
        <v>0</v>
      </c>
      <c r="BJ82" s="33">
        <f t="shared" si="136"/>
        <v>7526.8900726822385</v>
      </c>
      <c r="BK82" s="167">
        <f t="shared" si="137"/>
        <v>413.97895399752309</v>
      </c>
      <c r="BL82" s="87">
        <f t="shared" si="138"/>
        <v>0</v>
      </c>
    </row>
    <row r="83" spans="1:64">
      <c r="A83" s="10" t="s">
        <v>654</v>
      </c>
      <c r="B83" s="10" t="s">
        <v>127</v>
      </c>
      <c r="C83" s="80">
        <v>0</v>
      </c>
      <c r="D83" s="79">
        <f t="shared" si="93"/>
        <v>2400</v>
      </c>
      <c r="E83" s="79">
        <f>'2019-2020 New'!J83</f>
        <v>-431.88094668580658</v>
      </c>
      <c r="F83" s="139">
        <f>'2019-2020 New'!F83</f>
        <v>200</v>
      </c>
      <c r="G83" s="187">
        <f t="shared" si="94"/>
        <v>2400</v>
      </c>
      <c r="H83" s="159">
        <f t="shared" si="95"/>
        <v>1400</v>
      </c>
      <c r="I83" s="190">
        <f t="shared" si="96"/>
        <v>1000</v>
      </c>
      <c r="J83" s="78">
        <f t="shared" si="139"/>
        <v>417.90691889300723</v>
      </c>
      <c r="K83" s="78">
        <f t="shared" si="97"/>
        <v>13.86</v>
      </c>
      <c r="L83" s="78">
        <f t="shared" si="98"/>
        <v>76.237700000000004</v>
      </c>
      <c r="M83" s="78">
        <f t="shared" si="99"/>
        <v>-150.21213442118614</v>
      </c>
      <c r="N83" s="194">
        <f t="shared" si="100"/>
        <v>-150.21213442118614</v>
      </c>
      <c r="O83" s="78">
        <f t="shared" si="101"/>
        <v>1612.5898344211862</v>
      </c>
      <c r="P83" s="165">
        <f>'2018-2019 B STATEMENT '!B600</f>
        <v>200</v>
      </c>
      <c r="Q83" s="166">
        <f t="shared" si="102"/>
        <v>1.9799999999999998</v>
      </c>
      <c r="R83" s="119">
        <f t="shared" si="103"/>
        <v>-231.88094668580658</v>
      </c>
      <c r="S83" s="167">
        <f t="shared" si="104"/>
        <v>-23.753452067719362</v>
      </c>
      <c r="T83" s="165">
        <f>'2018-2019 B STATEMENT '!B620</f>
        <v>200</v>
      </c>
      <c r="U83" s="166">
        <f t="shared" si="105"/>
        <v>1.9799999999999998</v>
      </c>
      <c r="V83" s="33">
        <f t="shared" si="106"/>
        <v>-255.63439875352594</v>
      </c>
      <c r="W83" s="167">
        <f t="shared" si="107"/>
        <v>-25.059891931443929</v>
      </c>
      <c r="X83" s="165">
        <f>'2018-2019 B STATEMENT '!B641</f>
        <v>200</v>
      </c>
      <c r="Y83" s="166">
        <f t="shared" si="108"/>
        <v>1.9799999999999998</v>
      </c>
      <c r="Z83" s="33">
        <f t="shared" si="109"/>
        <v>-280.69429068496987</v>
      </c>
      <c r="AA83" s="167">
        <f t="shared" si="110"/>
        <v>-26.438185987673343</v>
      </c>
      <c r="AB83" s="165">
        <f>'2018-2019 B STATEMENT '!B658</f>
        <v>200</v>
      </c>
      <c r="AC83" s="166">
        <f t="shared" si="111"/>
        <v>1.9799999999999998</v>
      </c>
      <c r="AD83" s="33">
        <f t="shared" si="112"/>
        <v>-307.13247667264324</v>
      </c>
      <c r="AE83" s="167">
        <f t="shared" si="113"/>
        <v>-27.892286216995377</v>
      </c>
      <c r="AF83" s="165">
        <f>'2018-2019 B STATEMENT '!B682</f>
        <v>200</v>
      </c>
      <c r="AG83" s="166">
        <f t="shared" si="114"/>
        <v>1.9799999999999998</v>
      </c>
      <c r="AH83" s="33">
        <f t="shared" si="115"/>
        <v>-335.02476288963862</v>
      </c>
      <c r="AI83" s="167">
        <f t="shared" si="116"/>
        <v>-29.426361958930123</v>
      </c>
      <c r="AJ83" s="165">
        <f>'2018-2019 B STATEMENT '!B697</f>
        <v>200</v>
      </c>
      <c r="AK83" s="166">
        <f t="shared" si="117"/>
        <v>1.9799999999999998</v>
      </c>
      <c r="AL83" s="33">
        <f t="shared" si="118"/>
        <v>-364.45112484856872</v>
      </c>
      <c r="AM83" s="167">
        <f t="shared" si="119"/>
        <v>-31.044811866671282</v>
      </c>
      <c r="AN83" s="165">
        <f>'2018-2019 B STATEMENT '!B703</f>
        <v>200</v>
      </c>
      <c r="AO83" s="166">
        <f t="shared" si="120"/>
        <v>1.9799999999999998</v>
      </c>
      <c r="AP83" s="33">
        <f t="shared" si="121"/>
        <v>-395.49593671524002</v>
      </c>
      <c r="AQ83" s="167">
        <f t="shared" si="122"/>
        <v>-32.752276519338203</v>
      </c>
      <c r="AR83" s="165">
        <v>0</v>
      </c>
      <c r="AS83" s="166">
        <f t="shared" si="123"/>
        <v>0</v>
      </c>
      <c r="AT83" s="33">
        <f t="shared" si="124"/>
        <v>-228.24821323457823</v>
      </c>
      <c r="AU83" s="167">
        <f t="shared" si="125"/>
        <v>-12.553651727901803</v>
      </c>
      <c r="AV83" s="165">
        <v>0</v>
      </c>
      <c r="AW83" s="166">
        <f t="shared" si="126"/>
        <v>0</v>
      </c>
      <c r="AX83" s="33">
        <f t="shared" si="127"/>
        <v>-40.801864962480032</v>
      </c>
      <c r="AY83" s="167">
        <f t="shared" si="128"/>
        <v>-2.2441025729364017</v>
      </c>
      <c r="AZ83" s="165">
        <v>0</v>
      </c>
      <c r="BA83" s="166">
        <f t="shared" si="129"/>
        <v>0</v>
      </c>
      <c r="BB83" s="33">
        <f t="shared" si="130"/>
        <v>156.95403246458355</v>
      </c>
      <c r="BC83" s="167">
        <f t="shared" si="131"/>
        <v>8.6324717855520952</v>
      </c>
      <c r="BD83" s="165">
        <v>0</v>
      </c>
      <c r="BE83" s="166">
        <f t="shared" si="132"/>
        <v>0</v>
      </c>
      <c r="BF83" s="33">
        <f t="shared" si="133"/>
        <v>365.58650425013559</v>
      </c>
      <c r="BG83" s="167">
        <f t="shared" si="134"/>
        <v>20.107257733757457</v>
      </c>
      <c r="BH83" s="165">
        <v>0</v>
      </c>
      <c r="BI83" s="166">
        <f t="shared" si="135"/>
        <v>0</v>
      </c>
      <c r="BJ83" s="33">
        <f t="shared" si="136"/>
        <v>585.69376198389307</v>
      </c>
      <c r="BK83" s="167">
        <f t="shared" si="137"/>
        <v>32.213156909114119</v>
      </c>
      <c r="BL83" s="87">
        <f t="shared" si="138"/>
        <v>1400</v>
      </c>
    </row>
    <row r="84" spans="1:64">
      <c r="A84" s="10" t="s">
        <v>655</v>
      </c>
      <c r="B84" s="10" t="s">
        <v>147</v>
      </c>
      <c r="C84" s="80">
        <v>0</v>
      </c>
      <c r="D84" s="79">
        <f t="shared" si="93"/>
        <v>2400</v>
      </c>
      <c r="E84" s="79">
        <f>'2019-2020 New'!J84</f>
        <v>3457.3596271845599</v>
      </c>
      <c r="F84" s="139">
        <f>'2019-2020 New'!F84</f>
        <v>400</v>
      </c>
      <c r="G84" s="187">
        <f t="shared" si="94"/>
        <v>2400</v>
      </c>
      <c r="H84" s="159">
        <f t="shared" si="95"/>
        <v>0</v>
      </c>
      <c r="I84" s="190">
        <f t="shared" si="96"/>
        <v>2400</v>
      </c>
      <c r="J84" s="78">
        <f t="shared" si="139"/>
        <v>10030.517631348819</v>
      </c>
      <c r="K84" s="78">
        <f t="shared" si="97"/>
        <v>0</v>
      </c>
      <c r="L84" s="78">
        <f t="shared" si="98"/>
        <v>0</v>
      </c>
      <c r="M84" s="78">
        <f t="shared" si="99"/>
        <v>4173.1580041642601</v>
      </c>
      <c r="N84" s="194">
        <f t="shared" si="100"/>
        <v>4173.1580041642601</v>
      </c>
      <c r="O84" s="78">
        <f t="shared" si="101"/>
        <v>-4173.1580041642601</v>
      </c>
      <c r="P84" s="165">
        <v>0</v>
      </c>
      <c r="Q84" s="166">
        <f t="shared" si="102"/>
        <v>0</v>
      </c>
      <c r="R84" s="119">
        <f t="shared" si="103"/>
        <v>3657.3596271845599</v>
      </c>
      <c r="S84" s="167">
        <f t="shared" si="104"/>
        <v>201.15477949515079</v>
      </c>
      <c r="T84" s="165">
        <v>0</v>
      </c>
      <c r="U84" s="166">
        <f t="shared" si="105"/>
        <v>0</v>
      </c>
      <c r="V84" s="33">
        <f t="shared" si="106"/>
        <v>4058.5144066797106</v>
      </c>
      <c r="W84" s="167">
        <f t="shared" si="107"/>
        <v>223.21829236738409</v>
      </c>
      <c r="X84" s="165">
        <v>0</v>
      </c>
      <c r="Y84" s="166">
        <f t="shared" si="108"/>
        <v>0</v>
      </c>
      <c r="Z84" s="33">
        <f t="shared" si="109"/>
        <v>4481.7326990470956</v>
      </c>
      <c r="AA84" s="167">
        <f t="shared" si="110"/>
        <v>246.49529844759027</v>
      </c>
      <c r="AB84" s="165">
        <v>0</v>
      </c>
      <c r="AC84" s="166">
        <f t="shared" si="111"/>
        <v>0</v>
      </c>
      <c r="AD84" s="33">
        <f t="shared" si="112"/>
        <v>4928.227997494686</v>
      </c>
      <c r="AE84" s="167">
        <f t="shared" si="113"/>
        <v>271.05253986220771</v>
      </c>
      <c r="AF84" s="165">
        <v>0</v>
      </c>
      <c r="AG84" s="166">
        <f t="shared" si="114"/>
        <v>0</v>
      </c>
      <c r="AH84" s="33">
        <f t="shared" si="115"/>
        <v>5399.2805373568935</v>
      </c>
      <c r="AI84" s="167">
        <f t="shared" si="116"/>
        <v>296.96042955462917</v>
      </c>
      <c r="AJ84" s="165">
        <v>0</v>
      </c>
      <c r="AK84" s="166">
        <f t="shared" si="117"/>
        <v>0</v>
      </c>
      <c r="AL84" s="33">
        <f t="shared" si="118"/>
        <v>5896.2409669115223</v>
      </c>
      <c r="AM84" s="167">
        <f t="shared" si="119"/>
        <v>324.29325318013372</v>
      </c>
      <c r="AN84" s="165">
        <v>0</v>
      </c>
      <c r="AO84" s="166">
        <f t="shared" si="120"/>
        <v>0</v>
      </c>
      <c r="AP84" s="33">
        <f t="shared" si="121"/>
        <v>6420.5342200916557</v>
      </c>
      <c r="AQ84" s="167">
        <f t="shared" si="122"/>
        <v>353.12938210504109</v>
      </c>
      <c r="AR84" s="165">
        <v>0</v>
      </c>
      <c r="AS84" s="166">
        <f t="shared" si="123"/>
        <v>0</v>
      </c>
      <c r="AT84" s="33">
        <f t="shared" si="124"/>
        <v>6973.663602196697</v>
      </c>
      <c r="AU84" s="167">
        <f t="shared" si="125"/>
        <v>383.55149812081834</v>
      </c>
      <c r="AV84" s="165">
        <v>0</v>
      </c>
      <c r="AW84" s="166">
        <f t="shared" si="126"/>
        <v>0</v>
      </c>
      <c r="AX84" s="33">
        <f t="shared" si="127"/>
        <v>7557.215100317515</v>
      </c>
      <c r="AY84" s="167">
        <f t="shared" si="128"/>
        <v>415.64683051746334</v>
      </c>
      <c r="AZ84" s="165">
        <v>0</v>
      </c>
      <c r="BA84" s="166">
        <f t="shared" si="129"/>
        <v>0</v>
      </c>
      <c r="BB84" s="33">
        <f t="shared" si="130"/>
        <v>8172.861930834978</v>
      </c>
      <c r="BC84" s="167">
        <f t="shared" si="131"/>
        <v>449.50740619592381</v>
      </c>
      <c r="BD84" s="165">
        <v>0</v>
      </c>
      <c r="BE84" s="166">
        <f t="shared" si="132"/>
        <v>0</v>
      </c>
      <c r="BF84" s="33">
        <f t="shared" si="133"/>
        <v>8822.3693370309011</v>
      </c>
      <c r="BG84" s="167">
        <f t="shared" si="134"/>
        <v>485.23031353669955</v>
      </c>
      <c r="BH84" s="165">
        <v>0</v>
      </c>
      <c r="BI84" s="166">
        <f t="shared" si="135"/>
        <v>0</v>
      </c>
      <c r="BJ84" s="33">
        <f t="shared" si="136"/>
        <v>9507.5996505676012</v>
      </c>
      <c r="BK84" s="167">
        <f t="shared" si="137"/>
        <v>522.91798078121803</v>
      </c>
      <c r="BL84" s="87">
        <f t="shared" si="138"/>
        <v>0</v>
      </c>
    </row>
    <row r="85" spans="1:64">
      <c r="A85" s="10" t="s">
        <v>656</v>
      </c>
      <c r="B85" s="10" t="s">
        <v>121</v>
      </c>
      <c r="C85" s="80">
        <v>0</v>
      </c>
      <c r="D85" s="79">
        <f t="shared" si="93"/>
        <v>2400</v>
      </c>
      <c r="E85" s="79">
        <f>'2019-2020 New'!J85</f>
        <v>-982.54726059736504</v>
      </c>
      <c r="F85" s="139">
        <f>'2019-2020 New'!F85</f>
        <v>0</v>
      </c>
      <c r="G85" s="187">
        <f t="shared" si="94"/>
        <v>2400</v>
      </c>
      <c r="H85" s="159">
        <f t="shared" si="95"/>
        <v>600</v>
      </c>
      <c r="I85" s="190">
        <f t="shared" si="96"/>
        <v>1800</v>
      </c>
      <c r="J85" s="78">
        <f t="shared" si="139"/>
        <v>630.86340535390173</v>
      </c>
      <c r="K85" s="78">
        <f t="shared" si="97"/>
        <v>5.9399999999999995</v>
      </c>
      <c r="L85" s="78">
        <f t="shared" si="98"/>
        <v>32.673299999999998</v>
      </c>
      <c r="M85" s="78">
        <f t="shared" si="99"/>
        <v>-186.58933404873324</v>
      </c>
      <c r="N85" s="194">
        <f t="shared" si="100"/>
        <v>-186.58933404873324</v>
      </c>
      <c r="O85" s="78">
        <f t="shared" si="101"/>
        <v>813.32263404873322</v>
      </c>
      <c r="P85" s="165">
        <f>'2018-2019 B STATEMENT '!B601</f>
        <v>200</v>
      </c>
      <c r="Q85" s="166">
        <f t="shared" si="102"/>
        <v>1.9799999999999998</v>
      </c>
      <c r="R85" s="119">
        <f t="shared" si="103"/>
        <v>-782.54726059736504</v>
      </c>
      <c r="S85" s="167">
        <f t="shared" si="104"/>
        <v>-54.040099332855078</v>
      </c>
      <c r="T85" s="165">
        <f>'2018-2019 B STATEMENT '!B623</f>
        <v>200</v>
      </c>
      <c r="U85" s="166">
        <f t="shared" si="105"/>
        <v>1.9799999999999998</v>
      </c>
      <c r="V85" s="33">
        <f t="shared" si="106"/>
        <v>-836.58735993022015</v>
      </c>
      <c r="W85" s="167">
        <f t="shared" si="107"/>
        <v>-57.012304796162105</v>
      </c>
      <c r="X85" s="165">
        <f>'2018-2019 B STATEMENT '!B646</f>
        <v>200</v>
      </c>
      <c r="Y85" s="166">
        <f t="shared" si="108"/>
        <v>1.9799999999999998</v>
      </c>
      <c r="Z85" s="33">
        <f t="shared" si="109"/>
        <v>-893.59966472638223</v>
      </c>
      <c r="AA85" s="167">
        <f t="shared" si="110"/>
        <v>-60.147981559951027</v>
      </c>
      <c r="AB85" s="165">
        <v>0</v>
      </c>
      <c r="AC85" s="166">
        <f t="shared" si="111"/>
        <v>0</v>
      </c>
      <c r="AD85" s="33">
        <f t="shared" si="112"/>
        <v>-753.74764628633329</v>
      </c>
      <c r="AE85" s="167">
        <f t="shared" si="113"/>
        <v>-41.456120545748334</v>
      </c>
      <c r="AF85" s="165">
        <v>0</v>
      </c>
      <c r="AG85" s="166">
        <f t="shared" si="114"/>
        <v>0</v>
      </c>
      <c r="AH85" s="33">
        <f t="shared" si="115"/>
        <v>-595.20376683208167</v>
      </c>
      <c r="AI85" s="167">
        <f t="shared" si="116"/>
        <v>-32.736207175764491</v>
      </c>
      <c r="AJ85" s="165">
        <v>0</v>
      </c>
      <c r="AK85" s="166">
        <f t="shared" si="117"/>
        <v>0</v>
      </c>
      <c r="AL85" s="33">
        <f t="shared" si="118"/>
        <v>-427.93997400784616</v>
      </c>
      <c r="AM85" s="167">
        <f t="shared" si="119"/>
        <v>-23.53669857043154</v>
      </c>
      <c r="AN85" s="165">
        <v>0</v>
      </c>
      <c r="AO85" s="166">
        <f t="shared" si="120"/>
        <v>0</v>
      </c>
      <c r="AP85" s="33">
        <f t="shared" si="121"/>
        <v>-251.47667257827771</v>
      </c>
      <c r="AQ85" s="167">
        <f t="shared" si="122"/>
        <v>-13.831216991805274</v>
      </c>
      <c r="AR85" s="165">
        <v>0</v>
      </c>
      <c r="AS85" s="166">
        <f t="shared" si="123"/>
        <v>0</v>
      </c>
      <c r="AT85" s="33">
        <f t="shared" si="124"/>
        <v>-65.307889570082992</v>
      </c>
      <c r="AU85" s="167">
        <f t="shared" si="125"/>
        <v>-3.5919339263545647</v>
      </c>
      <c r="AV85" s="165">
        <v>0</v>
      </c>
      <c r="AW85" s="166">
        <f t="shared" si="126"/>
        <v>0</v>
      </c>
      <c r="AX85" s="33">
        <f t="shared" si="127"/>
        <v>131.10017650356247</v>
      </c>
      <c r="AY85" s="167">
        <f t="shared" si="128"/>
        <v>7.2105097076959357</v>
      </c>
      <c r="AZ85" s="165">
        <v>0</v>
      </c>
      <c r="BA85" s="166">
        <f t="shared" si="129"/>
        <v>0</v>
      </c>
      <c r="BB85" s="33">
        <f t="shared" si="130"/>
        <v>338.31068621125843</v>
      </c>
      <c r="BC85" s="167">
        <f t="shared" si="131"/>
        <v>18.607087741619214</v>
      </c>
      <c r="BD85" s="165">
        <v>0</v>
      </c>
      <c r="BE85" s="166">
        <f t="shared" si="132"/>
        <v>0</v>
      </c>
      <c r="BF85" s="33">
        <f t="shared" si="133"/>
        <v>556.91777395287761</v>
      </c>
      <c r="BG85" s="167">
        <f t="shared" si="134"/>
        <v>30.630477567408267</v>
      </c>
      <c r="BH85" s="165">
        <v>0</v>
      </c>
      <c r="BI85" s="166">
        <f t="shared" si="135"/>
        <v>0</v>
      </c>
      <c r="BJ85" s="33">
        <f t="shared" si="136"/>
        <v>787.54825152028593</v>
      </c>
      <c r="BK85" s="167">
        <f t="shared" si="137"/>
        <v>43.315153833615724</v>
      </c>
      <c r="BL85" s="87">
        <f t="shared" si="138"/>
        <v>600</v>
      </c>
    </row>
    <row r="86" spans="1:64">
      <c r="A86" s="10" t="s">
        <v>657</v>
      </c>
      <c r="B86" s="10" t="s">
        <v>145</v>
      </c>
      <c r="C86" s="80">
        <v>0</v>
      </c>
      <c r="D86" s="79">
        <f t="shared" si="93"/>
        <v>2400</v>
      </c>
      <c r="E86" s="79">
        <f>'2019-2020 New'!J86</f>
        <v>3339.3117869550988</v>
      </c>
      <c r="F86" s="139">
        <f>'2019-2020 New'!F86</f>
        <v>600</v>
      </c>
      <c r="G86" s="187">
        <f t="shared" si="94"/>
        <v>2400</v>
      </c>
      <c r="H86" s="159">
        <f t="shared" si="95"/>
        <v>500</v>
      </c>
      <c r="I86" s="190">
        <f t="shared" si="96"/>
        <v>1900</v>
      </c>
      <c r="J86" s="78">
        <f t="shared" si="139"/>
        <v>9256.5266527289004</v>
      </c>
      <c r="K86" s="78">
        <f t="shared" si="97"/>
        <v>4.9499999999999993</v>
      </c>
      <c r="L86" s="78">
        <f t="shared" si="98"/>
        <v>27.22775</v>
      </c>
      <c r="M86" s="78">
        <f t="shared" si="99"/>
        <v>4017.2148657738021</v>
      </c>
      <c r="N86" s="194">
        <f t="shared" si="100"/>
        <v>4017.2148657738021</v>
      </c>
      <c r="O86" s="78">
        <f t="shared" si="101"/>
        <v>-3494.9371157738019</v>
      </c>
      <c r="P86" s="165">
        <f>'2018-2019 B STATEMENT '!B594+'2018-2019 B STATEMENT '!B595</f>
        <v>500</v>
      </c>
      <c r="Q86" s="166">
        <f t="shared" si="102"/>
        <v>4.9499999999999993</v>
      </c>
      <c r="R86" s="119">
        <f t="shared" si="103"/>
        <v>3539.3117869550988</v>
      </c>
      <c r="S86" s="167">
        <f t="shared" si="104"/>
        <v>167.16214828253044</v>
      </c>
      <c r="T86" s="165">
        <v>0</v>
      </c>
      <c r="U86" s="166">
        <f t="shared" si="105"/>
        <v>0</v>
      </c>
      <c r="V86" s="33">
        <f t="shared" si="106"/>
        <v>3906.4739352376291</v>
      </c>
      <c r="W86" s="167">
        <f t="shared" si="107"/>
        <v>214.8560664380696</v>
      </c>
      <c r="X86" s="165">
        <v>0</v>
      </c>
      <c r="Y86" s="166">
        <f t="shared" si="108"/>
        <v>0</v>
      </c>
      <c r="Z86" s="33">
        <f t="shared" si="109"/>
        <v>4321.3300016756984</v>
      </c>
      <c r="AA86" s="167">
        <f t="shared" si="110"/>
        <v>237.67315009216341</v>
      </c>
      <c r="AB86" s="165">
        <v>0</v>
      </c>
      <c r="AC86" s="166">
        <f t="shared" si="111"/>
        <v>0</v>
      </c>
      <c r="AD86" s="33">
        <f t="shared" si="112"/>
        <v>4759.0031517678617</v>
      </c>
      <c r="AE86" s="167">
        <f t="shared" si="113"/>
        <v>261.74517334723242</v>
      </c>
      <c r="AF86" s="165">
        <v>0</v>
      </c>
      <c r="AG86" s="166">
        <f t="shared" si="114"/>
        <v>0</v>
      </c>
      <c r="AH86" s="33">
        <f t="shared" si="115"/>
        <v>5220.7483251150943</v>
      </c>
      <c r="AI86" s="167">
        <f t="shared" si="116"/>
        <v>287.14115788133017</v>
      </c>
      <c r="AJ86" s="165">
        <v>0</v>
      </c>
      <c r="AK86" s="166">
        <f t="shared" si="117"/>
        <v>0</v>
      </c>
      <c r="AL86" s="33">
        <f t="shared" si="118"/>
        <v>5707.8894829964247</v>
      </c>
      <c r="AM86" s="167">
        <f t="shared" si="119"/>
        <v>313.93392156480337</v>
      </c>
      <c r="AN86" s="165">
        <v>0</v>
      </c>
      <c r="AO86" s="166">
        <f t="shared" si="120"/>
        <v>0</v>
      </c>
      <c r="AP86" s="33">
        <f t="shared" si="121"/>
        <v>6221.823404561228</v>
      </c>
      <c r="AQ86" s="167">
        <f t="shared" si="122"/>
        <v>342.20028725086752</v>
      </c>
      <c r="AR86" s="165">
        <v>0</v>
      </c>
      <c r="AS86" s="166">
        <f t="shared" si="123"/>
        <v>0</v>
      </c>
      <c r="AT86" s="33">
        <f t="shared" si="124"/>
        <v>6764.0236918120954</v>
      </c>
      <c r="AU86" s="167">
        <f t="shared" si="125"/>
        <v>372.02130304966528</v>
      </c>
      <c r="AV86" s="165">
        <v>0</v>
      </c>
      <c r="AW86" s="166">
        <f t="shared" si="126"/>
        <v>0</v>
      </c>
      <c r="AX86" s="33">
        <f t="shared" si="127"/>
        <v>7336.0449948617606</v>
      </c>
      <c r="AY86" s="167">
        <f t="shared" si="128"/>
        <v>403.48247471739683</v>
      </c>
      <c r="AZ86" s="165">
        <v>0</v>
      </c>
      <c r="BA86" s="166">
        <f t="shared" si="129"/>
        <v>0</v>
      </c>
      <c r="BB86" s="33">
        <f t="shared" si="130"/>
        <v>7939.5274695791577</v>
      </c>
      <c r="BC86" s="167">
        <f t="shared" si="131"/>
        <v>436.6740108268537</v>
      </c>
      <c r="BD86" s="165">
        <v>0</v>
      </c>
      <c r="BE86" s="166">
        <f t="shared" si="132"/>
        <v>0</v>
      </c>
      <c r="BF86" s="33">
        <f t="shared" si="133"/>
        <v>8576.2014804060109</v>
      </c>
      <c r="BG86" s="167">
        <f t="shared" si="134"/>
        <v>471.69108142233063</v>
      </c>
      <c r="BH86" s="165">
        <v>0</v>
      </c>
      <c r="BI86" s="166">
        <f t="shared" si="135"/>
        <v>0</v>
      </c>
      <c r="BJ86" s="33">
        <f t="shared" si="136"/>
        <v>9247.8925618283411</v>
      </c>
      <c r="BK86" s="167">
        <f t="shared" si="137"/>
        <v>508.63409090055876</v>
      </c>
      <c r="BL86" s="87">
        <f t="shared" si="138"/>
        <v>500</v>
      </c>
    </row>
    <row r="87" spans="1:64">
      <c r="A87" s="10" t="s">
        <v>658</v>
      </c>
      <c r="B87" s="10" t="s">
        <v>146</v>
      </c>
      <c r="C87" s="80">
        <v>0</v>
      </c>
      <c r="D87" s="79">
        <f t="shared" si="93"/>
        <v>2400</v>
      </c>
      <c r="E87" s="79">
        <f>'2019-2020 New'!J87</f>
        <v>5205.5155613929983</v>
      </c>
      <c r="F87" s="139">
        <f>'2019-2020 New'!F87</f>
        <v>3400</v>
      </c>
      <c r="G87" s="187">
        <f t="shared" si="94"/>
        <v>2400</v>
      </c>
      <c r="H87" s="159">
        <f t="shared" si="95"/>
        <v>0</v>
      </c>
      <c r="I87" s="190">
        <f t="shared" si="96"/>
        <v>2400</v>
      </c>
      <c r="J87" s="78">
        <f t="shared" si="139"/>
        <v>13354.124779739934</v>
      </c>
      <c r="K87" s="78">
        <f t="shared" si="97"/>
        <v>0</v>
      </c>
      <c r="L87" s="78">
        <f t="shared" si="98"/>
        <v>0</v>
      </c>
      <c r="M87" s="78">
        <f t="shared" si="99"/>
        <v>5748.6092183469364</v>
      </c>
      <c r="N87" s="194">
        <f t="shared" si="100"/>
        <v>5748.6092183469364</v>
      </c>
      <c r="O87" s="78">
        <f t="shared" si="101"/>
        <v>-5748.6092183469364</v>
      </c>
      <c r="P87" s="165">
        <v>0</v>
      </c>
      <c r="Q87" s="166">
        <f t="shared" si="102"/>
        <v>0</v>
      </c>
      <c r="R87" s="119">
        <f t="shared" si="103"/>
        <v>5405.5155613929983</v>
      </c>
      <c r="S87" s="167">
        <f t="shared" si="104"/>
        <v>297.30335587661489</v>
      </c>
      <c r="T87" s="165">
        <v>0</v>
      </c>
      <c r="U87" s="166">
        <f t="shared" si="105"/>
        <v>0</v>
      </c>
      <c r="V87" s="33">
        <f t="shared" si="106"/>
        <v>5902.8189172696129</v>
      </c>
      <c r="W87" s="167">
        <f t="shared" si="107"/>
        <v>324.65504044982873</v>
      </c>
      <c r="X87" s="165">
        <v>0</v>
      </c>
      <c r="Y87" s="166">
        <f t="shared" si="108"/>
        <v>0</v>
      </c>
      <c r="Z87" s="33">
        <f t="shared" si="109"/>
        <v>6427.4739577194414</v>
      </c>
      <c r="AA87" s="167">
        <f t="shared" si="110"/>
        <v>353.51106767456929</v>
      </c>
      <c r="AB87" s="165">
        <v>0</v>
      </c>
      <c r="AC87" s="166">
        <f t="shared" si="111"/>
        <v>0</v>
      </c>
      <c r="AD87" s="33">
        <f t="shared" si="112"/>
        <v>6980.9850253940103</v>
      </c>
      <c r="AE87" s="167">
        <f t="shared" si="113"/>
        <v>383.95417639667056</v>
      </c>
      <c r="AF87" s="165">
        <v>0</v>
      </c>
      <c r="AG87" s="166">
        <f t="shared" si="114"/>
        <v>0</v>
      </c>
      <c r="AH87" s="33">
        <f t="shared" si="115"/>
        <v>7564.9392017906812</v>
      </c>
      <c r="AI87" s="167">
        <f t="shared" si="116"/>
        <v>416.07165609848749</v>
      </c>
      <c r="AJ87" s="165">
        <v>0</v>
      </c>
      <c r="AK87" s="166">
        <f t="shared" si="117"/>
        <v>0</v>
      </c>
      <c r="AL87" s="33">
        <f t="shared" si="118"/>
        <v>8181.0108578891686</v>
      </c>
      <c r="AM87" s="167">
        <f t="shared" si="119"/>
        <v>449.95559718390427</v>
      </c>
      <c r="AN87" s="165">
        <v>0</v>
      </c>
      <c r="AO87" s="166">
        <f t="shared" si="120"/>
        <v>0</v>
      </c>
      <c r="AP87" s="33">
        <f t="shared" si="121"/>
        <v>8830.9664550730722</v>
      </c>
      <c r="AQ87" s="167">
        <f t="shared" si="122"/>
        <v>485.703155029019</v>
      </c>
      <c r="AR87" s="165">
        <v>0</v>
      </c>
      <c r="AS87" s="166">
        <f t="shared" si="123"/>
        <v>0</v>
      </c>
      <c r="AT87" s="33">
        <f t="shared" si="124"/>
        <v>9516.6696101020916</v>
      </c>
      <c r="AU87" s="167">
        <f t="shared" si="125"/>
        <v>523.4168285556151</v>
      </c>
      <c r="AV87" s="165">
        <v>0</v>
      </c>
      <c r="AW87" s="166">
        <f t="shared" si="126"/>
        <v>0</v>
      </c>
      <c r="AX87" s="33">
        <f t="shared" si="127"/>
        <v>10240.086438657707</v>
      </c>
      <c r="AY87" s="167">
        <f t="shared" si="128"/>
        <v>563.20475412617384</v>
      </c>
      <c r="AZ87" s="165">
        <v>0</v>
      </c>
      <c r="BA87" s="166">
        <f t="shared" si="129"/>
        <v>0</v>
      </c>
      <c r="BB87" s="33">
        <f t="shared" si="130"/>
        <v>11003.291192783881</v>
      </c>
      <c r="BC87" s="167">
        <f t="shared" si="131"/>
        <v>605.18101560311345</v>
      </c>
      <c r="BD87" s="165">
        <v>0</v>
      </c>
      <c r="BE87" s="166">
        <f t="shared" si="132"/>
        <v>0</v>
      </c>
      <c r="BF87" s="33">
        <f t="shared" si="133"/>
        <v>11808.472208386995</v>
      </c>
      <c r="BG87" s="167">
        <f t="shared" si="134"/>
        <v>649.46597146128477</v>
      </c>
      <c r="BH87" s="165">
        <v>0</v>
      </c>
      <c r="BI87" s="166">
        <f t="shared" si="135"/>
        <v>0</v>
      </c>
      <c r="BJ87" s="33">
        <f t="shared" si="136"/>
        <v>12657.938179848279</v>
      </c>
      <c r="BK87" s="167">
        <f t="shared" si="137"/>
        <v>696.18659989165531</v>
      </c>
      <c r="BL87" s="87">
        <f t="shared" si="138"/>
        <v>0</v>
      </c>
    </row>
    <row r="88" spans="1:64">
      <c r="A88" s="10" t="s">
        <v>659</v>
      </c>
      <c r="B88" s="10" t="s">
        <v>133</v>
      </c>
      <c r="C88" s="80">
        <v>0</v>
      </c>
      <c r="D88" s="79">
        <f t="shared" si="93"/>
        <v>2400</v>
      </c>
      <c r="E88" s="79">
        <f>'2019-2020 New'!J88</f>
        <v>8020.2575930061794</v>
      </c>
      <c r="F88" s="139">
        <f>'2019-2020 New'!F88</f>
        <v>0</v>
      </c>
      <c r="G88" s="187">
        <f t="shared" si="94"/>
        <v>2400</v>
      </c>
      <c r="H88" s="159">
        <f t="shared" si="95"/>
        <v>0</v>
      </c>
      <c r="I88" s="190">
        <f t="shared" si="96"/>
        <v>2400</v>
      </c>
      <c r="J88" s="78">
        <f t="shared" si="139"/>
        <v>18705.533400723434</v>
      </c>
      <c r="K88" s="78">
        <f t="shared" si="97"/>
        <v>0</v>
      </c>
      <c r="L88" s="78">
        <f t="shared" si="98"/>
        <v>0</v>
      </c>
      <c r="M88" s="78">
        <f t="shared" si="99"/>
        <v>8285.2758077172566</v>
      </c>
      <c r="N88" s="194">
        <f t="shared" si="100"/>
        <v>8285.2758077172566</v>
      </c>
      <c r="O88" s="78">
        <f t="shared" si="101"/>
        <v>-8285.2758077172566</v>
      </c>
      <c r="P88" s="165">
        <v>0</v>
      </c>
      <c r="Q88" s="166">
        <f t="shared" si="102"/>
        <v>0</v>
      </c>
      <c r="R88" s="119">
        <f t="shared" si="103"/>
        <v>8220.2575930061794</v>
      </c>
      <c r="S88" s="167">
        <f t="shared" si="104"/>
        <v>452.11416761533985</v>
      </c>
      <c r="T88" s="165">
        <v>0</v>
      </c>
      <c r="U88" s="166">
        <f t="shared" si="105"/>
        <v>0</v>
      </c>
      <c r="V88" s="33">
        <f t="shared" si="106"/>
        <v>8872.3717606215196</v>
      </c>
      <c r="W88" s="167">
        <f t="shared" si="107"/>
        <v>487.98044683418357</v>
      </c>
      <c r="X88" s="165">
        <v>0</v>
      </c>
      <c r="Y88" s="166">
        <f t="shared" si="108"/>
        <v>0</v>
      </c>
      <c r="Z88" s="33">
        <f t="shared" si="109"/>
        <v>9560.352207455704</v>
      </c>
      <c r="AA88" s="167">
        <f t="shared" si="110"/>
        <v>525.8193714100637</v>
      </c>
      <c r="AB88" s="165">
        <v>0</v>
      </c>
      <c r="AC88" s="166">
        <f t="shared" si="111"/>
        <v>0</v>
      </c>
      <c r="AD88" s="33">
        <f t="shared" si="112"/>
        <v>10286.171578865768</v>
      </c>
      <c r="AE88" s="167">
        <f t="shared" si="113"/>
        <v>565.73943683761718</v>
      </c>
      <c r="AF88" s="165">
        <v>0</v>
      </c>
      <c r="AG88" s="166">
        <f t="shared" si="114"/>
        <v>0</v>
      </c>
      <c r="AH88" s="33">
        <f t="shared" si="115"/>
        <v>11051.911015703385</v>
      </c>
      <c r="AI88" s="167">
        <f t="shared" si="116"/>
        <v>607.85510586368616</v>
      </c>
      <c r="AJ88" s="165">
        <v>0</v>
      </c>
      <c r="AK88" s="166">
        <f t="shared" si="117"/>
        <v>0</v>
      </c>
      <c r="AL88" s="33">
        <f t="shared" si="118"/>
        <v>11859.766121567071</v>
      </c>
      <c r="AM88" s="167">
        <f t="shared" si="119"/>
        <v>652.28713668618889</v>
      </c>
      <c r="AN88" s="165">
        <v>0</v>
      </c>
      <c r="AO88" s="166">
        <f t="shared" si="120"/>
        <v>0</v>
      </c>
      <c r="AP88" s="33">
        <f t="shared" si="121"/>
        <v>12712.05325825326</v>
      </c>
      <c r="AQ88" s="167">
        <f t="shared" si="122"/>
        <v>699.16292920392925</v>
      </c>
      <c r="AR88" s="165">
        <v>0</v>
      </c>
      <c r="AS88" s="166">
        <f t="shared" si="123"/>
        <v>0</v>
      </c>
      <c r="AT88" s="33">
        <f t="shared" si="124"/>
        <v>13611.216187457188</v>
      </c>
      <c r="AU88" s="167">
        <f t="shared" si="125"/>
        <v>748.61689031014532</v>
      </c>
      <c r="AV88" s="165">
        <v>0</v>
      </c>
      <c r="AW88" s="166">
        <f t="shared" si="126"/>
        <v>0</v>
      </c>
      <c r="AX88" s="33">
        <f t="shared" si="127"/>
        <v>14559.833077767335</v>
      </c>
      <c r="AY88" s="167">
        <f t="shared" si="128"/>
        <v>800.79081927720335</v>
      </c>
      <c r="AZ88" s="165">
        <v>0</v>
      </c>
      <c r="BA88" s="166">
        <f t="shared" si="129"/>
        <v>0</v>
      </c>
      <c r="BB88" s="33">
        <f t="shared" si="130"/>
        <v>15560.623897044537</v>
      </c>
      <c r="BC88" s="167">
        <f t="shared" si="131"/>
        <v>855.83431433744954</v>
      </c>
      <c r="BD88" s="165">
        <v>0</v>
      </c>
      <c r="BE88" s="166">
        <f t="shared" si="132"/>
        <v>0</v>
      </c>
      <c r="BF88" s="33">
        <f t="shared" si="133"/>
        <v>16616.458211381985</v>
      </c>
      <c r="BG88" s="167">
        <f t="shared" si="134"/>
        <v>913.90520162600922</v>
      </c>
      <c r="BH88" s="165">
        <v>0</v>
      </c>
      <c r="BI88" s="166">
        <f t="shared" si="135"/>
        <v>0</v>
      </c>
      <c r="BJ88" s="33">
        <f t="shared" si="136"/>
        <v>17730.363413007995</v>
      </c>
      <c r="BK88" s="167">
        <f t="shared" si="137"/>
        <v>975.16998771543979</v>
      </c>
      <c r="BL88" s="87">
        <f t="shared" si="138"/>
        <v>0</v>
      </c>
    </row>
    <row r="89" spans="1:64">
      <c r="A89" s="10" t="s">
        <v>660</v>
      </c>
      <c r="B89" s="10" t="s">
        <v>134</v>
      </c>
      <c r="C89" s="80">
        <v>0</v>
      </c>
      <c r="D89" s="79">
        <f t="shared" si="93"/>
        <v>2400</v>
      </c>
      <c r="E89" s="79">
        <f>'2019-2020 New'!J89</f>
        <v>5928.9293586712702</v>
      </c>
      <c r="F89" s="139">
        <f>'2019-2020 New'!F89</f>
        <v>200</v>
      </c>
      <c r="G89" s="187">
        <f t="shared" si="94"/>
        <v>2400</v>
      </c>
      <c r="H89" s="159">
        <f t="shared" si="95"/>
        <v>0</v>
      </c>
      <c r="I89" s="190">
        <f t="shared" si="96"/>
        <v>2400</v>
      </c>
      <c r="J89" s="78">
        <f t="shared" si="139"/>
        <v>14729.484506426736</v>
      </c>
      <c r="K89" s="78">
        <f t="shared" si="97"/>
        <v>0</v>
      </c>
      <c r="L89" s="78">
        <f t="shared" si="98"/>
        <v>0</v>
      </c>
      <c r="M89" s="78">
        <f t="shared" si="99"/>
        <v>6400.5551477554654</v>
      </c>
      <c r="N89" s="194">
        <f t="shared" si="100"/>
        <v>6400.5551477554654</v>
      </c>
      <c r="O89" s="78">
        <f t="shared" si="101"/>
        <v>-6400.5551477554654</v>
      </c>
      <c r="P89" s="165">
        <v>0</v>
      </c>
      <c r="Q89" s="166">
        <f t="shared" si="102"/>
        <v>0</v>
      </c>
      <c r="R89" s="119">
        <f t="shared" si="103"/>
        <v>6128.9293586712702</v>
      </c>
      <c r="S89" s="167">
        <f t="shared" si="104"/>
        <v>337.09111472691984</v>
      </c>
      <c r="T89" s="165">
        <v>0</v>
      </c>
      <c r="U89" s="166">
        <f t="shared" si="105"/>
        <v>0</v>
      </c>
      <c r="V89" s="33">
        <f t="shared" si="106"/>
        <v>6666.02047339819</v>
      </c>
      <c r="W89" s="167">
        <f t="shared" si="107"/>
        <v>366.63112603690047</v>
      </c>
      <c r="X89" s="165">
        <v>0</v>
      </c>
      <c r="Y89" s="166">
        <f t="shared" si="108"/>
        <v>0</v>
      </c>
      <c r="Z89" s="33">
        <f t="shared" si="109"/>
        <v>7232.6515994350902</v>
      </c>
      <c r="AA89" s="167">
        <f t="shared" si="110"/>
        <v>397.79583796892996</v>
      </c>
      <c r="AB89" s="165">
        <v>0</v>
      </c>
      <c r="AC89" s="166">
        <f t="shared" si="111"/>
        <v>0</v>
      </c>
      <c r="AD89" s="33">
        <f t="shared" si="112"/>
        <v>7830.4474374040201</v>
      </c>
      <c r="AE89" s="167">
        <f t="shared" si="113"/>
        <v>430.67460905722112</v>
      </c>
      <c r="AF89" s="165">
        <v>0</v>
      </c>
      <c r="AG89" s="166">
        <f t="shared" si="114"/>
        <v>0</v>
      </c>
      <c r="AH89" s="33">
        <f t="shared" si="115"/>
        <v>8461.1220464612416</v>
      </c>
      <c r="AI89" s="167">
        <f t="shared" si="116"/>
        <v>465.36171255536829</v>
      </c>
      <c r="AJ89" s="165">
        <v>0</v>
      </c>
      <c r="AK89" s="166">
        <f t="shared" si="117"/>
        <v>0</v>
      </c>
      <c r="AL89" s="33">
        <f t="shared" si="118"/>
        <v>9126.4837590166098</v>
      </c>
      <c r="AM89" s="167">
        <f t="shared" si="119"/>
        <v>501.95660674591352</v>
      </c>
      <c r="AN89" s="165">
        <v>0</v>
      </c>
      <c r="AO89" s="166">
        <f t="shared" si="120"/>
        <v>0</v>
      </c>
      <c r="AP89" s="33">
        <f t="shared" si="121"/>
        <v>9828.4403657625226</v>
      </c>
      <c r="AQ89" s="167">
        <f t="shared" si="122"/>
        <v>540.56422011693871</v>
      </c>
      <c r="AR89" s="165">
        <v>0</v>
      </c>
      <c r="AS89" s="166">
        <f t="shared" si="123"/>
        <v>0</v>
      </c>
      <c r="AT89" s="33">
        <f t="shared" si="124"/>
        <v>10569.004585879462</v>
      </c>
      <c r="AU89" s="167">
        <f t="shared" si="125"/>
        <v>581.29525222337043</v>
      </c>
      <c r="AV89" s="165">
        <v>0</v>
      </c>
      <c r="AW89" s="166">
        <f t="shared" si="126"/>
        <v>0</v>
      </c>
      <c r="AX89" s="33">
        <f t="shared" si="127"/>
        <v>11350.299838102832</v>
      </c>
      <c r="AY89" s="167">
        <f t="shared" si="128"/>
        <v>624.26649109565574</v>
      </c>
      <c r="AZ89" s="165">
        <v>0</v>
      </c>
      <c r="BA89" s="166">
        <f t="shared" si="129"/>
        <v>0</v>
      </c>
      <c r="BB89" s="33">
        <f t="shared" si="130"/>
        <v>12174.566329198487</v>
      </c>
      <c r="BC89" s="167">
        <f t="shared" si="131"/>
        <v>669.60114810591676</v>
      </c>
      <c r="BD89" s="165">
        <v>0</v>
      </c>
      <c r="BE89" s="166">
        <f t="shared" si="132"/>
        <v>0</v>
      </c>
      <c r="BF89" s="33">
        <f t="shared" si="133"/>
        <v>13044.167477304403</v>
      </c>
      <c r="BG89" s="167">
        <f t="shared" si="134"/>
        <v>717.42921125174223</v>
      </c>
      <c r="BH89" s="165">
        <v>0</v>
      </c>
      <c r="BI89" s="166">
        <f t="shared" si="135"/>
        <v>0</v>
      </c>
      <c r="BJ89" s="33">
        <f t="shared" si="136"/>
        <v>13961.596688556145</v>
      </c>
      <c r="BK89" s="167">
        <f t="shared" si="137"/>
        <v>767.88781787058792</v>
      </c>
      <c r="BL89" s="87">
        <f t="shared" si="138"/>
        <v>0</v>
      </c>
    </row>
    <row r="90" spans="1:64">
      <c r="A90" s="10" t="s">
        <v>661</v>
      </c>
      <c r="B90" s="10" t="s">
        <v>116</v>
      </c>
      <c r="C90" s="80">
        <v>0</v>
      </c>
      <c r="D90" s="79">
        <f t="shared" si="93"/>
        <v>2400</v>
      </c>
      <c r="E90" s="79">
        <f>'2019-2020 New'!J90</f>
        <v>2996.1911843822563</v>
      </c>
      <c r="F90" s="139">
        <f>'2019-2020 New'!F90</f>
        <v>0</v>
      </c>
      <c r="G90" s="187">
        <f t="shared" si="94"/>
        <v>2400</v>
      </c>
      <c r="H90" s="159">
        <f t="shared" si="95"/>
        <v>0</v>
      </c>
      <c r="I90" s="190">
        <f t="shared" si="96"/>
        <v>2400</v>
      </c>
      <c r="J90" s="78">
        <f t="shared" si="139"/>
        <v>9153.7407356972544</v>
      </c>
      <c r="K90" s="78">
        <f t="shared" si="97"/>
        <v>0</v>
      </c>
      <c r="L90" s="78">
        <f t="shared" si="98"/>
        <v>0</v>
      </c>
      <c r="M90" s="78">
        <f t="shared" si="99"/>
        <v>3757.5495513149986</v>
      </c>
      <c r="N90" s="194">
        <f t="shared" si="100"/>
        <v>3757.5495513149986</v>
      </c>
      <c r="O90" s="78">
        <f t="shared" si="101"/>
        <v>-3757.5495513149986</v>
      </c>
      <c r="P90" s="165">
        <v>0</v>
      </c>
      <c r="Q90" s="166">
        <f t="shared" si="102"/>
        <v>0</v>
      </c>
      <c r="R90" s="119">
        <f t="shared" si="103"/>
        <v>3196.1911843822563</v>
      </c>
      <c r="S90" s="167">
        <f t="shared" si="104"/>
        <v>175.79051514102409</v>
      </c>
      <c r="T90" s="165">
        <v>0</v>
      </c>
      <c r="U90" s="166">
        <f t="shared" si="105"/>
        <v>0</v>
      </c>
      <c r="V90" s="33">
        <f t="shared" si="106"/>
        <v>3571.9816995232804</v>
      </c>
      <c r="W90" s="167">
        <f t="shared" si="107"/>
        <v>196.45899347378042</v>
      </c>
      <c r="X90" s="165">
        <v>0</v>
      </c>
      <c r="Y90" s="166">
        <f t="shared" si="108"/>
        <v>0</v>
      </c>
      <c r="Z90" s="33">
        <f t="shared" si="109"/>
        <v>3968.440692997061</v>
      </c>
      <c r="AA90" s="167">
        <f t="shared" si="110"/>
        <v>218.26423811483835</v>
      </c>
      <c r="AB90" s="165">
        <v>0</v>
      </c>
      <c r="AC90" s="166">
        <f t="shared" si="111"/>
        <v>0</v>
      </c>
      <c r="AD90" s="33">
        <f t="shared" si="112"/>
        <v>4386.704931111899</v>
      </c>
      <c r="AE90" s="167">
        <f t="shared" si="113"/>
        <v>241.26877121115444</v>
      </c>
      <c r="AF90" s="165">
        <v>0</v>
      </c>
      <c r="AG90" s="166">
        <f t="shared" si="114"/>
        <v>0</v>
      </c>
      <c r="AH90" s="33">
        <f t="shared" si="115"/>
        <v>4827.9737023230537</v>
      </c>
      <c r="AI90" s="167">
        <f t="shared" si="116"/>
        <v>265.53855362776795</v>
      </c>
      <c r="AJ90" s="165">
        <v>0</v>
      </c>
      <c r="AK90" s="166">
        <f t="shared" si="117"/>
        <v>0</v>
      </c>
      <c r="AL90" s="33">
        <f t="shared" si="118"/>
        <v>5293.5122559508218</v>
      </c>
      <c r="AM90" s="167">
        <f t="shared" si="119"/>
        <v>291.14317407729521</v>
      </c>
      <c r="AN90" s="165">
        <v>0</v>
      </c>
      <c r="AO90" s="166">
        <f t="shared" si="120"/>
        <v>0</v>
      </c>
      <c r="AP90" s="33">
        <f t="shared" si="121"/>
        <v>5784.6554300281168</v>
      </c>
      <c r="AQ90" s="167">
        <f t="shared" si="122"/>
        <v>318.15604865154643</v>
      </c>
      <c r="AR90" s="165">
        <v>0</v>
      </c>
      <c r="AS90" s="166">
        <f t="shared" si="123"/>
        <v>0</v>
      </c>
      <c r="AT90" s="33">
        <f t="shared" si="124"/>
        <v>6302.8114786796632</v>
      </c>
      <c r="AU90" s="167">
        <f t="shared" si="125"/>
        <v>346.65463132738148</v>
      </c>
      <c r="AV90" s="165">
        <v>0</v>
      </c>
      <c r="AW90" s="166">
        <f t="shared" si="126"/>
        <v>0</v>
      </c>
      <c r="AX90" s="33">
        <f t="shared" si="127"/>
        <v>6849.4661100070443</v>
      </c>
      <c r="AY90" s="167">
        <f t="shared" si="128"/>
        <v>376.72063605038744</v>
      </c>
      <c r="AZ90" s="165">
        <v>0</v>
      </c>
      <c r="BA90" s="166">
        <f t="shared" si="129"/>
        <v>0</v>
      </c>
      <c r="BB90" s="33">
        <f t="shared" si="130"/>
        <v>7426.1867460574322</v>
      </c>
      <c r="BC90" s="167">
        <f t="shared" si="131"/>
        <v>408.44027103315875</v>
      </c>
      <c r="BD90" s="165">
        <v>0</v>
      </c>
      <c r="BE90" s="166">
        <f t="shared" si="132"/>
        <v>0</v>
      </c>
      <c r="BF90" s="33">
        <f t="shared" si="133"/>
        <v>8034.6270170905909</v>
      </c>
      <c r="BG90" s="167">
        <f t="shared" si="134"/>
        <v>441.90448593998252</v>
      </c>
      <c r="BH90" s="165">
        <v>0</v>
      </c>
      <c r="BI90" s="166">
        <f t="shared" si="135"/>
        <v>0</v>
      </c>
      <c r="BJ90" s="33">
        <f t="shared" si="136"/>
        <v>8676.5315030305737</v>
      </c>
      <c r="BK90" s="167">
        <f t="shared" si="137"/>
        <v>477.20923266668154</v>
      </c>
      <c r="BL90" s="87">
        <f t="shared" si="138"/>
        <v>0</v>
      </c>
    </row>
    <row r="91" spans="1:64" ht="14.65" thickBot="1">
      <c r="C91" s="117">
        <f>SUM(C2:C90)</f>
        <v>100</v>
      </c>
      <c r="D91" s="117">
        <f>SUM(D2:D90)</f>
        <v>213600</v>
      </c>
      <c r="E91" s="117">
        <f>SUM(E2:E90)</f>
        <v>354742.76395330287</v>
      </c>
      <c r="G91" s="117">
        <f t="shared" ref="G91:AL91" si="140">SUM(G2:G90)</f>
        <v>213700</v>
      </c>
      <c r="H91" s="192">
        <f t="shared" si="140"/>
        <v>88663.819999999992</v>
      </c>
      <c r="I91" s="117">
        <f t="shared" si="140"/>
        <v>124936.18000000001</v>
      </c>
      <c r="J91" s="117">
        <f t="shared" si="140"/>
        <v>854016.316118396</v>
      </c>
      <c r="K91" s="117">
        <f t="shared" si="140"/>
        <v>900.67381800000032</v>
      </c>
      <c r="L91" s="117">
        <f t="shared" si="140"/>
        <v>4821.4730400100016</v>
      </c>
      <c r="M91" s="117">
        <f t="shared" si="140"/>
        <v>374337.37216509361</v>
      </c>
      <c r="N91" s="195">
        <f t="shared" si="140"/>
        <v>374337.37216509361</v>
      </c>
      <c r="O91" s="117">
        <f t="shared" si="140"/>
        <v>-281752.75294308353</v>
      </c>
      <c r="P91" s="172">
        <f t="shared" si="140"/>
        <v>16150</v>
      </c>
      <c r="Q91" s="177">
        <f t="shared" si="140"/>
        <v>159.88499999999993</v>
      </c>
      <c r="R91" s="117">
        <f t="shared" si="140"/>
        <v>372542.76395330281</v>
      </c>
      <c r="S91" s="176">
        <f t="shared" si="140"/>
        <v>19601.602017431651</v>
      </c>
      <c r="T91" s="172">
        <f t="shared" si="140"/>
        <v>8788.67</v>
      </c>
      <c r="U91" s="177">
        <f t="shared" si="140"/>
        <v>87.007833000000005</v>
      </c>
      <c r="V91" s="117">
        <f t="shared" si="140"/>
        <v>401155.69597073441</v>
      </c>
      <c r="W91" s="176">
        <f t="shared" si="140"/>
        <v>21580.186428390403</v>
      </c>
      <c r="X91" s="172">
        <f t="shared" si="140"/>
        <v>10715.15</v>
      </c>
      <c r="Y91" s="177">
        <f t="shared" si="140"/>
        <v>106.07998499999999</v>
      </c>
      <c r="Z91" s="117">
        <f t="shared" si="140"/>
        <v>429820.73239912477</v>
      </c>
      <c r="AA91" s="176">
        <f t="shared" si="140"/>
        <v>23050.807031951874</v>
      </c>
      <c r="AB91" s="172">
        <f t="shared" si="140"/>
        <v>6550</v>
      </c>
      <c r="AC91" s="177">
        <f t="shared" si="140"/>
        <v>64.84499999999997</v>
      </c>
      <c r="AD91" s="117">
        <f t="shared" si="140"/>
        <v>464121.53943107673</v>
      </c>
      <c r="AE91" s="176">
        <f t="shared" si="140"/>
        <v>25166.434668709222</v>
      </c>
      <c r="AF91" s="172">
        <f t="shared" si="140"/>
        <v>5730</v>
      </c>
      <c r="AG91" s="177">
        <f t="shared" si="140"/>
        <v>56.726999999999983</v>
      </c>
      <c r="AH91" s="117">
        <f t="shared" si="140"/>
        <v>501357.97409978602</v>
      </c>
      <c r="AI91" s="176">
        <f t="shared" si="140"/>
        <v>27259.538575488234</v>
      </c>
      <c r="AJ91" s="172">
        <f t="shared" si="140"/>
        <v>6200</v>
      </c>
      <c r="AK91" s="177">
        <f t="shared" si="140"/>
        <v>61.379999999999974</v>
      </c>
      <c r="AL91" s="117">
        <f t="shared" si="140"/>
        <v>540217.51267527416</v>
      </c>
      <c r="AM91" s="176">
        <f t="shared" ref="AM91:BL91" si="141">SUM(AM2:AM90)</f>
        <v>29370.96319714007</v>
      </c>
      <c r="AN91" s="172">
        <f t="shared" si="141"/>
        <v>10110</v>
      </c>
      <c r="AO91" s="177">
        <f t="shared" si="141"/>
        <v>100.08900000000001</v>
      </c>
      <c r="AP91" s="117">
        <f t="shared" si="141"/>
        <v>577278.47587241419</v>
      </c>
      <c r="AQ91" s="176">
        <f t="shared" si="141"/>
        <v>31194.266172982778</v>
      </c>
      <c r="AR91" s="172">
        <f t="shared" si="141"/>
        <v>3600</v>
      </c>
      <c r="AS91" s="177">
        <f t="shared" si="141"/>
        <v>35.639999999999993</v>
      </c>
      <c r="AT91" s="117">
        <f t="shared" si="141"/>
        <v>622672.74204539706</v>
      </c>
      <c r="AU91" s="176">
        <f t="shared" si="141"/>
        <v>34049.00081249683</v>
      </c>
      <c r="AV91" s="172">
        <f t="shared" si="141"/>
        <v>5200</v>
      </c>
      <c r="AW91" s="177">
        <f t="shared" si="141"/>
        <v>57.2</v>
      </c>
      <c r="AX91" s="117">
        <f t="shared" si="141"/>
        <v>669321.74285789393</v>
      </c>
      <c r="AY91" s="176">
        <f t="shared" si="141"/>
        <v>36526.695857184153</v>
      </c>
      <c r="AZ91" s="172">
        <f t="shared" si="141"/>
        <v>3300</v>
      </c>
      <c r="BA91" s="177">
        <f t="shared" si="141"/>
        <v>36.300000000000004</v>
      </c>
      <c r="BB91" s="117">
        <f t="shared" si="141"/>
        <v>720348.43871507794</v>
      </c>
      <c r="BC91" s="176">
        <f t="shared" si="141"/>
        <v>39437.664129329292</v>
      </c>
      <c r="BD91" s="172">
        <f t="shared" si="141"/>
        <v>6720</v>
      </c>
      <c r="BE91" s="177">
        <f t="shared" si="141"/>
        <v>73.920000000000016</v>
      </c>
      <c r="BF91" s="117">
        <f t="shared" si="141"/>
        <v>770866.1028444072</v>
      </c>
      <c r="BG91" s="176">
        <f t="shared" si="141"/>
        <v>42028.035656442386</v>
      </c>
      <c r="BH91" s="172">
        <f t="shared" si="141"/>
        <v>5600</v>
      </c>
      <c r="BI91" s="177">
        <f t="shared" si="141"/>
        <v>61.600000000000009</v>
      </c>
      <c r="BJ91" s="117">
        <f t="shared" si="141"/>
        <v>825094.13850084983</v>
      </c>
      <c r="BK91" s="176">
        <f t="shared" si="141"/>
        <v>45072.177617546724</v>
      </c>
      <c r="BL91" s="117">
        <f t="shared" si="141"/>
        <v>88663.819999999992</v>
      </c>
    </row>
    <row r="92" spans="1:64" ht="14.65" thickTop="1"/>
    <row r="93" spans="1:64" ht="24">
      <c r="H93" s="146"/>
      <c r="I93" s="207" t="s">
        <v>409</v>
      </c>
      <c r="P93" s="174">
        <f>AVERAGE(P91,T91,X91,AB91,AF91,AJ91,AN91,AR91,AV91,AZ91,BD91,BH91)</f>
        <v>7388.6516666666676</v>
      </c>
    </row>
    <row r="94" spans="1:64" ht="35.65">
      <c r="F94" s="203"/>
      <c r="H94" s="205"/>
      <c r="I94" s="207" t="s">
        <v>408</v>
      </c>
    </row>
    <row r="95" spans="1:64" ht="35.65">
      <c r="H95" s="175"/>
      <c r="I95" s="207" t="s">
        <v>410</v>
      </c>
    </row>
  </sheetData>
  <autoFilter ref="A1:BN91" xr:uid="{00000000-0009-0000-0000-000004000000}">
    <sortState xmlns:xlrd2="http://schemas.microsoft.com/office/spreadsheetml/2017/richdata2" ref="A2:BN91">
      <sortCondition ref="A1"/>
    </sortState>
  </autoFilter>
  <conditionalFormatting sqref="H2:H90">
    <cfRule type="cellIs" dxfId="43" priority="1" operator="lessThan">
      <formula>1199.99</formula>
    </cfRule>
    <cfRule type="cellIs" dxfId="42" priority="2" operator="between">
      <formula>1199.99</formula>
      <formula>2399.99</formula>
    </cfRule>
    <cfRule type="cellIs" dxfId="41" priority="3" operator="greaterThan">
      <formula>2400</formula>
    </cfRule>
    <cfRule type="cellIs" dxfId="40" priority="5" operator="between">
      <formula>1200</formula>
      <formula>2399.99</formula>
    </cfRule>
    <cfRule type="iconSet" priority="7">
      <iconSet iconSet="3Arrows">
        <cfvo type="percent" val="0"/>
        <cfvo type="percent" val="33"/>
        <cfvo type="percent" val="67"/>
      </iconSet>
    </cfRule>
    <cfRule type="cellIs" dxfId="39" priority="11" operator="between">
      <formula>1201</formula>
      <formula>2401</formula>
    </cfRule>
    <cfRule type="cellIs" dxfId="38" priority="12" operator="lessThan">
      <formula>1200</formula>
    </cfRule>
    <cfRule type="cellIs" dxfId="37" priority="13" operator="greaterThan">
      <formula>2400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AH95"/>
  <sheetViews>
    <sheetView tabSelected="1" zoomScale="80" zoomScaleNormal="80" workbookViewId="0">
      <pane ySplit="1" topLeftCell="A45" activePane="bottomLeft" state="frozen"/>
      <selection pane="bottomLeft" activeCell="D68" sqref="D68"/>
    </sheetView>
  </sheetViews>
  <sheetFormatPr defaultColWidth="9.1328125" defaultRowHeight="14.25"/>
  <cols>
    <col min="1" max="2" width="22" customWidth="1"/>
    <col min="3" max="3" width="15.59765625" customWidth="1"/>
    <col min="4" max="4" width="17" customWidth="1"/>
    <col min="5" max="5" width="15.59765625" customWidth="1"/>
    <col min="6" max="6" width="19.3984375" customWidth="1"/>
    <col min="7" max="7" width="19.3984375" style="140" customWidth="1"/>
    <col min="8" max="8" width="14.3984375" customWidth="1"/>
    <col min="9" max="9" width="14.73046875" bestFit="1" customWidth="1"/>
    <col min="10" max="11" width="13.1328125" customWidth="1"/>
    <col min="12" max="12" width="16.59765625" bestFit="1" customWidth="1"/>
    <col min="13" max="13" width="11.265625" customWidth="1"/>
    <col min="14" max="14" width="20.1328125" bestFit="1" customWidth="1"/>
    <col min="15" max="15" width="19.3984375" bestFit="1" customWidth="1"/>
    <col min="16" max="16" width="14.1328125" customWidth="1"/>
    <col min="17" max="17" width="12.265625" style="125" bestFit="1" customWidth="1"/>
    <col min="18" max="18" width="9.265625" style="146" bestFit="1" customWidth="1"/>
    <col min="19" max="19" width="13.1328125" customWidth="1"/>
    <col min="20" max="20" width="12.3984375" style="168" bestFit="1" customWidth="1"/>
    <col min="21" max="21" width="13.265625" style="125" bestFit="1" customWidth="1"/>
    <col min="22" max="22" width="9.86328125" style="146" customWidth="1"/>
    <col min="23" max="23" width="14.3984375" customWidth="1"/>
    <col min="24" max="24" width="12.3984375" style="168" bestFit="1" customWidth="1"/>
    <col min="25" max="25" width="13.1328125" style="125" bestFit="1" customWidth="1"/>
    <col min="26" max="26" width="9.265625" style="146" bestFit="1" customWidth="1"/>
    <col min="27" max="27" width="14.3984375" customWidth="1"/>
    <col min="28" max="28" width="12.3984375" style="168" bestFit="1" customWidth="1"/>
    <col min="29" max="29" width="13" style="125" bestFit="1" customWidth="1"/>
    <col min="30" max="30" width="9.265625" style="146" bestFit="1" customWidth="1"/>
    <col min="31" max="31" width="14.3984375" customWidth="1"/>
    <col min="32" max="32" width="12.3984375" style="168" bestFit="1" customWidth="1"/>
    <col min="33" max="33" width="12.73046875" customWidth="1"/>
    <col min="35" max="37" width="9.1328125" customWidth="1"/>
  </cols>
  <sheetData>
    <row r="1" spans="1:34" s="14" customFormat="1" ht="78.75" customHeight="1">
      <c r="A1" s="11" t="s">
        <v>0</v>
      </c>
      <c r="B1" s="11" t="s">
        <v>675</v>
      </c>
      <c r="C1" s="11" t="s">
        <v>106</v>
      </c>
      <c r="D1" s="11" t="s">
        <v>232</v>
      </c>
      <c r="E1" s="113" t="s">
        <v>233</v>
      </c>
      <c r="F1" s="113" t="s">
        <v>224</v>
      </c>
      <c r="G1" s="138" t="s">
        <v>391</v>
      </c>
      <c r="H1" s="12" t="s">
        <v>407</v>
      </c>
      <c r="I1" s="12" t="s">
        <v>243</v>
      </c>
      <c r="J1" s="12" t="s">
        <v>244</v>
      </c>
      <c r="K1" s="12" t="s">
        <v>229</v>
      </c>
      <c r="L1" s="12" t="s">
        <v>226</v>
      </c>
      <c r="M1" s="12" t="s">
        <v>231</v>
      </c>
      <c r="N1" s="12" t="s">
        <v>245</v>
      </c>
      <c r="O1" s="116" t="s">
        <v>236</v>
      </c>
      <c r="P1" s="12" t="s">
        <v>230</v>
      </c>
      <c r="Q1" s="115">
        <v>44378</v>
      </c>
      <c r="R1" s="114" t="s">
        <v>185</v>
      </c>
      <c r="S1" s="118" t="s">
        <v>234</v>
      </c>
      <c r="T1" s="35" t="s">
        <v>99</v>
      </c>
      <c r="U1" s="115">
        <v>44409</v>
      </c>
      <c r="V1" s="114" t="s">
        <v>185</v>
      </c>
      <c r="W1" s="118" t="s">
        <v>234</v>
      </c>
      <c r="X1" s="35" t="s">
        <v>99</v>
      </c>
      <c r="Y1" s="115">
        <v>44440</v>
      </c>
      <c r="Z1" s="114" t="s">
        <v>185</v>
      </c>
      <c r="AA1" s="118" t="s">
        <v>234</v>
      </c>
      <c r="AB1" s="35" t="s">
        <v>99</v>
      </c>
      <c r="AC1" s="115">
        <v>44470</v>
      </c>
      <c r="AD1" s="114" t="s">
        <v>185</v>
      </c>
      <c r="AE1" s="118" t="s">
        <v>234</v>
      </c>
      <c r="AF1" s="35" t="s">
        <v>99</v>
      </c>
      <c r="AG1" s="86" t="s">
        <v>217</v>
      </c>
    </row>
    <row r="2" spans="1:34">
      <c r="A2" s="10" t="s">
        <v>573</v>
      </c>
      <c r="B2" s="10"/>
      <c r="C2" s="121" t="s">
        <v>107</v>
      </c>
      <c r="D2" s="80">
        <v>0</v>
      </c>
      <c r="E2" s="79">
        <f>200*4</f>
        <v>800</v>
      </c>
      <c r="F2" s="79">
        <f>'2020-2021 New'!J2</f>
        <v>8124.8911415906632</v>
      </c>
      <c r="G2" s="139">
        <f>'2020-2021 New'!F2</f>
        <v>200</v>
      </c>
      <c r="H2" s="78">
        <f>D2+E2</f>
        <v>800</v>
      </c>
      <c r="I2" s="159">
        <f>AG2</f>
        <v>1200</v>
      </c>
      <c r="J2" s="78">
        <f>H2-I2-D2</f>
        <v>-400</v>
      </c>
      <c r="K2" s="78">
        <f>J2+N2+F2</f>
        <v>9643.2803247222109</v>
      </c>
      <c r="L2" s="78">
        <f>R2+V2+Z2+AD2</f>
        <v>13.200000000000001</v>
      </c>
      <c r="M2" s="78">
        <f>(I2-L2-D2)*5.5%</f>
        <v>65.274000000000001</v>
      </c>
      <c r="N2" s="78">
        <f>T2+X2+AB2+AF2</f>
        <v>1918.3891831315475</v>
      </c>
      <c r="O2" s="78">
        <f>N2</f>
        <v>1918.3891831315475</v>
      </c>
      <c r="P2" s="78">
        <f>I2-L2-N2+M2</f>
        <v>-666.31518313154754</v>
      </c>
      <c r="Q2" s="165">
        <f>[1]Sheet1!$D$77</f>
        <v>400</v>
      </c>
      <c r="R2" s="166">
        <f>Q2*1.1%</f>
        <v>4.4000000000000004</v>
      </c>
      <c r="S2" s="119">
        <f>F2+200</f>
        <v>8324.8911415906623</v>
      </c>
      <c r="T2" s="167">
        <f>(S2-Q2)*0.055</f>
        <v>435.86901278748644</v>
      </c>
      <c r="U2" s="165">
        <v>0</v>
      </c>
      <c r="V2" s="166">
        <f>U2*1.1%</f>
        <v>0</v>
      </c>
      <c r="W2" s="33">
        <f>S2-U2+200+T2</f>
        <v>8960.7601543781493</v>
      </c>
      <c r="X2" s="167">
        <f>(W2-U2)*0.055</f>
        <v>492.8418084907982</v>
      </c>
      <c r="Y2" s="165">
        <v>400</v>
      </c>
      <c r="Z2" s="166">
        <f>Y2*1.1%</f>
        <v>4.4000000000000004</v>
      </c>
      <c r="AA2" s="33">
        <f>W2-Y2+200+X2</f>
        <v>9253.6019628689482</v>
      </c>
      <c r="AB2" s="167">
        <f>(AA2-Y2)*0.055</f>
        <v>486.94810795779216</v>
      </c>
      <c r="AC2" s="165">
        <v>400</v>
      </c>
      <c r="AD2" s="166">
        <f>AC2*1.1%</f>
        <v>4.4000000000000004</v>
      </c>
      <c r="AE2" s="33">
        <f>AA2-AC2+200+AB2</f>
        <v>9540.5500708267409</v>
      </c>
      <c r="AF2" s="167">
        <f>(AE2-AC2)*0.055</f>
        <v>502.73025389547075</v>
      </c>
      <c r="AG2" s="87">
        <f>Q2+U2+Y2+AC2</f>
        <v>1200</v>
      </c>
    </row>
    <row r="3" spans="1:34">
      <c r="A3" s="10" t="s">
        <v>574</v>
      </c>
      <c r="B3" s="10"/>
      <c r="C3" s="121" t="s">
        <v>136</v>
      </c>
      <c r="D3" s="80">
        <v>0</v>
      </c>
      <c r="E3" s="79">
        <f t="shared" ref="E3:E67" si="0">200*4</f>
        <v>800</v>
      </c>
      <c r="F3" s="79">
        <f>'2020-2021 New'!J3</f>
        <v>3831.6716879526457</v>
      </c>
      <c r="G3" s="139">
        <f>'2020-2021 New'!F3</f>
        <v>1600</v>
      </c>
      <c r="H3" s="78">
        <f t="shared" ref="H3:H67" si="1">D3+E3</f>
        <v>800</v>
      </c>
      <c r="I3" s="159">
        <f t="shared" ref="I3:I67" si="2">AG3</f>
        <v>600</v>
      </c>
      <c r="J3" s="78">
        <f t="shared" ref="J3:J67" si="3">H3-I3-D3</f>
        <v>200</v>
      </c>
      <c r="K3" s="78">
        <f t="shared" ref="K3:K66" si="4">J3+N3+F3</f>
        <v>5006.0708901376402</v>
      </c>
      <c r="L3" s="78">
        <f t="shared" ref="L3:L67" si="5">R3+V3+Z3+AD3</f>
        <v>6.6000000000000005</v>
      </c>
      <c r="M3" s="78">
        <f t="shared" ref="M3:M67" si="6">(I3-L3-D3)*5.5%</f>
        <v>32.637</v>
      </c>
      <c r="N3" s="78">
        <f t="shared" ref="N3:N67" si="7">T3+X3+AB3+AF3</f>
        <v>974.39920218499458</v>
      </c>
      <c r="O3" s="78">
        <f t="shared" ref="O3:O67" si="8">N3</f>
        <v>974.39920218499458</v>
      </c>
      <c r="P3" s="78">
        <f t="shared" ref="P3:P67" si="9">I3-L3-N3+M3</f>
        <v>-348.3622021849946</v>
      </c>
      <c r="Q3" s="165">
        <f>[1]Sheet1!$D$76</f>
        <v>200</v>
      </c>
      <c r="R3" s="166">
        <f t="shared" ref="R3:R67" si="10">Q3*1.1%</f>
        <v>2.2000000000000002</v>
      </c>
      <c r="S3" s="119">
        <f t="shared" ref="S3:S67" si="11">F3+200</f>
        <v>4031.6716879526457</v>
      </c>
      <c r="T3" s="167">
        <f t="shared" ref="T3:T67" si="12">(S3-Q3)*0.055</f>
        <v>210.74194283739553</v>
      </c>
      <c r="U3" s="165">
        <v>0</v>
      </c>
      <c r="V3" s="166">
        <f t="shared" ref="V3:V67" si="13">U3*1.1%</f>
        <v>0</v>
      </c>
      <c r="W3" s="33">
        <f t="shared" ref="W3:W67" si="14">S3-U3+200+T3</f>
        <v>4442.4136307900408</v>
      </c>
      <c r="X3" s="167">
        <f t="shared" ref="X3:X67" si="15">(W3-U3)*0.055</f>
        <v>244.33274969345226</v>
      </c>
      <c r="Y3" s="165">
        <v>0</v>
      </c>
      <c r="Z3" s="166">
        <f t="shared" ref="Z3:Z67" si="16">Y3*1.1%</f>
        <v>0</v>
      </c>
      <c r="AA3" s="33">
        <f t="shared" ref="AA3:AA67" si="17">W3-Y3+200+X3</f>
        <v>4886.7463804834933</v>
      </c>
      <c r="AB3" s="167">
        <f t="shared" ref="AB3:AB67" si="18">(AA3-Y3)*0.055</f>
        <v>268.77105092659212</v>
      </c>
      <c r="AC3" s="165">
        <f>200+200</f>
        <v>400</v>
      </c>
      <c r="AD3" s="166">
        <f t="shared" ref="AD3:AD67" si="19">AC3*1.1%</f>
        <v>4.4000000000000004</v>
      </c>
      <c r="AE3" s="33">
        <f t="shared" ref="AE3:AE67" si="20">AA3-AC3+200+AB3</f>
        <v>4955.5174314100859</v>
      </c>
      <c r="AF3" s="167">
        <f t="shared" ref="AF3:AF67" si="21">(AE3-AC3)*0.055</f>
        <v>250.55345872755473</v>
      </c>
      <c r="AG3" s="87">
        <f t="shared" ref="AG3:AG67" si="22">Q3+U3+Y3+AC3</f>
        <v>600</v>
      </c>
    </row>
    <row r="4" spans="1:34">
      <c r="A4" s="10" t="s">
        <v>575</v>
      </c>
      <c r="B4" s="10"/>
      <c r="C4" s="121" t="s">
        <v>108</v>
      </c>
      <c r="D4" s="80">
        <v>0</v>
      </c>
      <c r="E4" s="79">
        <f t="shared" si="0"/>
        <v>800</v>
      </c>
      <c r="F4" s="79">
        <f>'2020-2021 New'!J4</f>
        <v>13283.648544864302</v>
      </c>
      <c r="G4" s="139">
        <f>'2020-2021 New'!F4</f>
        <v>0</v>
      </c>
      <c r="H4" s="78">
        <f t="shared" si="1"/>
        <v>800</v>
      </c>
      <c r="I4" s="159">
        <f t="shared" si="2"/>
        <v>0</v>
      </c>
      <c r="J4" s="78">
        <f t="shared" si="3"/>
        <v>800</v>
      </c>
      <c r="K4" s="78">
        <f t="shared" si="4"/>
        <v>17372.329472741807</v>
      </c>
      <c r="L4" s="78">
        <f t="shared" si="5"/>
        <v>0</v>
      </c>
      <c r="M4" s="78">
        <f t="shared" si="6"/>
        <v>0</v>
      </c>
      <c r="N4" s="78">
        <f t="shared" si="7"/>
        <v>3288.6809278775063</v>
      </c>
      <c r="O4" s="78">
        <f t="shared" si="8"/>
        <v>3288.6809278775063</v>
      </c>
      <c r="P4" s="78">
        <f t="shared" si="9"/>
        <v>-3288.6809278775063</v>
      </c>
      <c r="Q4" s="165">
        <v>0</v>
      </c>
      <c r="R4" s="166">
        <f t="shared" si="10"/>
        <v>0</v>
      </c>
      <c r="S4" s="119">
        <f t="shared" si="11"/>
        <v>13483.648544864302</v>
      </c>
      <c r="T4" s="167">
        <f t="shared" si="12"/>
        <v>741.60066996753665</v>
      </c>
      <c r="U4" s="165">
        <v>0</v>
      </c>
      <c r="V4" s="166">
        <f t="shared" si="13"/>
        <v>0</v>
      </c>
      <c r="W4" s="33">
        <f t="shared" si="14"/>
        <v>14425.249214831838</v>
      </c>
      <c r="X4" s="167">
        <f t="shared" si="15"/>
        <v>793.38870681575111</v>
      </c>
      <c r="Y4" s="165">
        <v>0</v>
      </c>
      <c r="Z4" s="166">
        <f t="shared" si="16"/>
        <v>0</v>
      </c>
      <c r="AA4" s="33">
        <f t="shared" si="17"/>
        <v>15418.637921647589</v>
      </c>
      <c r="AB4" s="167">
        <f t="shared" si="18"/>
        <v>848.0250856906174</v>
      </c>
      <c r="AC4" s="165">
        <v>0</v>
      </c>
      <c r="AD4" s="166">
        <f t="shared" si="19"/>
        <v>0</v>
      </c>
      <c r="AE4" s="33">
        <f t="shared" si="20"/>
        <v>16466.663007338208</v>
      </c>
      <c r="AF4" s="167">
        <f t="shared" si="21"/>
        <v>905.66646540360136</v>
      </c>
      <c r="AG4" s="87">
        <f t="shared" si="22"/>
        <v>0</v>
      </c>
    </row>
    <row r="5" spans="1:34">
      <c r="A5" s="10" t="s">
        <v>576</v>
      </c>
      <c r="B5" s="10"/>
      <c r="C5" s="121" t="s">
        <v>109</v>
      </c>
      <c r="D5" s="80">
        <v>0</v>
      </c>
      <c r="E5" s="79">
        <f t="shared" si="0"/>
        <v>800</v>
      </c>
      <c r="F5" s="79">
        <f>'2020-2021 New'!J5</f>
        <v>17982.61541994222</v>
      </c>
      <c r="G5" s="139">
        <f>'2020-2021 New'!F5</f>
        <v>0</v>
      </c>
      <c r="H5" s="78">
        <f t="shared" si="1"/>
        <v>800</v>
      </c>
      <c r="I5" s="159">
        <f t="shared" si="2"/>
        <v>0</v>
      </c>
      <c r="J5" s="78">
        <f t="shared" si="3"/>
        <v>800</v>
      </c>
      <c r="K5" s="78">
        <f t="shared" si="4"/>
        <v>23193.525470058659</v>
      </c>
      <c r="L5" s="78">
        <f t="shared" si="5"/>
        <v>0</v>
      </c>
      <c r="M5" s="78">
        <f t="shared" si="6"/>
        <v>0</v>
      </c>
      <c r="N5" s="78">
        <f t="shared" si="7"/>
        <v>4410.9100501164385</v>
      </c>
      <c r="O5" s="78">
        <f t="shared" si="8"/>
        <v>4410.9100501164385</v>
      </c>
      <c r="P5" s="78">
        <f t="shared" si="9"/>
        <v>-4410.9100501164385</v>
      </c>
      <c r="Q5" s="165">
        <v>0</v>
      </c>
      <c r="R5" s="166">
        <f t="shared" si="10"/>
        <v>0</v>
      </c>
      <c r="S5" s="119">
        <f t="shared" si="11"/>
        <v>18182.61541994222</v>
      </c>
      <c r="T5" s="167">
        <f t="shared" si="12"/>
        <v>1000.0438480968221</v>
      </c>
      <c r="U5" s="165">
        <v>0</v>
      </c>
      <c r="V5" s="166">
        <f t="shared" si="13"/>
        <v>0</v>
      </c>
      <c r="W5" s="33">
        <f t="shared" si="14"/>
        <v>19382.659268039042</v>
      </c>
      <c r="X5" s="167">
        <f t="shared" si="15"/>
        <v>1066.0462597421474</v>
      </c>
      <c r="Y5" s="165">
        <v>0</v>
      </c>
      <c r="Z5" s="166">
        <f t="shared" si="16"/>
        <v>0</v>
      </c>
      <c r="AA5" s="33">
        <f t="shared" si="17"/>
        <v>20648.705527781189</v>
      </c>
      <c r="AB5" s="167">
        <f t="shared" si="18"/>
        <v>1135.6788040279655</v>
      </c>
      <c r="AC5" s="165">
        <v>0</v>
      </c>
      <c r="AD5" s="166">
        <f t="shared" si="19"/>
        <v>0</v>
      </c>
      <c r="AE5" s="33">
        <f t="shared" si="20"/>
        <v>21984.384331809153</v>
      </c>
      <c r="AF5" s="167">
        <f t="shared" si="21"/>
        <v>1209.1411382495035</v>
      </c>
      <c r="AG5" s="87">
        <f t="shared" si="22"/>
        <v>0</v>
      </c>
    </row>
    <row r="6" spans="1:34" s="41" customFormat="1">
      <c r="A6" s="10" t="s">
        <v>577</v>
      </c>
      <c r="B6" s="10"/>
      <c r="C6" s="121" t="s">
        <v>110</v>
      </c>
      <c r="D6" s="80">
        <v>0</v>
      </c>
      <c r="E6" s="79">
        <f t="shared" si="0"/>
        <v>800</v>
      </c>
      <c r="F6" s="79">
        <f>'2020-2021 New'!J6</f>
        <v>2267.4990188656948</v>
      </c>
      <c r="G6" s="139">
        <f>'2020-2021 New'!F6</f>
        <v>0</v>
      </c>
      <c r="H6" s="78">
        <f t="shared" si="1"/>
        <v>800</v>
      </c>
      <c r="I6" s="159">
        <f t="shared" si="2"/>
        <v>0</v>
      </c>
      <c r="J6" s="78">
        <f t="shared" si="3"/>
        <v>800</v>
      </c>
      <c r="K6" s="78">
        <f t="shared" si="4"/>
        <v>3725.2518849638245</v>
      </c>
      <c r="L6" s="78">
        <f t="shared" si="5"/>
        <v>0</v>
      </c>
      <c r="M6" s="78">
        <f t="shared" si="6"/>
        <v>0</v>
      </c>
      <c r="N6" s="78">
        <f t="shared" si="7"/>
        <v>657.75286609812974</v>
      </c>
      <c r="O6" s="78">
        <f t="shared" si="8"/>
        <v>657.75286609812974</v>
      </c>
      <c r="P6" s="78">
        <f t="shared" si="9"/>
        <v>-657.75286609812974</v>
      </c>
      <c r="Q6" s="165">
        <v>0</v>
      </c>
      <c r="R6" s="166">
        <f t="shared" si="10"/>
        <v>0</v>
      </c>
      <c r="S6" s="119">
        <f t="shared" si="11"/>
        <v>2467.4990188656948</v>
      </c>
      <c r="T6" s="167">
        <f t="shared" si="12"/>
        <v>135.7124460376132</v>
      </c>
      <c r="U6" s="165">
        <v>0</v>
      </c>
      <c r="V6" s="166">
        <f t="shared" si="13"/>
        <v>0</v>
      </c>
      <c r="W6" s="33">
        <f t="shared" si="14"/>
        <v>2803.2114649033078</v>
      </c>
      <c r="X6" s="167">
        <f t="shared" si="15"/>
        <v>154.17663056968192</v>
      </c>
      <c r="Y6" s="165">
        <v>0</v>
      </c>
      <c r="Z6" s="166">
        <f t="shared" si="16"/>
        <v>0</v>
      </c>
      <c r="AA6" s="33">
        <f t="shared" si="17"/>
        <v>3157.3880954729898</v>
      </c>
      <c r="AB6" s="167">
        <f t="shared" si="18"/>
        <v>173.65634525101444</v>
      </c>
      <c r="AC6" s="165">
        <v>0</v>
      </c>
      <c r="AD6" s="166">
        <f t="shared" si="19"/>
        <v>0</v>
      </c>
      <c r="AE6" s="33">
        <f t="shared" si="20"/>
        <v>3531.0444407240043</v>
      </c>
      <c r="AF6" s="167">
        <f t="shared" si="21"/>
        <v>194.20744423982023</v>
      </c>
      <c r="AG6" s="87">
        <f t="shared" si="22"/>
        <v>0</v>
      </c>
      <c r="AH6"/>
    </row>
    <row r="7" spans="1:34">
      <c r="A7" s="10" t="s">
        <v>578</v>
      </c>
      <c r="B7" s="10" t="s">
        <v>66</v>
      </c>
      <c r="C7" s="121" t="s">
        <v>137</v>
      </c>
      <c r="D7" s="80">
        <v>0</v>
      </c>
      <c r="E7" s="79">
        <f t="shared" si="0"/>
        <v>800</v>
      </c>
      <c r="F7" s="79">
        <f>'2020-2021 New'!J7</f>
        <v>12748.843496817346</v>
      </c>
      <c r="G7" s="139">
        <f>'2020-2021 New'!F7</f>
        <v>600</v>
      </c>
      <c r="H7" s="78">
        <f t="shared" si="1"/>
        <v>800</v>
      </c>
      <c r="I7" s="159">
        <f t="shared" si="2"/>
        <v>2000</v>
      </c>
      <c r="J7" s="78">
        <f t="shared" si="3"/>
        <v>-1200</v>
      </c>
      <c r="K7" s="78">
        <f t="shared" si="4"/>
        <v>14238.884295942553</v>
      </c>
      <c r="L7" s="78">
        <f t="shared" si="5"/>
        <v>22.000000000000004</v>
      </c>
      <c r="M7" s="78">
        <f t="shared" si="6"/>
        <v>108.79</v>
      </c>
      <c r="N7" s="78">
        <f t="shared" si="7"/>
        <v>2690.0407991252064</v>
      </c>
      <c r="O7" s="78">
        <f t="shared" si="8"/>
        <v>2690.0407991252064</v>
      </c>
      <c r="P7" s="78">
        <f t="shared" si="9"/>
        <v>-603.25079912520641</v>
      </c>
      <c r="Q7" s="165">
        <v>0</v>
      </c>
      <c r="R7" s="166">
        <f t="shared" si="10"/>
        <v>0</v>
      </c>
      <c r="S7" s="119">
        <f t="shared" si="11"/>
        <v>12948.843496817346</v>
      </c>
      <c r="T7" s="167">
        <f t="shared" si="12"/>
        <v>712.186392324954</v>
      </c>
      <c r="U7" s="165">
        <v>2000</v>
      </c>
      <c r="V7" s="166">
        <f t="shared" si="13"/>
        <v>22.000000000000004</v>
      </c>
      <c r="W7" s="33">
        <f t="shared" si="14"/>
        <v>11861.029889142301</v>
      </c>
      <c r="X7" s="167">
        <f t="shared" si="15"/>
        <v>542.35664390282659</v>
      </c>
      <c r="Y7" s="165">
        <v>0</v>
      </c>
      <c r="Z7" s="166">
        <f t="shared" si="16"/>
        <v>0</v>
      </c>
      <c r="AA7" s="33">
        <f t="shared" si="17"/>
        <v>12603.386533045128</v>
      </c>
      <c r="AB7" s="167">
        <f t="shared" si="18"/>
        <v>693.18625931748204</v>
      </c>
      <c r="AC7" s="165">
        <v>0</v>
      </c>
      <c r="AD7" s="166">
        <f t="shared" si="19"/>
        <v>0</v>
      </c>
      <c r="AE7" s="33">
        <f t="shared" si="20"/>
        <v>13496.572792362611</v>
      </c>
      <c r="AF7" s="167">
        <f t="shared" si="21"/>
        <v>742.31150357994363</v>
      </c>
      <c r="AG7" s="87">
        <f t="shared" si="22"/>
        <v>2000</v>
      </c>
    </row>
    <row r="8" spans="1:34" s="41" customFormat="1">
      <c r="A8" s="10" t="s">
        <v>579</v>
      </c>
      <c r="B8" s="10"/>
      <c r="C8" s="10" t="s">
        <v>175</v>
      </c>
      <c r="D8" s="80">
        <v>0</v>
      </c>
      <c r="E8" s="79">
        <f>200*4</f>
        <v>800</v>
      </c>
      <c r="F8" s="79">
        <f>'2020-2021 New'!J8</f>
        <v>8946.1406601769922</v>
      </c>
      <c r="G8" s="139">
        <f>'2020-2021 New'!F8</f>
        <v>7800</v>
      </c>
      <c r="H8" s="78">
        <f>D8+E8</f>
        <v>800</v>
      </c>
      <c r="I8" s="159">
        <f>AG8</f>
        <v>0</v>
      </c>
      <c r="J8" s="78">
        <f>H8-I8-D8</f>
        <v>800</v>
      </c>
      <c r="K8" s="78">
        <f t="shared" si="4"/>
        <v>11998.91778291087</v>
      </c>
      <c r="L8" s="78">
        <f>R8+V8+Z8+AD8</f>
        <v>0</v>
      </c>
      <c r="M8" s="78">
        <f>(I8-L8-D8)*5.5%</f>
        <v>0</v>
      </c>
      <c r="N8" s="78">
        <f>T8+X8+AB8+AF8</f>
        <v>2252.7771227338771</v>
      </c>
      <c r="O8" s="78">
        <f>N8</f>
        <v>2252.7771227338771</v>
      </c>
      <c r="P8" s="78">
        <f>I8-L8-N8+M8</f>
        <v>-2252.7771227338771</v>
      </c>
      <c r="Q8" s="165">
        <v>0</v>
      </c>
      <c r="R8" s="166">
        <f>Q8*1.1%</f>
        <v>0</v>
      </c>
      <c r="S8" s="119">
        <f>F8+200</f>
        <v>9146.1406601769922</v>
      </c>
      <c r="T8" s="167">
        <f>(S8-Q8)*0.055</f>
        <v>503.03773630973456</v>
      </c>
      <c r="U8" s="165">
        <v>0</v>
      </c>
      <c r="V8" s="166">
        <f>U8*1.1%</f>
        <v>0</v>
      </c>
      <c r="W8" s="33">
        <f>S8-U8+200+T8</f>
        <v>9849.1783964867263</v>
      </c>
      <c r="X8" s="167">
        <f>(W8-U8)*0.055</f>
        <v>541.70481180676995</v>
      </c>
      <c r="Y8" s="165">
        <v>0</v>
      </c>
      <c r="Z8" s="166">
        <f>Y8*1.1%</f>
        <v>0</v>
      </c>
      <c r="AA8" s="33">
        <f>W8-Y8+200+X8</f>
        <v>10590.883208293497</v>
      </c>
      <c r="AB8" s="167">
        <f>(AA8-Y8)*0.055</f>
        <v>582.49857645614236</v>
      </c>
      <c r="AC8" s="165">
        <v>0</v>
      </c>
      <c r="AD8" s="166">
        <f>AC8*1.1%</f>
        <v>0</v>
      </c>
      <c r="AE8" s="33">
        <f>AA8-AC8+200+AB8</f>
        <v>11373.381784749639</v>
      </c>
      <c r="AF8" s="167">
        <f>(AE8-AC8)*0.055</f>
        <v>625.53599816123017</v>
      </c>
      <c r="AG8" s="87">
        <f>Q8+U8+Y8+AC8</f>
        <v>0</v>
      </c>
    </row>
    <row r="9" spans="1:34">
      <c r="A9" s="10" t="s">
        <v>580</v>
      </c>
      <c r="B9" s="10"/>
      <c r="C9" s="10" t="s">
        <v>111</v>
      </c>
      <c r="D9" s="80">
        <v>0</v>
      </c>
      <c r="E9" s="79">
        <f t="shared" si="0"/>
        <v>800</v>
      </c>
      <c r="F9" s="79">
        <f>'2020-2021 New'!J9</f>
        <v>16498.590145365175</v>
      </c>
      <c r="G9" s="139">
        <f>'2020-2021 New'!F9</f>
        <v>0</v>
      </c>
      <c r="H9" s="78">
        <f t="shared" si="1"/>
        <v>800</v>
      </c>
      <c r="I9" s="159">
        <f t="shared" si="2"/>
        <v>0</v>
      </c>
      <c r="J9" s="78">
        <f t="shared" si="3"/>
        <v>800</v>
      </c>
      <c r="K9" s="78">
        <f t="shared" si="4"/>
        <v>21355.078377762082</v>
      </c>
      <c r="L9" s="78">
        <f t="shared" si="5"/>
        <v>0</v>
      </c>
      <c r="M9" s="78">
        <f t="shared" si="6"/>
        <v>0</v>
      </c>
      <c r="N9" s="78">
        <f t="shared" si="7"/>
        <v>4056.4882323969064</v>
      </c>
      <c r="O9" s="78">
        <f t="shared" si="8"/>
        <v>4056.4882323969064</v>
      </c>
      <c r="P9" s="78">
        <f t="shared" si="9"/>
        <v>-4056.4882323969064</v>
      </c>
      <c r="Q9" s="165">
        <v>0</v>
      </c>
      <c r="R9" s="166">
        <f t="shared" si="10"/>
        <v>0</v>
      </c>
      <c r="S9" s="119">
        <f t="shared" si="11"/>
        <v>16698.590145365175</v>
      </c>
      <c r="T9" s="167">
        <f t="shared" si="12"/>
        <v>918.42245799508464</v>
      </c>
      <c r="U9" s="165">
        <v>0</v>
      </c>
      <c r="V9" s="166">
        <f t="shared" si="13"/>
        <v>0</v>
      </c>
      <c r="W9" s="33">
        <f t="shared" si="14"/>
        <v>17817.012603360261</v>
      </c>
      <c r="X9" s="167">
        <f t="shared" si="15"/>
        <v>979.93569318481434</v>
      </c>
      <c r="Y9" s="165">
        <v>0</v>
      </c>
      <c r="Z9" s="166">
        <f t="shared" si="16"/>
        <v>0</v>
      </c>
      <c r="AA9" s="33">
        <f t="shared" si="17"/>
        <v>18996.948296545077</v>
      </c>
      <c r="AB9" s="167">
        <f t="shared" si="18"/>
        <v>1044.8321563099792</v>
      </c>
      <c r="AC9" s="165">
        <v>0</v>
      </c>
      <c r="AD9" s="166">
        <f t="shared" si="19"/>
        <v>0</v>
      </c>
      <c r="AE9" s="33">
        <f t="shared" si="20"/>
        <v>20241.780452855055</v>
      </c>
      <c r="AF9" s="167">
        <f t="shared" si="21"/>
        <v>1113.2979249070281</v>
      </c>
      <c r="AG9" s="87">
        <f t="shared" si="22"/>
        <v>0</v>
      </c>
    </row>
    <row r="10" spans="1:34">
      <c r="A10" s="10" t="s">
        <v>581</v>
      </c>
      <c r="B10" s="10"/>
      <c r="C10" s="10" t="s">
        <v>112</v>
      </c>
      <c r="D10" s="80">
        <v>0</v>
      </c>
      <c r="E10" s="79">
        <f t="shared" si="0"/>
        <v>800</v>
      </c>
      <c r="F10" s="79">
        <f>'2020-2021 New'!J10</f>
        <v>7609.2568054794001</v>
      </c>
      <c r="G10" s="139">
        <f>'2020-2021 New'!F10</f>
        <v>0</v>
      </c>
      <c r="H10" s="78">
        <f t="shared" si="1"/>
        <v>800</v>
      </c>
      <c r="I10" s="159">
        <f t="shared" si="2"/>
        <v>300</v>
      </c>
      <c r="J10" s="78">
        <f t="shared" si="3"/>
        <v>500</v>
      </c>
      <c r="K10" s="78">
        <f t="shared" si="4"/>
        <v>9972.1157836889215</v>
      </c>
      <c r="L10" s="78">
        <f t="shared" si="5"/>
        <v>3.3000000000000003</v>
      </c>
      <c r="M10" s="78">
        <f t="shared" si="6"/>
        <v>16.3185</v>
      </c>
      <c r="N10" s="78">
        <f t="shared" si="7"/>
        <v>1862.8589782095212</v>
      </c>
      <c r="O10" s="78">
        <f t="shared" si="8"/>
        <v>1862.8589782095212</v>
      </c>
      <c r="P10" s="78">
        <f t="shared" si="9"/>
        <v>-1549.8404782095211</v>
      </c>
      <c r="Q10" s="165">
        <v>0</v>
      </c>
      <c r="R10" s="166">
        <f t="shared" si="10"/>
        <v>0</v>
      </c>
      <c r="S10" s="119">
        <f t="shared" si="11"/>
        <v>7809.2568054794001</v>
      </c>
      <c r="T10" s="167">
        <f t="shared" si="12"/>
        <v>429.50912430136702</v>
      </c>
      <c r="U10" s="165">
        <f>[1]Sheet1!$D$85</f>
        <v>300</v>
      </c>
      <c r="V10" s="166">
        <f t="shared" si="13"/>
        <v>3.3000000000000003</v>
      </c>
      <c r="W10" s="33">
        <f t="shared" si="14"/>
        <v>8138.7659297807668</v>
      </c>
      <c r="X10" s="167">
        <f t="shared" si="15"/>
        <v>431.13212613794218</v>
      </c>
      <c r="Y10" s="165">
        <v>0</v>
      </c>
      <c r="Z10" s="166">
        <f t="shared" si="16"/>
        <v>0</v>
      </c>
      <c r="AA10" s="33">
        <f t="shared" si="17"/>
        <v>8769.8980559187075</v>
      </c>
      <c r="AB10" s="167">
        <f t="shared" si="18"/>
        <v>482.3443930755289</v>
      </c>
      <c r="AC10" s="165">
        <v>0</v>
      </c>
      <c r="AD10" s="166">
        <f t="shared" si="19"/>
        <v>0</v>
      </c>
      <c r="AE10" s="33">
        <f t="shared" si="20"/>
        <v>9452.2424489942368</v>
      </c>
      <c r="AF10" s="167">
        <f t="shared" si="21"/>
        <v>519.87333469468308</v>
      </c>
      <c r="AG10" s="87">
        <f t="shared" si="22"/>
        <v>300</v>
      </c>
    </row>
    <row r="11" spans="1:34">
      <c r="A11" s="10" t="s">
        <v>582</v>
      </c>
      <c r="B11" s="10"/>
      <c r="C11" s="10" t="s">
        <v>138</v>
      </c>
      <c r="D11" s="80">
        <v>0</v>
      </c>
      <c r="E11" s="79">
        <f t="shared" si="0"/>
        <v>800</v>
      </c>
      <c r="F11" s="79">
        <f>'2020-2021 New'!J11</f>
        <v>9693.9013328594829</v>
      </c>
      <c r="G11" s="139">
        <f>'2020-2021 New'!F11</f>
        <v>2400</v>
      </c>
      <c r="H11" s="78">
        <f t="shared" si="1"/>
        <v>800</v>
      </c>
      <c r="I11" s="159">
        <f t="shared" si="2"/>
        <v>900</v>
      </c>
      <c r="J11" s="78">
        <f t="shared" si="3"/>
        <v>-100</v>
      </c>
      <c r="K11" s="78">
        <f t="shared" si="4"/>
        <v>11851.994811997871</v>
      </c>
      <c r="L11" s="78">
        <f t="shared" si="5"/>
        <v>9.9</v>
      </c>
      <c r="M11" s="78">
        <f t="shared" si="6"/>
        <v>48.955500000000001</v>
      </c>
      <c r="N11" s="78">
        <f t="shared" si="7"/>
        <v>2258.0934791383879</v>
      </c>
      <c r="O11" s="78">
        <f t="shared" si="8"/>
        <v>2258.0934791383879</v>
      </c>
      <c r="P11" s="78">
        <f t="shared" si="9"/>
        <v>-1319.037979138388</v>
      </c>
      <c r="Q11" s="165">
        <v>0</v>
      </c>
      <c r="R11" s="166">
        <f t="shared" si="10"/>
        <v>0</v>
      </c>
      <c r="S11" s="119">
        <f t="shared" si="11"/>
        <v>9893.9013328594829</v>
      </c>
      <c r="T11" s="167">
        <f t="shared" si="12"/>
        <v>544.16457330727155</v>
      </c>
      <c r="U11" s="165">
        <f>[1]Sheet1!$D$89</f>
        <v>300</v>
      </c>
      <c r="V11" s="166">
        <f t="shared" si="13"/>
        <v>3.3000000000000003</v>
      </c>
      <c r="W11" s="33">
        <f t="shared" si="14"/>
        <v>10338.065906166754</v>
      </c>
      <c r="X11" s="167">
        <f t="shared" si="15"/>
        <v>552.09362483917141</v>
      </c>
      <c r="Y11" s="165">
        <f>300+300</f>
        <v>600</v>
      </c>
      <c r="Z11" s="166">
        <f t="shared" si="16"/>
        <v>6.6000000000000005</v>
      </c>
      <c r="AA11" s="33">
        <f t="shared" si="17"/>
        <v>10490.159531005926</v>
      </c>
      <c r="AB11" s="167">
        <f t="shared" si="18"/>
        <v>543.95877420532588</v>
      </c>
      <c r="AC11" s="165">
        <v>0</v>
      </c>
      <c r="AD11" s="166">
        <f t="shared" si="19"/>
        <v>0</v>
      </c>
      <c r="AE11" s="33">
        <f t="shared" si="20"/>
        <v>11234.118305211252</v>
      </c>
      <c r="AF11" s="167">
        <f t="shared" si="21"/>
        <v>617.87650678661885</v>
      </c>
      <c r="AG11" s="87">
        <f t="shared" si="22"/>
        <v>900</v>
      </c>
    </row>
    <row r="12" spans="1:34">
      <c r="A12" s="10" t="s">
        <v>583</v>
      </c>
      <c r="B12" s="10"/>
      <c r="C12" s="10" t="s">
        <v>113</v>
      </c>
      <c r="D12" s="80">
        <v>0</v>
      </c>
      <c r="E12" s="79">
        <f t="shared" si="0"/>
        <v>800</v>
      </c>
      <c r="F12" s="79">
        <f>'2020-2021 New'!J12</f>
        <v>9885.0997558962517</v>
      </c>
      <c r="G12" s="139">
        <f>'2020-2021 New'!F12</f>
        <v>200</v>
      </c>
      <c r="H12" s="78">
        <f t="shared" si="1"/>
        <v>800</v>
      </c>
      <c r="I12" s="159">
        <f t="shared" si="2"/>
        <v>0</v>
      </c>
      <c r="J12" s="78">
        <f t="shared" si="3"/>
        <v>800</v>
      </c>
      <c r="K12" s="78">
        <f t="shared" si="4"/>
        <v>13162.123456616446</v>
      </c>
      <c r="L12" s="78">
        <f t="shared" si="5"/>
        <v>0</v>
      </c>
      <c r="M12" s="78">
        <f t="shared" si="6"/>
        <v>0</v>
      </c>
      <c r="N12" s="78">
        <f t="shared" si="7"/>
        <v>2477.0237007201949</v>
      </c>
      <c r="O12" s="78">
        <f t="shared" si="8"/>
        <v>2477.0237007201949</v>
      </c>
      <c r="P12" s="78">
        <f t="shared" si="9"/>
        <v>-2477.0237007201949</v>
      </c>
      <c r="Q12" s="165">
        <v>0</v>
      </c>
      <c r="R12" s="166">
        <f t="shared" si="10"/>
        <v>0</v>
      </c>
      <c r="S12" s="119">
        <f t="shared" si="11"/>
        <v>10085.099755896252</v>
      </c>
      <c r="T12" s="167">
        <f t="shared" si="12"/>
        <v>554.68048657429381</v>
      </c>
      <c r="U12" s="165">
        <v>0</v>
      </c>
      <c r="V12" s="166">
        <f t="shared" si="13"/>
        <v>0</v>
      </c>
      <c r="W12" s="33">
        <f t="shared" si="14"/>
        <v>10839.780242470546</v>
      </c>
      <c r="X12" s="167">
        <f t="shared" si="15"/>
        <v>596.18791333588001</v>
      </c>
      <c r="Y12" s="165">
        <v>0</v>
      </c>
      <c r="Z12" s="166">
        <f t="shared" si="16"/>
        <v>0</v>
      </c>
      <c r="AA12" s="33">
        <f t="shared" si="17"/>
        <v>11635.968155806426</v>
      </c>
      <c r="AB12" s="167">
        <f t="shared" si="18"/>
        <v>639.97824856935347</v>
      </c>
      <c r="AC12" s="165">
        <v>0</v>
      </c>
      <c r="AD12" s="166">
        <f t="shared" si="19"/>
        <v>0</v>
      </c>
      <c r="AE12" s="33">
        <f t="shared" si="20"/>
        <v>12475.94640437578</v>
      </c>
      <c r="AF12" s="167">
        <f t="shared" si="21"/>
        <v>686.17705224066788</v>
      </c>
      <c r="AG12" s="87">
        <f t="shared" si="22"/>
        <v>0</v>
      </c>
    </row>
    <row r="13" spans="1:34">
      <c r="A13" s="10" t="s">
        <v>584</v>
      </c>
      <c r="B13" s="10"/>
      <c r="C13" s="10" t="s">
        <v>114</v>
      </c>
      <c r="D13" s="80">
        <v>0</v>
      </c>
      <c r="E13" s="79">
        <f t="shared" si="0"/>
        <v>800</v>
      </c>
      <c r="F13" s="79">
        <f>'2020-2021 New'!J13</f>
        <v>-1665.0846338486695</v>
      </c>
      <c r="G13" s="139">
        <f>'2020-2021 New'!F13</f>
        <v>0</v>
      </c>
      <c r="H13" s="78">
        <f t="shared" si="1"/>
        <v>800</v>
      </c>
      <c r="I13" s="159">
        <f t="shared" si="2"/>
        <v>700</v>
      </c>
      <c r="J13" s="78">
        <f t="shared" si="3"/>
        <v>100</v>
      </c>
      <c r="K13" s="78">
        <f t="shared" si="4"/>
        <v>-1943.000319913634</v>
      </c>
      <c r="L13" s="78">
        <f t="shared" si="5"/>
        <v>7.7000000000000011</v>
      </c>
      <c r="M13" s="78">
        <f t="shared" si="6"/>
        <v>38.076499999999996</v>
      </c>
      <c r="N13" s="78">
        <f t="shared" si="7"/>
        <v>-377.91568606496452</v>
      </c>
      <c r="O13" s="78">
        <f t="shared" si="8"/>
        <v>-377.91568606496452</v>
      </c>
      <c r="P13" s="78">
        <f t="shared" si="9"/>
        <v>1108.2921860649644</v>
      </c>
      <c r="Q13" s="165">
        <f>[1]Sheet1!$D$71</f>
        <v>400</v>
      </c>
      <c r="R13" s="166">
        <f t="shared" si="10"/>
        <v>4.4000000000000004</v>
      </c>
      <c r="S13" s="119">
        <f t="shared" si="11"/>
        <v>-1465.0846338486695</v>
      </c>
      <c r="T13" s="167">
        <f t="shared" si="12"/>
        <v>-102.57965486167681</v>
      </c>
      <c r="U13" s="165">
        <f>[1]Sheet1!$D$80</f>
        <v>300</v>
      </c>
      <c r="V13" s="166">
        <f t="shared" si="13"/>
        <v>3.3000000000000003</v>
      </c>
      <c r="W13" s="33">
        <f t="shared" si="14"/>
        <v>-1667.6642887103462</v>
      </c>
      <c r="X13" s="167">
        <f t="shared" si="15"/>
        <v>-108.22153587906904</v>
      </c>
      <c r="Y13" s="165">
        <v>0</v>
      </c>
      <c r="Z13" s="166">
        <f t="shared" si="16"/>
        <v>0</v>
      </c>
      <c r="AA13" s="33">
        <f t="shared" si="17"/>
        <v>-1575.8858245894153</v>
      </c>
      <c r="AB13" s="167">
        <f t="shared" si="18"/>
        <v>-86.673720352417845</v>
      </c>
      <c r="AC13" s="165">
        <v>0</v>
      </c>
      <c r="AD13" s="166">
        <f t="shared" si="19"/>
        <v>0</v>
      </c>
      <c r="AE13" s="33">
        <f t="shared" si="20"/>
        <v>-1462.5595449418331</v>
      </c>
      <c r="AF13" s="167">
        <f t="shared" si="21"/>
        <v>-80.44077497180082</v>
      </c>
      <c r="AG13" s="87">
        <f t="shared" si="22"/>
        <v>700</v>
      </c>
    </row>
    <row r="14" spans="1:34">
      <c r="A14" s="10" t="s">
        <v>585</v>
      </c>
      <c r="B14" s="10"/>
      <c r="C14" s="10" t="s">
        <v>115</v>
      </c>
      <c r="D14" s="80">
        <v>0</v>
      </c>
      <c r="E14" s="79">
        <f t="shared" si="0"/>
        <v>800</v>
      </c>
      <c r="F14" s="79">
        <f>'2020-2021 New'!J14</f>
        <v>216.1966523141345</v>
      </c>
      <c r="G14" s="139">
        <f>'2020-2021 New'!F14</f>
        <v>0</v>
      </c>
      <c r="H14" s="78">
        <f t="shared" si="1"/>
        <v>800</v>
      </c>
      <c r="I14" s="159">
        <f t="shared" si="2"/>
        <v>0</v>
      </c>
      <c r="J14" s="78">
        <f t="shared" si="3"/>
        <v>800</v>
      </c>
      <c r="K14" s="78">
        <f t="shared" si="4"/>
        <v>1184.0479473943524</v>
      </c>
      <c r="L14" s="78">
        <f t="shared" si="5"/>
        <v>0</v>
      </c>
      <c r="M14" s="78">
        <f t="shared" si="6"/>
        <v>0</v>
      </c>
      <c r="N14" s="78">
        <f t="shared" si="7"/>
        <v>167.8512950802178</v>
      </c>
      <c r="O14" s="78">
        <f t="shared" si="8"/>
        <v>167.8512950802178</v>
      </c>
      <c r="P14" s="78">
        <f t="shared" si="9"/>
        <v>-167.8512950802178</v>
      </c>
      <c r="Q14" s="165">
        <v>0</v>
      </c>
      <c r="R14" s="166">
        <f t="shared" si="10"/>
        <v>0</v>
      </c>
      <c r="S14" s="119">
        <f t="shared" si="11"/>
        <v>416.1966523141345</v>
      </c>
      <c r="T14" s="167">
        <f t="shared" si="12"/>
        <v>22.890815877277397</v>
      </c>
      <c r="U14" s="165">
        <v>0</v>
      </c>
      <c r="V14" s="166">
        <f t="shared" si="13"/>
        <v>0</v>
      </c>
      <c r="W14" s="33">
        <f t="shared" si="14"/>
        <v>639.08746819141197</v>
      </c>
      <c r="X14" s="167">
        <f t="shared" si="15"/>
        <v>35.149810750527656</v>
      </c>
      <c r="Y14" s="165">
        <v>0</v>
      </c>
      <c r="Z14" s="166">
        <f t="shared" si="16"/>
        <v>0</v>
      </c>
      <c r="AA14" s="33">
        <f t="shared" si="17"/>
        <v>874.23727894193962</v>
      </c>
      <c r="AB14" s="167">
        <f t="shared" si="18"/>
        <v>48.083050341806683</v>
      </c>
      <c r="AC14" s="165">
        <v>0</v>
      </c>
      <c r="AD14" s="166">
        <f t="shared" si="19"/>
        <v>0</v>
      </c>
      <c r="AE14" s="33">
        <f t="shared" si="20"/>
        <v>1122.3203292837463</v>
      </c>
      <c r="AF14" s="167">
        <f t="shared" si="21"/>
        <v>61.727618110606052</v>
      </c>
      <c r="AG14" s="87">
        <f t="shared" si="22"/>
        <v>0</v>
      </c>
    </row>
    <row r="15" spans="1:34">
      <c r="A15" s="10" t="s">
        <v>586</v>
      </c>
      <c r="B15" s="10"/>
      <c r="C15" s="10" t="s">
        <v>116</v>
      </c>
      <c r="D15" s="80">
        <v>0</v>
      </c>
      <c r="E15" s="79">
        <f t="shared" si="0"/>
        <v>800</v>
      </c>
      <c r="F15" s="79">
        <f>'2020-2021 New'!J15</f>
        <v>11114.894602520646</v>
      </c>
      <c r="G15" s="139">
        <f>'2020-2021 New'!F15</f>
        <v>0</v>
      </c>
      <c r="H15" s="78">
        <f t="shared" si="1"/>
        <v>800</v>
      </c>
      <c r="I15" s="159">
        <f t="shared" si="2"/>
        <v>0</v>
      </c>
      <c r="J15" s="78">
        <f t="shared" si="3"/>
        <v>800</v>
      </c>
      <c r="K15" s="78">
        <f t="shared" si="4"/>
        <v>14685.623627826337</v>
      </c>
      <c r="L15" s="78">
        <f t="shared" si="5"/>
        <v>0</v>
      </c>
      <c r="M15" s="78">
        <f t="shared" si="6"/>
        <v>0</v>
      </c>
      <c r="N15" s="78">
        <f t="shared" si="7"/>
        <v>2770.7290253056913</v>
      </c>
      <c r="O15" s="78">
        <f t="shared" si="8"/>
        <v>2770.7290253056913</v>
      </c>
      <c r="P15" s="78">
        <f t="shared" si="9"/>
        <v>-2770.7290253056913</v>
      </c>
      <c r="Q15" s="165">
        <v>0</v>
      </c>
      <c r="R15" s="166">
        <f t="shared" si="10"/>
        <v>0</v>
      </c>
      <c r="S15" s="119">
        <f t="shared" si="11"/>
        <v>11314.894602520646</v>
      </c>
      <c r="T15" s="167">
        <f t="shared" si="12"/>
        <v>622.31920313863554</v>
      </c>
      <c r="U15" s="165">
        <v>0</v>
      </c>
      <c r="V15" s="166">
        <f t="shared" si="13"/>
        <v>0</v>
      </c>
      <c r="W15" s="33">
        <f t="shared" si="14"/>
        <v>12137.213805659281</v>
      </c>
      <c r="X15" s="167">
        <f t="shared" si="15"/>
        <v>667.54675931126042</v>
      </c>
      <c r="Y15" s="165">
        <v>0</v>
      </c>
      <c r="Z15" s="166">
        <f t="shared" si="16"/>
        <v>0</v>
      </c>
      <c r="AA15" s="33">
        <f t="shared" si="17"/>
        <v>13004.760564970542</v>
      </c>
      <c r="AB15" s="167">
        <f t="shared" si="18"/>
        <v>715.26183107337977</v>
      </c>
      <c r="AC15" s="165">
        <v>0</v>
      </c>
      <c r="AD15" s="166">
        <f t="shared" si="19"/>
        <v>0</v>
      </c>
      <c r="AE15" s="33">
        <f t="shared" si="20"/>
        <v>13920.022396043922</v>
      </c>
      <c r="AF15" s="167">
        <f t="shared" si="21"/>
        <v>765.60123178241565</v>
      </c>
      <c r="AG15" s="87">
        <f t="shared" si="22"/>
        <v>0</v>
      </c>
    </row>
    <row r="16" spans="1:34">
      <c r="A16" s="10" t="s">
        <v>587</v>
      </c>
      <c r="B16" s="10"/>
      <c r="C16" s="10"/>
      <c r="D16" s="80">
        <v>0</v>
      </c>
      <c r="E16" s="79">
        <f t="shared" si="0"/>
        <v>800</v>
      </c>
      <c r="F16" s="79">
        <f>'2020-2021 New'!J16</f>
        <v>11168.710600651793</v>
      </c>
      <c r="G16" s="139">
        <f>'2020-2021 New'!F16</f>
        <v>0</v>
      </c>
      <c r="H16" s="78">
        <f t="shared" si="1"/>
        <v>800</v>
      </c>
      <c r="I16" s="159">
        <f t="shared" si="2"/>
        <v>0</v>
      </c>
      <c r="J16" s="78">
        <f t="shared" si="3"/>
        <v>800</v>
      </c>
      <c r="K16" s="78">
        <f t="shared" si="4"/>
        <v>14752.292212909191</v>
      </c>
      <c r="L16" s="78">
        <f t="shared" si="5"/>
        <v>0</v>
      </c>
      <c r="M16" s="78">
        <f t="shared" si="6"/>
        <v>0</v>
      </c>
      <c r="N16" s="78">
        <f t="shared" si="7"/>
        <v>2783.5816122573983</v>
      </c>
      <c r="O16" s="78">
        <f t="shared" si="8"/>
        <v>2783.5816122573983</v>
      </c>
      <c r="P16" s="78">
        <f t="shared" si="9"/>
        <v>-2783.5816122573983</v>
      </c>
      <c r="Q16" s="165">
        <v>0</v>
      </c>
      <c r="R16" s="166">
        <f t="shared" si="10"/>
        <v>0</v>
      </c>
      <c r="S16" s="119">
        <f t="shared" si="11"/>
        <v>11368.710600651793</v>
      </c>
      <c r="T16" s="167">
        <f t="shared" si="12"/>
        <v>625.27908303584866</v>
      </c>
      <c r="U16" s="165">
        <v>0</v>
      </c>
      <c r="V16" s="166">
        <f t="shared" si="13"/>
        <v>0</v>
      </c>
      <c r="W16" s="33">
        <f t="shared" si="14"/>
        <v>12193.989683687641</v>
      </c>
      <c r="X16" s="167">
        <f t="shared" si="15"/>
        <v>670.66943260282028</v>
      </c>
      <c r="Y16" s="165">
        <v>0</v>
      </c>
      <c r="Z16" s="166">
        <f t="shared" si="16"/>
        <v>0</v>
      </c>
      <c r="AA16" s="33">
        <f t="shared" si="17"/>
        <v>13064.659116290462</v>
      </c>
      <c r="AB16" s="167">
        <f t="shared" si="18"/>
        <v>718.55625139597544</v>
      </c>
      <c r="AC16" s="165">
        <v>0</v>
      </c>
      <c r="AD16" s="166">
        <f t="shared" si="19"/>
        <v>0</v>
      </c>
      <c r="AE16" s="33">
        <f t="shared" si="20"/>
        <v>13983.215367686438</v>
      </c>
      <c r="AF16" s="167">
        <f t="shared" si="21"/>
        <v>769.07684522275406</v>
      </c>
      <c r="AG16" s="87">
        <f t="shared" si="22"/>
        <v>0</v>
      </c>
    </row>
    <row r="17" spans="1:33">
      <c r="A17" s="10" t="s">
        <v>588</v>
      </c>
      <c r="B17" s="10"/>
      <c r="C17" s="10" t="s">
        <v>115</v>
      </c>
      <c r="D17" s="80">
        <v>0</v>
      </c>
      <c r="E17" s="79">
        <f t="shared" si="0"/>
        <v>800</v>
      </c>
      <c r="F17" s="79">
        <f>'2020-2021 New'!J17</f>
        <v>18705.533400723434</v>
      </c>
      <c r="G17" s="139">
        <f>'2020-2021 New'!F17</f>
        <v>0</v>
      </c>
      <c r="H17" s="78">
        <f t="shared" si="1"/>
        <v>800</v>
      </c>
      <c r="I17" s="159">
        <f t="shared" si="2"/>
        <v>0</v>
      </c>
      <c r="J17" s="78">
        <f t="shared" si="3"/>
        <v>800</v>
      </c>
      <c r="K17" s="78">
        <f t="shared" si="4"/>
        <v>24089.094085030476</v>
      </c>
      <c r="L17" s="78">
        <f t="shared" si="5"/>
        <v>0</v>
      </c>
      <c r="M17" s="78">
        <f t="shared" si="6"/>
        <v>0</v>
      </c>
      <c r="N17" s="78">
        <f t="shared" si="7"/>
        <v>4583.5606843070427</v>
      </c>
      <c r="O17" s="78">
        <f t="shared" si="8"/>
        <v>4583.5606843070427</v>
      </c>
      <c r="P17" s="78">
        <f t="shared" si="9"/>
        <v>-4583.5606843070427</v>
      </c>
      <c r="Q17" s="165">
        <v>0</v>
      </c>
      <c r="R17" s="166">
        <f t="shared" si="10"/>
        <v>0</v>
      </c>
      <c r="S17" s="119">
        <f t="shared" si="11"/>
        <v>18905.533400723434</v>
      </c>
      <c r="T17" s="167">
        <f t="shared" si="12"/>
        <v>1039.8043370397888</v>
      </c>
      <c r="U17" s="165">
        <v>0</v>
      </c>
      <c r="V17" s="166">
        <f t="shared" si="13"/>
        <v>0</v>
      </c>
      <c r="W17" s="33">
        <f t="shared" si="14"/>
        <v>20145.337737763224</v>
      </c>
      <c r="X17" s="167">
        <f t="shared" si="15"/>
        <v>1107.9935755769773</v>
      </c>
      <c r="Y17" s="165">
        <v>0</v>
      </c>
      <c r="Z17" s="166">
        <f t="shared" si="16"/>
        <v>0</v>
      </c>
      <c r="AA17" s="33">
        <f t="shared" si="17"/>
        <v>21453.331313340201</v>
      </c>
      <c r="AB17" s="167">
        <f t="shared" si="18"/>
        <v>1179.9332222337111</v>
      </c>
      <c r="AC17" s="165">
        <v>0</v>
      </c>
      <c r="AD17" s="166">
        <f t="shared" si="19"/>
        <v>0</v>
      </c>
      <c r="AE17" s="33">
        <f t="shared" si="20"/>
        <v>22833.264535573911</v>
      </c>
      <c r="AF17" s="167">
        <f t="shared" si="21"/>
        <v>1255.8295494565652</v>
      </c>
      <c r="AG17" s="87">
        <f t="shared" si="22"/>
        <v>0</v>
      </c>
    </row>
    <row r="18" spans="1:33">
      <c r="A18" s="10" t="s">
        <v>589</v>
      </c>
      <c r="B18" s="10"/>
      <c r="C18" s="10" t="s">
        <v>139</v>
      </c>
      <c r="D18" s="80">
        <v>0</v>
      </c>
      <c r="E18" s="79">
        <f t="shared" si="0"/>
        <v>800</v>
      </c>
      <c r="F18" s="79">
        <f>'2020-2021 New'!J18</f>
        <v>-3072.720602622438</v>
      </c>
      <c r="G18" s="139">
        <f>'2020-2021 New'!F18</f>
        <v>1200</v>
      </c>
      <c r="H18" s="78">
        <f t="shared" si="1"/>
        <v>800</v>
      </c>
      <c r="I18" s="159">
        <f t="shared" si="2"/>
        <v>0</v>
      </c>
      <c r="J18" s="78">
        <f t="shared" si="3"/>
        <v>800</v>
      </c>
      <c r="K18" s="78">
        <f t="shared" si="4"/>
        <v>-2890.3438218869815</v>
      </c>
      <c r="L18" s="78">
        <f t="shared" si="5"/>
        <v>0</v>
      </c>
      <c r="M18" s="78">
        <f t="shared" si="6"/>
        <v>0</v>
      </c>
      <c r="N18" s="78">
        <f t="shared" si="7"/>
        <v>-617.6232192645432</v>
      </c>
      <c r="O18" s="78">
        <f t="shared" si="8"/>
        <v>-617.6232192645432</v>
      </c>
      <c r="P18" s="78">
        <f t="shared" si="9"/>
        <v>617.6232192645432</v>
      </c>
      <c r="Q18" s="165">
        <v>0</v>
      </c>
      <c r="R18" s="166">
        <f t="shared" si="10"/>
        <v>0</v>
      </c>
      <c r="S18" s="119">
        <f t="shared" si="11"/>
        <v>-2872.720602622438</v>
      </c>
      <c r="T18" s="167">
        <f t="shared" si="12"/>
        <v>-157.99963314423408</v>
      </c>
      <c r="U18" s="165">
        <v>0</v>
      </c>
      <c r="V18" s="166">
        <f t="shared" si="13"/>
        <v>0</v>
      </c>
      <c r="W18" s="33">
        <f t="shared" si="14"/>
        <v>-2830.720235766672</v>
      </c>
      <c r="X18" s="167">
        <f t="shared" si="15"/>
        <v>-155.68961296716697</v>
      </c>
      <c r="Y18" s="165">
        <v>0</v>
      </c>
      <c r="Z18" s="166">
        <f t="shared" si="16"/>
        <v>0</v>
      </c>
      <c r="AA18" s="33">
        <f t="shared" si="17"/>
        <v>-2786.4098487338388</v>
      </c>
      <c r="AB18" s="167">
        <f t="shared" si="18"/>
        <v>-153.25254168036113</v>
      </c>
      <c r="AC18" s="165">
        <v>0</v>
      </c>
      <c r="AD18" s="166">
        <f t="shared" si="19"/>
        <v>0</v>
      </c>
      <c r="AE18" s="33">
        <f t="shared" si="20"/>
        <v>-2739.6623904141998</v>
      </c>
      <c r="AF18" s="167">
        <f t="shared" si="21"/>
        <v>-150.68143147278099</v>
      </c>
      <c r="AG18" s="87">
        <f t="shared" si="22"/>
        <v>0</v>
      </c>
    </row>
    <row r="19" spans="1:33">
      <c r="A19" s="10" t="s">
        <v>590</v>
      </c>
      <c r="B19" s="10"/>
      <c r="C19" s="10" t="s">
        <v>116</v>
      </c>
      <c r="D19" s="80">
        <v>0</v>
      </c>
      <c r="E19" s="79">
        <f t="shared" si="0"/>
        <v>800</v>
      </c>
      <c r="F19" s="79">
        <f>'2020-2021 New'!J19</f>
        <v>542.18848558591344</v>
      </c>
      <c r="G19" s="139">
        <f>'2020-2021 New'!F19</f>
        <v>0</v>
      </c>
      <c r="H19" s="78">
        <f t="shared" si="1"/>
        <v>800</v>
      </c>
      <c r="I19" s="159">
        <f t="shared" si="2"/>
        <v>0</v>
      </c>
      <c r="J19" s="78">
        <f t="shared" si="3"/>
        <v>800</v>
      </c>
      <c r="K19" s="78">
        <f t="shared" si="4"/>
        <v>1587.894666353867</v>
      </c>
      <c r="L19" s="78">
        <f t="shared" si="5"/>
        <v>0</v>
      </c>
      <c r="M19" s="78">
        <f t="shared" si="6"/>
        <v>0</v>
      </c>
      <c r="N19" s="78">
        <f t="shared" si="7"/>
        <v>245.70618076795364</v>
      </c>
      <c r="O19" s="78">
        <f t="shared" si="8"/>
        <v>245.70618076795364</v>
      </c>
      <c r="P19" s="78">
        <f t="shared" si="9"/>
        <v>-245.70618076795364</v>
      </c>
      <c r="Q19" s="165">
        <v>0</v>
      </c>
      <c r="R19" s="166">
        <f t="shared" si="10"/>
        <v>0</v>
      </c>
      <c r="S19" s="119">
        <f t="shared" si="11"/>
        <v>742.18848558591344</v>
      </c>
      <c r="T19" s="167">
        <f t="shared" si="12"/>
        <v>40.82036670722524</v>
      </c>
      <c r="U19" s="165">
        <v>0</v>
      </c>
      <c r="V19" s="166">
        <f t="shared" si="13"/>
        <v>0</v>
      </c>
      <c r="W19" s="33">
        <f t="shared" si="14"/>
        <v>983.00885229313872</v>
      </c>
      <c r="X19" s="167">
        <f t="shared" si="15"/>
        <v>54.065486876122627</v>
      </c>
      <c r="Y19" s="165">
        <v>0</v>
      </c>
      <c r="Z19" s="166">
        <f t="shared" si="16"/>
        <v>0</v>
      </c>
      <c r="AA19" s="33">
        <f t="shared" si="17"/>
        <v>1237.0743391692613</v>
      </c>
      <c r="AB19" s="167">
        <f t="shared" si="18"/>
        <v>68.039088654309367</v>
      </c>
      <c r="AC19" s="165">
        <v>0</v>
      </c>
      <c r="AD19" s="166">
        <f t="shared" si="19"/>
        <v>0</v>
      </c>
      <c r="AE19" s="33">
        <f t="shared" si="20"/>
        <v>1505.1134278235706</v>
      </c>
      <c r="AF19" s="167">
        <f t="shared" si="21"/>
        <v>82.781238530296392</v>
      </c>
      <c r="AG19" s="87">
        <f t="shared" si="22"/>
        <v>0</v>
      </c>
    </row>
    <row r="20" spans="1:33">
      <c r="A20" s="10" t="s">
        <v>591</v>
      </c>
      <c r="B20" s="10"/>
      <c r="C20" s="10" t="s">
        <v>140</v>
      </c>
      <c r="D20" s="80">
        <v>0</v>
      </c>
      <c r="E20" s="79">
        <f t="shared" si="0"/>
        <v>800</v>
      </c>
      <c r="F20" s="79">
        <f>'2020-2021 New'!J20</f>
        <v>8627.1788085488315</v>
      </c>
      <c r="G20" s="139">
        <f>'2020-2021 New'!F20</f>
        <v>2400</v>
      </c>
      <c r="H20" s="78">
        <f t="shared" si="1"/>
        <v>800</v>
      </c>
      <c r="I20" s="159">
        <f t="shared" si="2"/>
        <v>0</v>
      </c>
      <c r="J20" s="78">
        <f t="shared" si="3"/>
        <v>800</v>
      </c>
      <c r="K20" s="78">
        <f t="shared" si="4"/>
        <v>11603.77997850491</v>
      </c>
      <c r="L20" s="78">
        <f t="shared" si="5"/>
        <v>0</v>
      </c>
      <c r="M20" s="78">
        <f t="shared" si="6"/>
        <v>0</v>
      </c>
      <c r="N20" s="78">
        <f t="shared" si="7"/>
        <v>2176.6011699560786</v>
      </c>
      <c r="O20" s="78">
        <f t="shared" si="8"/>
        <v>2176.6011699560786</v>
      </c>
      <c r="P20" s="78">
        <f t="shared" si="9"/>
        <v>-2176.6011699560786</v>
      </c>
      <c r="Q20" s="165">
        <v>0</v>
      </c>
      <c r="R20" s="166">
        <f t="shared" si="10"/>
        <v>0</v>
      </c>
      <c r="S20" s="119">
        <f t="shared" si="11"/>
        <v>8827.1788085488315</v>
      </c>
      <c r="T20" s="167">
        <f t="shared" si="12"/>
        <v>485.49483447018571</v>
      </c>
      <c r="U20" s="165">
        <v>0</v>
      </c>
      <c r="V20" s="166">
        <f t="shared" si="13"/>
        <v>0</v>
      </c>
      <c r="W20" s="33">
        <f t="shared" si="14"/>
        <v>9512.6736430190176</v>
      </c>
      <c r="X20" s="167">
        <f t="shared" si="15"/>
        <v>523.19705036604603</v>
      </c>
      <c r="Y20" s="165">
        <v>0</v>
      </c>
      <c r="Z20" s="166">
        <f t="shared" si="16"/>
        <v>0</v>
      </c>
      <c r="AA20" s="33">
        <f t="shared" si="17"/>
        <v>10235.870693385064</v>
      </c>
      <c r="AB20" s="167">
        <f t="shared" si="18"/>
        <v>562.97288813617854</v>
      </c>
      <c r="AC20" s="165">
        <v>0</v>
      </c>
      <c r="AD20" s="166">
        <f t="shared" si="19"/>
        <v>0</v>
      </c>
      <c r="AE20" s="33">
        <f t="shared" si="20"/>
        <v>10998.843581521243</v>
      </c>
      <c r="AF20" s="167">
        <f t="shared" si="21"/>
        <v>604.93639698366837</v>
      </c>
      <c r="AG20" s="87">
        <f t="shared" si="22"/>
        <v>0</v>
      </c>
    </row>
    <row r="21" spans="1:33">
      <c r="A21" s="10" t="s">
        <v>592</v>
      </c>
      <c r="B21" s="10"/>
      <c r="C21" s="10" t="s">
        <v>117</v>
      </c>
      <c r="D21" s="80">
        <v>0</v>
      </c>
      <c r="E21" s="79">
        <f t="shared" si="0"/>
        <v>800</v>
      </c>
      <c r="F21" s="79">
        <f>'2020-2021 New'!J21</f>
        <v>7821.3893216052184</v>
      </c>
      <c r="G21" s="139">
        <f>'2020-2021 New'!F21</f>
        <v>0</v>
      </c>
      <c r="H21" s="78">
        <f t="shared" si="1"/>
        <v>800</v>
      </c>
      <c r="I21" s="159">
        <f t="shared" si="2"/>
        <v>0</v>
      </c>
      <c r="J21" s="78">
        <f t="shared" si="3"/>
        <v>800</v>
      </c>
      <c r="K21" s="78">
        <f t="shared" si="4"/>
        <v>10605.54809886469</v>
      </c>
      <c r="L21" s="78">
        <f t="shared" si="5"/>
        <v>0</v>
      </c>
      <c r="M21" s="78">
        <f t="shared" si="6"/>
        <v>0</v>
      </c>
      <c r="N21" s="78">
        <f t="shared" si="7"/>
        <v>1984.1587772594719</v>
      </c>
      <c r="O21" s="78">
        <f t="shared" si="8"/>
        <v>1984.1587772594719</v>
      </c>
      <c r="P21" s="78">
        <f t="shared" si="9"/>
        <v>-1984.1587772594719</v>
      </c>
      <c r="Q21" s="165">
        <v>0</v>
      </c>
      <c r="R21" s="166">
        <f t="shared" si="10"/>
        <v>0</v>
      </c>
      <c r="S21" s="119">
        <f t="shared" si="11"/>
        <v>8021.3893216052184</v>
      </c>
      <c r="T21" s="167">
        <f t="shared" si="12"/>
        <v>441.17641268828703</v>
      </c>
      <c r="U21" s="165">
        <v>0</v>
      </c>
      <c r="V21" s="166">
        <f t="shared" si="13"/>
        <v>0</v>
      </c>
      <c r="W21" s="33">
        <f t="shared" si="14"/>
        <v>8662.5657342935046</v>
      </c>
      <c r="X21" s="167">
        <f t="shared" si="15"/>
        <v>476.44111538614277</v>
      </c>
      <c r="Y21" s="165">
        <v>0</v>
      </c>
      <c r="Z21" s="166">
        <f t="shared" si="16"/>
        <v>0</v>
      </c>
      <c r="AA21" s="33">
        <f t="shared" si="17"/>
        <v>9339.0068496796466</v>
      </c>
      <c r="AB21" s="167">
        <f t="shared" si="18"/>
        <v>513.64537673238056</v>
      </c>
      <c r="AC21" s="165">
        <v>0</v>
      </c>
      <c r="AD21" s="166">
        <f t="shared" si="19"/>
        <v>0</v>
      </c>
      <c r="AE21" s="33">
        <f t="shared" si="20"/>
        <v>10052.652226412027</v>
      </c>
      <c r="AF21" s="167">
        <f t="shared" si="21"/>
        <v>552.89587245266148</v>
      </c>
      <c r="AG21" s="87">
        <f t="shared" si="22"/>
        <v>0</v>
      </c>
    </row>
    <row r="22" spans="1:33">
      <c r="A22" s="10" t="s">
        <v>593</v>
      </c>
      <c r="B22" s="10"/>
      <c r="C22" s="10" t="s">
        <v>118</v>
      </c>
      <c r="D22" s="80">
        <v>0</v>
      </c>
      <c r="E22" s="79">
        <f t="shared" si="0"/>
        <v>800</v>
      </c>
      <c r="F22" s="79">
        <f>'2020-2021 New'!J22</f>
        <v>15452.402487207954</v>
      </c>
      <c r="G22" s="139">
        <f>'2020-2021 New'!F22</f>
        <v>200</v>
      </c>
      <c r="H22" s="78">
        <f t="shared" si="1"/>
        <v>800</v>
      </c>
      <c r="I22" s="159">
        <f t="shared" si="2"/>
        <v>0</v>
      </c>
      <c r="J22" s="78">
        <f t="shared" si="3"/>
        <v>800</v>
      </c>
      <c r="K22" s="78">
        <f t="shared" si="4"/>
        <v>20059.035317657275</v>
      </c>
      <c r="L22" s="78">
        <f t="shared" si="5"/>
        <v>0</v>
      </c>
      <c r="M22" s="78">
        <f t="shared" si="6"/>
        <v>0</v>
      </c>
      <c r="N22" s="78">
        <f t="shared" si="7"/>
        <v>3806.6328304493204</v>
      </c>
      <c r="O22" s="78">
        <f t="shared" si="8"/>
        <v>3806.6328304493204</v>
      </c>
      <c r="P22" s="78">
        <f t="shared" si="9"/>
        <v>-3806.6328304493204</v>
      </c>
      <c r="Q22" s="165">
        <v>0</v>
      </c>
      <c r="R22" s="166">
        <f t="shared" si="10"/>
        <v>0</v>
      </c>
      <c r="S22" s="119">
        <f t="shared" si="11"/>
        <v>15652.402487207954</v>
      </c>
      <c r="T22" s="167">
        <f t="shared" si="12"/>
        <v>860.88213679643741</v>
      </c>
      <c r="U22" s="165">
        <v>0</v>
      </c>
      <c r="V22" s="166">
        <f t="shared" si="13"/>
        <v>0</v>
      </c>
      <c r="W22" s="33">
        <f t="shared" si="14"/>
        <v>16713.284624004391</v>
      </c>
      <c r="X22" s="167">
        <f t="shared" si="15"/>
        <v>919.23065432024146</v>
      </c>
      <c r="Y22" s="165">
        <v>0</v>
      </c>
      <c r="Z22" s="166">
        <f t="shared" si="16"/>
        <v>0</v>
      </c>
      <c r="AA22" s="33">
        <f t="shared" si="17"/>
        <v>17832.515278324634</v>
      </c>
      <c r="AB22" s="167">
        <f t="shared" si="18"/>
        <v>980.78834030785492</v>
      </c>
      <c r="AC22" s="165">
        <v>0</v>
      </c>
      <c r="AD22" s="166">
        <f t="shared" si="19"/>
        <v>0</v>
      </c>
      <c r="AE22" s="33">
        <f t="shared" si="20"/>
        <v>19013.30361863249</v>
      </c>
      <c r="AF22" s="167">
        <f t="shared" si="21"/>
        <v>1045.7316990247868</v>
      </c>
      <c r="AG22" s="87">
        <f t="shared" si="22"/>
        <v>0</v>
      </c>
    </row>
    <row r="23" spans="1:33">
      <c r="A23" s="10" t="s">
        <v>594</v>
      </c>
      <c r="B23" s="10"/>
      <c r="C23" s="10" t="s">
        <v>119</v>
      </c>
      <c r="D23" s="80">
        <v>0</v>
      </c>
      <c r="E23" s="79">
        <f t="shared" si="0"/>
        <v>800</v>
      </c>
      <c r="F23" s="79">
        <f>'2020-2021 New'!J23</f>
        <v>10417.971636522791</v>
      </c>
      <c r="G23" s="139">
        <f>'2020-2021 New'!F23</f>
        <v>200</v>
      </c>
      <c r="H23" s="78">
        <f t="shared" si="1"/>
        <v>800</v>
      </c>
      <c r="I23" s="159">
        <f t="shared" si="2"/>
        <v>0</v>
      </c>
      <c r="J23" s="78">
        <f t="shared" si="3"/>
        <v>800</v>
      </c>
      <c r="K23" s="78">
        <f t="shared" si="4"/>
        <v>13822.258277961506</v>
      </c>
      <c r="L23" s="78">
        <f t="shared" si="5"/>
        <v>0</v>
      </c>
      <c r="M23" s="78">
        <f t="shared" si="6"/>
        <v>0</v>
      </c>
      <c r="N23" s="78">
        <f t="shared" si="7"/>
        <v>2604.2866414387149</v>
      </c>
      <c r="O23" s="78">
        <f t="shared" si="8"/>
        <v>2604.2866414387149</v>
      </c>
      <c r="P23" s="78">
        <f t="shared" si="9"/>
        <v>-2604.2866414387149</v>
      </c>
      <c r="Q23" s="165">
        <v>0</v>
      </c>
      <c r="R23" s="166">
        <f t="shared" si="10"/>
        <v>0</v>
      </c>
      <c r="S23" s="119">
        <f t="shared" si="11"/>
        <v>10617.971636522791</v>
      </c>
      <c r="T23" s="167">
        <f t="shared" si="12"/>
        <v>583.98844000875351</v>
      </c>
      <c r="U23" s="165">
        <v>0</v>
      </c>
      <c r="V23" s="166">
        <f t="shared" si="13"/>
        <v>0</v>
      </c>
      <c r="W23" s="33">
        <f t="shared" si="14"/>
        <v>11401.960076531544</v>
      </c>
      <c r="X23" s="167">
        <f t="shared" si="15"/>
        <v>627.10780420923493</v>
      </c>
      <c r="Y23" s="165">
        <v>0</v>
      </c>
      <c r="Z23" s="166">
        <f t="shared" si="16"/>
        <v>0</v>
      </c>
      <c r="AA23" s="33">
        <f t="shared" si="17"/>
        <v>12229.067880740778</v>
      </c>
      <c r="AB23" s="167">
        <f t="shared" si="18"/>
        <v>672.59873344074288</v>
      </c>
      <c r="AC23" s="165">
        <v>0</v>
      </c>
      <c r="AD23" s="166">
        <f t="shared" si="19"/>
        <v>0</v>
      </c>
      <c r="AE23" s="33">
        <f t="shared" si="20"/>
        <v>13101.666614181522</v>
      </c>
      <c r="AF23" s="167">
        <f t="shared" si="21"/>
        <v>720.59166377998372</v>
      </c>
      <c r="AG23" s="87">
        <f t="shared" si="22"/>
        <v>0</v>
      </c>
    </row>
    <row r="24" spans="1:33">
      <c r="A24" s="10" t="s">
        <v>595</v>
      </c>
      <c r="B24" s="10"/>
      <c r="C24" s="10" t="s">
        <v>116</v>
      </c>
      <c r="D24" s="80">
        <v>0</v>
      </c>
      <c r="E24" s="79">
        <f t="shared" si="0"/>
        <v>800</v>
      </c>
      <c r="F24" s="79">
        <f>'2020-2021 New'!J24</f>
        <v>8946.1406601769922</v>
      </c>
      <c r="G24" s="139">
        <f>'2020-2021 New'!F24</f>
        <v>0</v>
      </c>
      <c r="H24" s="78">
        <f t="shared" si="1"/>
        <v>800</v>
      </c>
      <c r="I24" s="159">
        <f t="shared" si="2"/>
        <v>0</v>
      </c>
      <c r="J24" s="78">
        <f t="shared" si="3"/>
        <v>800</v>
      </c>
      <c r="K24" s="78">
        <f t="shared" si="4"/>
        <v>11998.91778291087</v>
      </c>
      <c r="L24" s="78">
        <f t="shared" si="5"/>
        <v>0</v>
      </c>
      <c r="M24" s="78">
        <f t="shared" si="6"/>
        <v>0</v>
      </c>
      <c r="N24" s="78">
        <f t="shared" si="7"/>
        <v>2252.7771227338771</v>
      </c>
      <c r="O24" s="78">
        <f t="shared" si="8"/>
        <v>2252.7771227338771</v>
      </c>
      <c r="P24" s="78">
        <f t="shared" si="9"/>
        <v>-2252.7771227338771</v>
      </c>
      <c r="Q24" s="165">
        <v>0</v>
      </c>
      <c r="R24" s="166">
        <f t="shared" si="10"/>
        <v>0</v>
      </c>
      <c r="S24" s="119">
        <f t="shared" si="11"/>
        <v>9146.1406601769922</v>
      </c>
      <c r="T24" s="167">
        <f t="shared" si="12"/>
        <v>503.03773630973456</v>
      </c>
      <c r="U24" s="165">
        <v>0</v>
      </c>
      <c r="V24" s="166">
        <f t="shared" si="13"/>
        <v>0</v>
      </c>
      <c r="W24" s="33">
        <f t="shared" si="14"/>
        <v>9849.1783964867263</v>
      </c>
      <c r="X24" s="167">
        <f t="shared" si="15"/>
        <v>541.70481180676995</v>
      </c>
      <c r="Y24" s="165">
        <v>0</v>
      </c>
      <c r="Z24" s="166">
        <f t="shared" si="16"/>
        <v>0</v>
      </c>
      <c r="AA24" s="33">
        <f t="shared" si="17"/>
        <v>10590.883208293497</v>
      </c>
      <c r="AB24" s="167">
        <f t="shared" si="18"/>
        <v>582.49857645614236</v>
      </c>
      <c r="AC24" s="165">
        <v>0</v>
      </c>
      <c r="AD24" s="166">
        <f t="shared" si="19"/>
        <v>0</v>
      </c>
      <c r="AE24" s="33">
        <f t="shared" si="20"/>
        <v>11373.381784749639</v>
      </c>
      <c r="AF24" s="167">
        <f t="shared" si="21"/>
        <v>625.53599816123017</v>
      </c>
      <c r="AG24" s="87">
        <f t="shared" si="22"/>
        <v>0</v>
      </c>
    </row>
    <row r="25" spans="1:33">
      <c r="A25" s="10" t="s">
        <v>596</v>
      </c>
      <c r="B25" s="10" t="s">
        <v>676</v>
      </c>
      <c r="C25" s="10" t="s">
        <v>120</v>
      </c>
      <c r="D25" s="80">
        <v>0</v>
      </c>
      <c r="E25" s="79">
        <f>200*4</f>
        <v>800</v>
      </c>
      <c r="F25" s="79">
        <f>'2020-2021 New'!J25</f>
        <v>5729.5395220015107</v>
      </c>
      <c r="G25" s="139">
        <f>'2020-2021 New'!F25</f>
        <v>200</v>
      </c>
      <c r="H25" s="78">
        <f>D25+E25</f>
        <v>800</v>
      </c>
      <c r="I25" s="159">
        <f t="shared" si="2"/>
        <v>1200</v>
      </c>
      <c r="J25" s="78">
        <f t="shared" si="3"/>
        <v>-400</v>
      </c>
      <c r="K25" s="78">
        <f t="shared" si="4"/>
        <v>6639.7856940231504</v>
      </c>
      <c r="L25" s="78">
        <f t="shared" si="5"/>
        <v>13.200000000000001</v>
      </c>
      <c r="M25" s="78">
        <f>(I25-L25-D25)*5.5%</f>
        <v>65.274000000000001</v>
      </c>
      <c r="N25" s="78">
        <f>T25+X25+AB25+AF25</f>
        <v>1310.2461720216402</v>
      </c>
      <c r="O25" s="78">
        <f t="shared" si="8"/>
        <v>1310.2461720216402</v>
      </c>
      <c r="P25" s="78">
        <f t="shared" si="9"/>
        <v>-58.172172021640222</v>
      </c>
      <c r="Q25" s="165">
        <f>[1]Sheet1!$D$69</f>
        <v>300</v>
      </c>
      <c r="R25" s="166">
        <f t="shared" si="10"/>
        <v>3.3000000000000003</v>
      </c>
      <c r="S25" s="119">
        <f t="shared" si="11"/>
        <v>5929.5395220015107</v>
      </c>
      <c r="T25" s="167">
        <f>(S25-Q25)*0.055</f>
        <v>309.62467371008307</v>
      </c>
      <c r="U25" s="165">
        <f>[1]Sheet1!$D$78</f>
        <v>300</v>
      </c>
      <c r="V25" s="166">
        <f t="shared" si="13"/>
        <v>3.3000000000000003</v>
      </c>
      <c r="W25" s="33">
        <f t="shared" si="14"/>
        <v>6139.1641957115935</v>
      </c>
      <c r="X25" s="167">
        <f t="shared" si="15"/>
        <v>321.15403076413764</v>
      </c>
      <c r="Y25" s="165">
        <v>300</v>
      </c>
      <c r="Z25" s="166">
        <f t="shared" si="16"/>
        <v>3.3000000000000003</v>
      </c>
      <c r="AA25" s="33">
        <f t="shared" si="17"/>
        <v>6360.3182264757315</v>
      </c>
      <c r="AB25" s="167">
        <f t="shared" si="18"/>
        <v>333.31750245616524</v>
      </c>
      <c r="AC25" s="165">
        <v>300</v>
      </c>
      <c r="AD25" s="166">
        <f t="shared" si="19"/>
        <v>3.3000000000000003</v>
      </c>
      <c r="AE25" s="33">
        <f t="shared" si="20"/>
        <v>6593.6357289318967</v>
      </c>
      <c r="AF25" s="167">
        <f t="shared" si="21"/>
        <v>346.14996509125433</v>
      </c>
      <c r="AG25" s="87">
        <f>Q25+U25+Y25+AC25</f>
        <v>1200</v>
      </c>
    </row>
    <row r="26" spans="1:33">
      <c r="A26" s="10" t="s">
        <v>597</v>
      </c>
      <c r="B26" t="s">
        <v>250</v>
      </c>
      <c r="C26" s="10" t="s">
        <v>121</v>
      </c>
      <c r="D26" s="80">
        <v>0</v>
      </c>
      <c r="E26" s="79">
        <f t="shared" si="0"/>
        <v>800</v>
      </c>
      <c r="F26" s="79">
        <f>'2020-2021 New'!J26</f>
        <v>17262.317741006296</v>
      </c>
      <c r="G26" s="139">
        <f>'2020-2021 New'!F26</f>
        <v>0</v>
      </c>
      <c r="H26" s="78">
        <f t="shared" si="1"/>
        <v>800</v>
      </c>
      <c r="I26" s="159">
        <f t="shared" si="2"/>
        <v>2000</v>
      </c>
      <c r="J26" s="78">
        <f t="shared" si="3"/>
        <v>-1200</v>
      </c>
      <c r="K26" s="78">
        <f t="shared" si="4"/>
        <v>19906.233649604863</v>
      </c>
      <c r="L26" s="78">
        <f t="shared" si="5"/>
        <v>22</v>
      </c>
      <c r="M26" s="78">
        <f t="shared" si="6"/>
        <v>108.79</v>
      </c>
      <c r="N26" s="78">
        <f t="shared" si="7"/>
        <v>3843.915908598568</v>
      </c>
      <c r="O26" s="78">
        <f t="shared" si="8"/>
        <v>3843.915908598568</v>
      </c>
      <c r="P26" s="78">
        <f t="shared" si="9"/>
        <v>-1757.125908598568</v>
      </c>
      <c r="Q26" s="165">
        <v>0</v>
      </c>
      <c r="R26" s="166">
        <f t="shared" si="10"/>
        <v>0</v>
      </c>
      <c r="S26" s="119">
        <f t="shared" si="11"/>
        <v>17462.317741006296</v>
      </c>
      <c r="T26" s="167">
        <f t="shared" si="12"/>
        <v>960.42747575534634</v>
      </c>
      <c r="U26" s="165">
        <f>[1]Sheet1!$D$87</f>
        <v>1200</v>
      </c>
      <c r="V26" s="166">
        <f t="shared" si="13"/>
        <v>13.200000000000001</v>
      </c>
      <c r="W26" s="33">
        <f t="shared" si="14"/>
        <v>17422.745216761643</v>
      </c>
      <c r="X26" s="167">
        <f t="shared" si="15"/>
        <v>892.25098692189033</v>
      </c>
      <c r="Y26" s="236">
        <v>400</v>
      </c>
      <c r="Z26" s="166">
        <f t="shared" si="16"/>
        <v>4.4000000000000004</v>
      </c>
      <c r="AA26" s="33">
        <f t="shared" si="17"/>
        <v>18114.996203683535</v>
      </c>
      <c r="AB26" s="167">
        <f t="shared" si="18"/>
        <v>974.32479120259438</v>
      </c>
      <c r="AC26" s="236">
        <v>400</v>
      </c>
      <c r="AD26" s="166">
        <f t="shared" si="19"/>
        <v>4.4000000000000004</v>
      </c>
      <c r="AE26" s="33">
        <f t="shared" si="20"/>
        <v>18889.320994886129</v>
      </c>
      <c r="AF26" s="167">
        <f t="shared" si="21"/>
        <v>1016.9126547187371</v>
      </c>
      <c r="AG26" s="87">
        <f t="shared" si="22"/>
        <v>2000</v>
      </c>
    </row>
    <row r="27" spans="1:33">
      <c r="A27" s="10" t="s">
        <v>598</v>
      </c>
      <c r="B27" s="10"/>
      <c r="C27" s="10" t="s">
        <v>110</v>
      </c>
      <c r="D27" s="80">
        <v>0</v>
      </c>
      <c r="E27" s="79">
        <f t="shared" si="0"/>
        <v>800</v>
      </c>
      <c r="F27" s="79">
        <f>'2020-2021 New'!J27</f>
        <v>8731.5789373323169</v>
      </c>
      <c r="G27" s="139">
        <f>'2020-2021 New'!F27</f>
        <v>0</v>
      </c>
      <c r="H27" s="78">
        <f t="shared" si="1"/>
        <v>800</v>
      </c>
      <c r="I27" s="159">
        <f t="shared" si="2"/>
        <v>0</v>
      </c>
      <c r="J27" s="78">
        <f t="shared" si="3"/>
        <v>800</v>
      </c>
      <c r="K27" s="78">
        <f t="shared" si="4"/>
        <v>11733.113431570317</v>
      </c>
      <c r="L27" s="78">
        <f t="shared" si="5"/>
        <v>0</v>
      </c>
      <c r="M27" s="78">
        <f t="shared" si="6"/>
        <v>0</v>
      </c>
      <c r="N27" s="78">
        <f t="shared" si="7"/>
        <v>2201.5344942379993</v>
      </c>
      <c r="O27" s="78">
        <f t="shared" si="8"/>
        <v>2201.5344942379993</v>
      </c>
      <c r="P27" s="78">
        <f t="shared" si="9"/>
        <v>-2201.5344942379993</v>
      </c>
      <c r="Q27" s="165">
        <v>0</v>
      </c>
      <c r="R27" s="166">
        <f t="shared" si="10"/>
        <v>0</v>
      </c>
      <c r="S27" s="119">
        <f t="shared" si="11"/>
        <v>8931.5789373323169</v>
      </c>
      <c r="T27" s="167">
        <f t="shared" si="12"/>
        <v>491.23684155327743</v>
      </c>
      <c r="U27" s="165">
        <v>0</v>
      </c>
      <c r="V27" s="166">
        <f t="shared" si="13"/>
        <v>0</v>
      </c>
      <c r="W27" s="33">
        <f t="shared" si="14"/>
        <v>9622.8157788855951</v>
      </c>
      <c r="X27" s="167">
        <f t="shared" si="15"/>
        <v>529.2548678387077</v>
      </c>
      <c r="Y27" s="165">
        <v>0</v>
      </c>
      <c r="Z27" s="166">
        <f t="shared" si="16"/>
        <v>0</v>
      </c>
      <c r="AA27" s="33">
        <f t="shared" si="17"/>
        <v>10352.070646724304</v>
      </c>
      <c r="AB27" s="167">
        <f t="shared" si="18"/>
        <v>569.36388556983673</v>
      </c>
      <c r="AC27" s="165">
        <v>0</v>
      </c>
      <c r="AD27" s="166">
        <f t="shared" si="19"/>
        <v>0</v>
      </c>
      <c r="AE27" s="33">
        <f t="shared" si="20"/>
        <v>11121.434532294141</v>
      </c>
      <c r="AF27" s="167">
        <f t="shared" si="21"/>
        <v>611.67889927617773</v>
      </c>
      <c r="AG27" s="87">
        <f t="shared" si="22"/>
        <v>0</v>
      </c>
    </row>
    <row r="28" spans="1:33">
      <c r="A28" s="10" t="s">
        <v>599</v>
      </c>
      <c r="B28" s="10"/>
      <c r="C28" s="10" t="s">
        <v>116</v>
      </c>
      <c r="D28" s="80">
        <v>0</v>
      </c>
      <c r="E28" s="79">
        <f t="shared" si="0"/>
        <v>800</v>
      </c>
      <c r="F28" s="79">
        <f>'2020-2021 New'!J28</f>
        <v>14477.889808985376</v>
      </c>
      <c r="G28" s="139">
        <f>'2020-2021 New'!F28</f>
        <v>0</v>
      </c>
      <c r="H28" s="78">
        <f t="shared" si="1"/>
        <v>800</v>
      </c>
      <c r="I28" s="159">
        <f t="shared" si="2"/>
        <v>0</v>
      </c>
      <c r="J28" s="78">
        <f t="shared" si="3"/>
        <v>800</v>
      </c>
      <c r="K28" s="78">
        <f t="shared" si="4"/>
        <v>18851.784989528554</v>
      </c>
      <c r="L28" s="78">
        <f t="shared" si="5"/>
        <v>0</v>
      </c>
      <c r="M28" s="78">
        <f t="shared" si="6"/>
        <v>0</v>
      </c>
      <c r="N28" s="78">
        <f t="shared" si="7"/>
        <v>3573.8951805431798</v>
      </c>
      <c r="O28" s="78">
        <f t="shared" si="8"/>
        <v>3573.8951805431798</v>
      </c>
      <c r="P28" s="78">
        <f t="shared" si="9"/>
        <v>-3573.8951805431798</v>
      </c>
      <c r="Q28" s="165">
        <v>0</v>
      </c>
      <c r="R28" s="166">
        <f t="shared" si="10"/>
        <v>0</v>
      </c>
      <c r="S28" s="119">
        <f t="shared" si="11"/>
        <v>14677.889808985376</v>
      </c>
      <c r="T28" s="167">
        <f t="shared" si="12"/>
        <v>807.28393949419569</v>
      </c>
      <c r="U28" s="165">
        <v>0</v>
      </c>
      <c r="V28" s="166">
        <f t="shared" si="13"/>
        <v>0</v>
      </c>
      <c r="W28" s="33">
        <f t="shared" si="14"/>
        <v>15685.17374847957</v>
      </c>
      <c r="X28" s="167">
        <f t="shared" si="15"/>
        <v>862.68455616637641</v>
      </c>
      <c r="Y28" s="165">
        <v>0</v>
      </c>
      <c r="Z28" s="166">
        <f t="shared" si="16"/>
        <v>0</v>
      </c>
      <c r="AA28" s="33">
        <f t="shared" si="17"/>
        <v>16747.858304645946</v>
      </c>
      <c r="AB28" s="167">
        <f t="shared" si="18"/>
        <v>921.13220675552702</v>
      </c>
      <c r="AC28" s="165">
        <v>0</v>
      </c>
      <c r="AD28" s="166">
        <f t="shared" si="19"/>
        <v>0</v>
      </c>
      <c r="AE28" s="33">
        <f t="shared" si="20"/>
        <v>17868.990511401473</v>
      </c>
      <c r="AF28" s="167">
        <f t="shared" si="21"/>
        <v>982.79447812708099</v>
      </c>
      <c r="AG28" s="87">
        <f t="shared" si="22"/>
        <v>0</v>
      </c>
    </row>
    <row r="29" spans="1:33">
      <c r="A29" s="10" t="s">
        <v>600</v>
      </c>
      <c r="B29" s="10"/>
      <c r="C29" s="10" t="s">
        <v>141</v>
      </c>
      <c r="D29" s="80">
        <v>0</v>
      </c>
      <c r="E29" s="79">
        <f t="shared" si="0"/>
        <v>800</v>
      </c>
      <c r="F29" s="79">
        <f>'2020-2021 New'!J29</f>
        <v>14764.753838985147</v>
      </c>
      <c r="G29" s="139">
        <f>'2020-2021 New'!F29</f>
        <v>3000</v>
      </c>
      <c r="H29" s="78">
        <f t="shared" si="1"/>
        <v>800</v>
      </c>
      <c r="I29" s="159">
        <f t="shared" si="2"/>
        <v>0</v>
      </c>
      <c r="J29" s="78">
        <f t="shared" si="3"/>
        <v>800</v>
      </c>
      <c r="K29" s="78">
        <f t="shared" si="4"/>
        <v>19207.159221269903</v>
      </c>
      <c r="L29" s="78">
        <f t="shared" si="5"/>
        <v>0</v>
      </c>
      <c r="M29" s="78">
        <f t="shared" si="6"/>
        <v>0</v>
      </c>
      <c r="N29" s="78">
        <f t="shared" si="7"/>
        <v>3642.4053822847554</v>
      </c>
      <c r="O29" s="78">
        <f t="shared" si="8"/>
        <v>3642.4053822847554</v>
      </c>
      <c r="P29" s="78">
        <f t="shared" si="9"/>
        <v>-3642.4053822847554</v>
      </c>
      <c r="Q29" s="165">
        <v>0</v>
      </c>
      <c r="R29" s="166">
        <f t="shared" si="10"/>
        <v>0</v>
      </c>
      <c r="S29" s="119">
        <f t="shared" si="11"/>
        <v>14964.753838985147</v>
      </c>
      <c r="T29" s="167">
        <f t="shared" si="12"/>
        <v>823.06146114418311</v>
      </c>
      <c r="U29" s="165">
        <v>0</v>
      </c>
      <c r="V29" s="166">
        <f t="shared" si="13"/>
        <v>0</v>
      </c>
      <c r="W29" s="33">
        <f t="shared" si="14"/>
        <v>15987.81530012933</v>
      </c>
      <c r="X29" s="167">
        <f t="shared" si="15"/>
        <v>879.3298415071132</v>
      </c>
      <c r="Y29" s="165">
        <v>0</v>
      </c>
      <c r="Z29" s="166">
        <f t="shared" si="16"/>
        <v>0</v>
      </c>
      <c r="AA29" s="33">
        <f t="shared" si="17"/>
        <v>17067.145141636443</v>
      </c>
      <c r="AB29" s="167">
        <f t="shared" si="18"/>
        <v>938.69298279000441</v>
      </c>
      <c r="AC29" s="165">
        <v>0</v>
      </c>
      <c r="AD29" s="166">
        <f t="shared" si="19"/>
        <v>0</v>
      </c>
      <c r="AE29" s="33">
        <f t="shared" si="20"/>
        <v>18205.838124426449</v>
      </c>
      <c r="AF29" s="167">
        <f t="shared" si="21"/>
        <v>1001.3210968434547</v>
      </c>
      <c r="AG29" s="87">
        <f t="shared" si="22"/>
        <v>0</v>
      </c>
    </row>
    <row r="30" spans="1:33">
      <c r="A30" s="10" t="s">
        <v>601</v>
      </c>
      <c r="B30" s="10"/>
      <c r="C30" s="10" t="s">
        <v>122</v>
      </c>
      <c r="D30" s="80">
        <v>0</v>
      </c>
      <c r="E30" s="79">
        <f t="shared" si="0"/>
        <v>800</v>
      </c>
      <c r="F30" s="79">
        <f>'2020-2021 New'!J30</f>
        <v>10038.293385755764</v>
      </c>
      <c r="G30" s="139">
        <f>'2020-2021 New'!F30</f>
        <v>200</v>
      </c>
      <c r="H30" s="78">
        <f t="shared" si="1"/>
        <v>800</v>
      </c>
      <c r="I30" s="159">
        <f t="shared" si="2"/>
        <v>0</v>
      </c>
      <c r="J30" s="78">
        <f t="shared" si="3"/>
        <v>800</v>
      </c>
      <c r="K30" s="78">
        <f t="shared" si="4"/>
        <v>13351.903501605133</v>
      </c>
      <c r="L30" s="78">
        <f t="shared" si="5"/>
        <v>0</v>
      </c>
      <c r="M30" s="78">
        <f t="shared" si="6"/>
        <v>0</v>
      </c>
      <c r="N30" s="78">
        <f t="shared" si="7"/>
        <v>2513.6101158493689</v>
      </c>
      <c r="O30" s="78">
        <f t="shared" si="8"/>
        <v>2513.6101158493689</v>
      </c>
      <c r="P30" s="78">
        <f t="shared" si="9"/>
        <v>-2513.6101158493689</v>
      </c>
      <c r="Q30" s="165">
        <v>0</v>
      </c>
      <c r="R30" s="166">
        <f t="shared" si="10"/>
        <v>0</v>
      </c>
      <c r="S30" s="119">
        <f t="shared" si="11"/>
        <v>10238.293385755764</v>
      </c>
      <c r="T30" s="167">
        <f t="shared" si="12"/>
        <v>563.10613621656705</v>
      </c>
      <c r="U30" s="165">
        <v>0</v>
      </c>
      <c r="V30" s="166">
        <f t="shared" si="13"/>
        <v>0</v>
      </c>
      <c r="W30" s="33">
        <f t="shared" si="14"/>
        <v>11001.399521972331</v>
      </c>
      <c r="X30" s="167">
        <f t="shared" si="15"/>
        <v>605.07697370847825</v>
      </c>
      <c r="Y30" s="165">
        <v>0</v>
      </c>
      <c r="Z30" s="166">
        <f t="shared" si="16"/>
        <v>0</v>
      </c>
      <c r="AA30" s="33">
        <f t="shared" si="17"/>
        <v>11806.476495680809</v>
      </c>
      <c r="AB30" s="167">
        <f t="shared" si="18"/>
        <v>649.35620726244451</v>
      </c>
      <c r="AC30" s="165">
        <v>0</v>
      </c>
      <c r="AD30" s="166">
        <f t="shared" si="19"/>
        <v>0</v>
      </c>
      <c r="AE30" s="33">
        <f t="shared" si="20"/>
        <v>12655.832702943253</v>
      </c>
      <c r="AF30" s="167">
        <f t="shared" si="21"/>
        <v>696.07079866187894</v>
      </c>
      <c r="AG30" s="87">
        <f t="shared" si="22"/>
        <v>0</v>
      </c>
    </row>
    <row r="31" spans="1:33">
      <c r="A31" s="10" t="s">
        <v>602</v>
      </c>
      <c r="B31" s="10"/>
      <c r="C31" s="10" t="s">
        <v>116</v>
      </c>
      <c r="D31" s="80">
        <v>0</v>
      </c>
      <c r="E31" s="79">
        <f t="shared" si="0"/>
        <v>800</v>
      </c>
      <c r="F31" s="79">
        <f>'2020-2021 New'!J31</f>
        <v>3491.6259450202165</v>
      </c>
      <c r="G31" s="139">
        <f>'2020-2021 New'!F31</f>
        <v>0</v>
      </c>
      <c r="H31" s="78">
        <f t="shared" si="1"/>
        <v>800</v>
      </c>
      <c r="I31" s="159">
        <f t="shared" si="2"/>
        <v>1900</v>
      </c>
      <c r="J31" s="78">
        <f t="shared" si="3"/>
        <v>-1100</v>
      </c>
      <c r="K31" s="78">
        <f t="shared" si="4"/>
        <v>3155.4388587653552</v>
      </c>
      <c r="L31" s="78">
        <f t="shared" si="5"/>
        <v>20.900000000000002</v>
      </c>
      <c r="M31" s="78">
        <f t="shared" si="6"/>
        <v>103.3505</v>
      </c>
      <c r="N31" s="78">
        <f t="shared" si="7"/>
        <v>763.81291374513864</v>
      </c>
      <c r="O31" s="78">
        <f t="shared" si="8"/>
        <v>763.81291374513864</v>
      </c>
      <c r="P31" s="78">
        <f t="shared" si="9"/>
        <v>1218.6375862548612</v>
      </c>
      <c r="Q31" s="236">
        <f>[1]Sheet1!$D$79</f>
        <v>500</v>
      </c>
      <c r="R31" s="166">
        <f t="shared" si="10"/>
        <v>5.5000000000000009</v>
      </c>
      <c r="S31" s="119">
        <f t="shared" si="11"/>
        <v>3691.6259450202165</v>
      </c>
      <c r="T31" s="167">
        <f t="shared" si="12"/>
        <v>175.53942697611191</v>
      </c>
      <c r="U31" s="165">
        <v>0</v>
      </c>
      <c r="V31" s="166">
        <f t="shared" si="13"/>
        <v>0</v>
      </c>
      <c r="W31" s="33">
        <f t="shared" si="14"/>
        <v>4067.1653719963283</v>
      </c>
      <c r="X31" s="167">
        <f t="shared" si="15"/>
        <v>223.69409545979806</v>
      </c>
      <c r="Y31" s="165">
        <v>0</v>
      </c>
      <c r="Z31" s="166">
        <f t="shared" si="16"/>
        <v>0</v>
      </c>
      <c r="AA31" s="33">
        <f t="shared" si="17"/>
        <v>4490.8594674561264</v>
      </c>
      <c r="AB31" s="167">
        <f t="shared" si="18"/>
        <v>246.99727071008695</v>
      </c>
      <c r="AC31" s="236">
        <v>1400</v>
      </c>
      <c r="AD31" s="166">
        <f t="shared" si="19"/>
        <v>15.400000000000002</v>
      </c>
      <c r="AE31" s="33">
        <f t="shared" si="20"/>
        <v>3537.8567381662133</v>
      </c>
      <c r="AF31" s="167">
        <f t="shared" si="21"/>
        <v>117.58212059914173</v>
      </c>
      <c r="AG31" s="87">
        <f t="shared" si="22"/>
        <v>1900</v>
      </c>
    </row>
    <row r="32" spans="1:33">
      <c r="A32" s="10" t="s">
        <v>603</v>
      </c>
      <c r="B32" s="10"/>
      <c r="C32" s="10" t="s">
        <v>115</v>
      </c>
      <c r="D32" s="80">
        <v>0</v>
      </c>
      <c r="E32" s="79">
        <f t="shared" si="0"/>
        <v>800</v>
      </c>
      <c r="F32" s="79">
        <f>'2020-2021 New'!J32</f>
        <v>3485.7395963966446</v>
      </c>
      <c r="G32" s="139">
        <f>'2020-2021 New'!F32</f>
        <v>0</v>
      </c>
      <c r="H32" s="78">
        <f t="shared" si="1"/>
        <v>800</v>
      </c>
      <c r="I32" s="159">
        <f t="shared" si="2"/>
        <v>1200</v>
      </c>
      <c r="J32" s="78">
        <f t="shared" si="3"/>
        <v>-400</v>
      </c>
      <c r="K32" s="78">
        <f t="shared" si="4"/>
        <v>3833.9402428008016</v>
      </c>
      <c r="L32" s="78">
        <f t="shared" si="5"/>
        <v>13.200000000000003</v>
      </c>
      <c r="M32" s="78">
        <f t="shared" si="6"/>
        <v>65.274000000000001</v>
      </c>
      <c r="N32" s="78">
        <f t="shared" si="7"/>
        <v>748.20064640415706</v>
      </c>
      <c r="O32" s="78">
        <f t="shared" si="8"/>
        <v>748.20064640415706</v>
      </c>
      <c r="P32" s="78">
        <f t="shared" si="9"/>
        <v>503.8733535958429</v>
      </c>
      <c r="Q32" s="165">
        <v>0</v>
      </c>
      <c r="R32" s="166">
        <f t="shared" si="10"/>
        <v>0</v>
      </c>
      <c r="S32" s="119">
        <f t="shared" si="11"/>
        <v>3685.7395963966446</v>
      </c>
      <c r="T32" s="167">
        <f t="shared" si="12"/>
        <v>202.71567780181545</v>
      </c>
      <c r="U32" s="236">
        <v>400</v>
      </c>
      <c r="V32" s="166">
        <f t="shared" si="13"/>
        <v>4.4000000000000004</v>
      </c>
      <c r="W32" s="33">
        <f t="shared" si="14"/>
        <v>3688.4552741984598</v>
      </c>
      <c r="X32" s="167">
        <f t="shared" si="15"/>
        <v>180.86504008091529</v>
      </c>
      <c r="Y32" s="236">
        <v>300</v>
      </c>
      <c r="Z32" s="166">
        <f t="shared" si="16"/>
        <v>3.3000000000000003</v>
      </c>
      <c r="AA32" s="33">
        <f t="shared" si="17"/>
        <v>3769.320314279375</v>
      </c>
      <c r="AB32" s="167">
        <f t="shared" si="18"/>
        <v>190.81261728536563</v>
      </c>
      <c r="AC32" s="236">
        <v>500</v>
      </c>
      <c r="AD32" s="166">
        <f t="shared" si="19"/>
        <v>5.5000000000000009</v>
      </c>
      <c r="AE32" s="33">
        <f t="shared" si="20"/>
        <v>3660.1329315647408</v>
      </c>
      <c r="AF32" s="167">
        <f t="shared" si="21"/>
        <v>173.80731123606074</v>
      </c>
      <c r="AG32" s="87">
        <f t="shared" si="22"/>
        <v>1200</v>
      </c>
    </row>
    <row r="33" spans="1:33">
      <c r="A33" s="10" t="s">
        <v>604</v>
      </c>
      <c r="B33" s="10"/>
      <c r="C33" s="10" t="s">
        <v>123</v>
      </c>
      <c r="D33" s="80">
        <v>0</v>
      </c>
      <c r="E33" s="79">
        <f t="shared" si="0"/>
        <v>800</v>
      </c>
      <c r="F33" s="79">
        <f>'2020-2021 New'!J33</f>
        <v>16898.238448770389</v>
      </c>
      <c r="G33" s="139">
        <f>'2020-2021 New'!F33</f>
        <v>200</v>
      </c>
      <c r="H33" s="78">
        <f t="shared" si="1"/>
        <v>800</v>
      </c>
      <c r="I33" s="159">
        <f t="shared" si="2"/>
        <v>0</v>
      </c>
      <c r="J33" s="78">
        <f t="shared" si="3"/>
        <v>800</v>
      </c>
      <c r="K33" s="78">
        <f t="shared" si="4"/>
        <v>21850.17254760092</v>
      </c>
      <c r="L33" s="78">
        <f t="shared" si="5"/>
        <v>0</v>
      </c>
      <c r="M33" s="78">
        <f t="shared" si="6"/>
        <v>0</v>
      </c>
      <c r="N33" s="78">
        <f t="shared" si="7"/>
        <v>4151.9340988305303</v>
      </c>
      <c r="O33" s="78">
        <f t="shared" si="8"/>
        <v>4151.9340988305303</v>
      </c>
      <c r="P33" s="78">
        <f t="shared" si="9"/>
        <v>-4151.9340988305303</v>
      </c>
      <c r="Q33" s="165">
        <v>0</v>
      </c>
      <c r="R33" s="166">
        <f t="shared" si="10"/>
        <v>0</v>
      </c>
      <c r="S33" s="119">
        <f t="shared" si="11"/>
        <v>17098.238448770389</v>
      </c>
      <c r="T33" s="167">
        <f t="shared" si="12"/>
        <v>940.40311468237144</v>
      </c>
      <c r="U33" s="165">
        <v>0</v>
      </c>
      <c r="V33" s="166">
        <f t="shared" si="13"/>
        <v>0</v>
      </c>
      <c r="W33" s="33">
        <f t="shared" si="14"/>
        <v>18238.641563452762</v>
      </c>
      <c r="X33" s="167">
        <f t="shared" si="15"/>
        <v>1003.125285989902</v>
      </c>
      <c r="Y33" s="165">
        <v>0</v>
      </c>
      <c r="Z33" s="166">
        <f t="shared" si="16"/>
        <v>0</v>
      </c>
      <c r="AA33" s="33">
        <f t="shared" si="17"/>
        <v>19441.766849442665</v>
      </c>
      <c r="AB33" s="167">
        <f t="shared" si="18"/>
        <v>1069.2971767193467</v>
      </c>
      <c r="AC33" s="165"/>
      <c r="AD33" s="166">
        <f t="shared" si="19"/>
        <v>0</v>
      </c>
      <c r="AE33" s="33">
        <f t="shared" si="20"/>
        <v>20711.064026162014</v>
      </c>
      <c r="AF33" s="167">
        <f t="shared" si="21"/>
        <v>1139.1085214389107</v>
      </c>
      <c r="AG33" s="87">
        <f t="shared" si="22"/>
        <v>0</v>
      </c>
    </row>
    <row r="34" spans="1:33">
      <c r="A34" s="10" t="s">
        <v>605</v>
      </c>
      <c r="B34" s="10"/>
      <c r="C34" s="10"/>
      <c r="D34" s="80">
        <v>0</v>
      </c>
      <c r="E34" s="79">
        <f t="shared" si="0"/>
        <v>800</v>
      </c>
      <c r="F34" s="79">
        <f>'2020-2021 New'!J34</f>
        <v>14368.025516036127</v>
      </c>
      <c r="G34" s="139">
        <f>'2020-2021 New'!F34</f>
        <v>0</v>
      </c>
      <c r="H34" s="78">
        <f t="shared" si="1"/>
        <v>800</v>
      </c>
      <c r="I34" s="159">
        <f t="shared" si="2"/>
        <v>300</v>
      </c>
      <c r="J34" s="78">
        <f t="shared" si="3"/>
        <v>500</v>
      </c>
      <c r="K34" s="78">
        <f t="shared" si="4"/>
        <v>18382.682395199539</v>
      </c>
      <c r="L34" s="78">
        <f t="shared" si="5"/>
        <v>3.3000000000000003</v>
      </c>
      <c r="M34" s="78">
        <f t="shared" si="6"/>
        <v>16.3185</v>
      </c>
      <c r="N34" s="78">
        <f t="shared" si="7"/>
        <v>3514.6568791634136</v>
      </c>
      <c r="O34" s="78">
        <f t="shared" si="8"/>
        <v>3514.6568791634136</v>
      </c>
      <c r="P34" s="78">
        <f t="shared" si="9"/>
        <v>-3201.6383791634139</v>
      </c>
      <c r="Q34" s="165">
        <v>0</v>
      </c>
      <c r="R34" s="166">
        <f t="shared" si="10"/>
        <v>0</v>
      </c>
      <c r="S34" s="119">
        <f t="shared" si="11"/>
        <v>14568.025516036127</v>
      </c>
      <c r="T34" s="167">
        <f t="shared" si="12"/>
        <v>801.24140338198697</v>
      </c>
      <c r="U34" s="165">
        <v>0</v>
      </c>
      <c r="V34" s="166">
        <f t="shared" si="13"/>
        <v>0</v>
      </c>
      <c r="W34" s="33">
        <f t="shared" si="14"/>
        <v>15569.266919418114</v>
      </c>
      <c r="X34" s="167">
        <f t="shared" si="15"/>
        <v>856.30968056799634</v>
      </c>
      <c r="Y34" s="165">
        <v>0</v>
      </c>
      <c r="Z34" s="166">
        <f t="shared" si="16"/>
        <v>0</v>
      </c>
      <c r="AA34" s="33">
        <f t="shared" si="17"/>
        <v>16625.576599986111</v>
      </c>
      <c r="AB34" s="167">
        <f t="shared" si="18"/>
        <v>914.40671299923611</v>
      </c>
      <c r="AC34" s="165">
        <v>300</v>
      </c>
      <c r="AD34" s="166">
        <f t="shared" si="19"/>
        <v>3.3000000000000003</v>
      </c>
      <c r="AE34" s="33">
        <f t="shared" si="20"/>
        <v>17439.983312985347</v>
      </c>
      <c r="AF34" s="167">
        <f t="shared" si="21"/>
        <v>942.69908221419405</v>
      </c>
      <c r="AG34" s="87">
        <f t="shared" si="22"/>
        <v>300</v>
      </c>
    </row>
    <row r="35" spans="1:33">
      <c r="A35" s="10" t="s">
        <v>606</v>
      </c>
      <c r="B35" s="10"/>
      <c r="C35" s="10" t="s">
        <v>113</v>
      </c>
      <c r="D35" s="80">
        <v>0</v>
      </c>
      <c r="E35" s="79">
        <f t="shared" si="0"/>
        <v>800</v>
      </c>
      <c r="F35" s="79">
        <f>'2020-2021 New'!J35</f>
        <v>18705.533400723434</v>
      </c>
      <c r="G35" s="139">
        <f>'2020-2021 New'!F35</f>
        <v>200</v>
      </c>
      <c r="H35" s="78">
        <f t="shared" si="1"/>
        <v>800</v>
      </c>
      <c r="I35" s="159">
        <f t="shared" si="2"/>
        <v>0</v>
      </c>
      <c r="J35" s="78">
        <f t="shared" si="3"/>
        <v>800</v>
      </c>
      <c r="K35" s="78">
        <f t="shared" si="4"/>
        <v>24089.094085030476</v>
      </c>
      <c r="L35" s="78">
        <f t="shared" si="5"/>
        <v>0</v>
      </c>
      <c r="M35" s="78">
        <f t="shared" si="6"/>
        <v>0</v>
      </c>
      <c r="N35" s="78">
        <f t="shared" si="7"/>
        <v>4583.5606843070427</v>
      </c>
      <c r="O35" s="78">
        <f t="shared" si="8"/>
        <v>4583.5606843070427</v>
      </c>
      <c r="P35" s="78">
        <f t="shared" si="9"/>
        <v>-4583.5606843070427</v>
      </c>
      <c r="Q35" s="165">
        <v>0</v>
      </c>
      <c r="R35" s="166">
        <f t="shared" si="10"/>
        <v>0</v>
      </c>
      <c r="S35" s="119">
        <f t="shared" si="11"/>
        <v>18905.533400723434</v>
      </c>
      <c r="T35" s="167">
        <f t="shared" si="12"/>
        <v>1039.8043370397888</v>
      </c>
      <c r="U35" s="165">
        <v>0</v>
      </c>
      <c r="V35" s="166">
        <f t="shared" si="13"/>
        <v>0</v>
      </c>
      <c r="W35" s="33">
        <f t="shared" si="14"/>
        <v>20145.337737763224</v>
      </c>
      <c r="X35" s="167">
        <f t="shared" si="15"/>
        <v>1107.9935755769773</v>
      </c>
      <c r="Y35" s="165">
        <v>0</v>
      </c>
      <c r="Z35" s="166">
        <f t="shared" si="16"/>
        <v>0</v>
      </c>
      <c r="AA35" s="33">
        <f t="shared" si="17"/>
        <v>21453.331313340201</v>
      </c>
      <c r="AB35" s="167">
        <f t="shared" si="18"/>
        <v>1179.9332222337111</v>
      </c>
      <c r="AC35" s="165">
        <v>0</v>
      </c>
      <c r="AD35" s="166">
        <f t="shared" si="19"/>
        <v>0</v>
      </c>
      <c r="AE35" s="33">
        <f t="shared" si="20"/>
        <v>22833.264535573911</v>
      </c>
      <c r="AF35" s="167">
        <f t="shared" si="21"/>
        <v>1255.8295494565652</v>
      </c>
      <c r="AG35" s="87">
        <f t="shared" si="22"/>
        <v>0</v>
      </c>
    </row>
    <row r="36" spans="1:33">
      <c r="A36" s="10" t="s">
        <v>607</v>
      </c>
      <c r="B36" s="10"/>
      <c r="C36" s="10"/>
      <c r="D36" s="80">
        <v>0</v>
      </c>
      <c r="E36" s="79">
        <f t="shared" si="0"/>
        <v>800</v>
      </c>
      <c r="F36" s="79">
        <f>'2020-2021 New'!J36</f>
        <v>17259.697439161002</v>
      </c>
      <c r="G36" s="139">
        <f>'2020-2021 New'!F36</f>
        <v>0</v>
      </c>
      <c r="H36" s="78">
        <f t="shared" si="1"/>
        <v>800</v>
      </c>
      <c r="I36" s="159">
        <f t="shared" si="2"/>
        <v>0</v>
      </c>
      <c r="J36" s="78">
        <f t="shared" si="3"/>
        <v>800</v>
      </c>
      <c r="K36" s="78">
        <f t="shared" si="4"/>
        <v>22297.956855086835</v>
      </c>
      <c r="L36" s="78">
        <f t="shared" si="5"/>
        <v>0</v>
      </c>
      <c r="M36" s="78">
        <f t="shared" si="6"/>
        <v>0</v>
      </c>
      <c r="N36" s="78">
        <f t="shared" si="7"/>
        <v>4238.2594159258333</v>
      </c>
      <c r="O36" s="78">
        <f t="shared" si="8"/>
        <v>4238.2594159258333</v>
      </c>
      <c r="P36" s="78">
        <f t="shared" si="9"/>
        <v>-4238.2594159258333</v>
      </c>
      <c r="Q36" s="165">
        <v>0</v>
      </c>
      <c r="R36" s="166">
        <f t="shared" si="10"/>
        <v>0</v>
      </c>
      <c r="S36" s="119">
        <f t="shared" si="11"/>
        <v>17459.697439161002</v>
      </c>
      <c r="T36" s="167">
        <f t="shared" si="12"/>
        <v>960.28335915385514</v>
      </c>
      <c r="U36" s="165"/>
      <c r="V36" s="166">
        <f t="shared" si="13"/>
        <v>0</v>
      </c>
      <c r="W36" s="33">
        <f t="shared" si="14"/>
        <v>18619.980798314857</v>
      </c>
      <c r="X36" s="167">
        <f t="shared" si="15"/>
        <v>1024.0989439073171</v>
      </c>
      <c r="Y36" s="165"/>
      <c r="Z36" s="166">
        <f t="shared" si="16"/>
        <v>0</v>
      </c>
      <c r="AA36" s="33">
        <f t="shared" si="17"/>
        <v>19844.079742222173</v>
      </c>
      <c r="AB36" s="167">
        <f t="shared" si="18"/>
        <v>1091.4243858222196</v>
      </c>
      <c r="AC36" s="165"/>
      <c r="AD36" s="166">
        <f t="shared" si="19"/>
        <v>0</v>
      </c>
      <c r="AE36" s="33">
        <f t="shared" si="20"/>
        <v>21135.504128044391</v>
      </c>
      <c r="AF36" s="167">
        <f t="shared" si="21"/>
        <v>1162.4527270424414</v>
      </c>
      <c r="AG36" s="87">
        <f t="shared" si="22"/>
        <v>0</v>
      </c>
    </row>
    <row r="37" spans="1:33">
      <c r="A37" s="10" t="s">
        <v>608</v>
      </c>
      <c r="B37" s="10"/>
      <c r="C37" s="10" t="s">
        <v>142</v>
      </c>
      <c r="D37" s="80">
        <v>0</v>
      </c>
      <c r="E37" s="79">
        <f t="shared" si="0"/>
        <v>800</v>
      </c>
      <c r="F37" s="79">
        <f>'2020-2021 New'!J37</f>
        <v>11666.089591180651</v>
      </c>
      <c r="G37" s="139">
        <f>'2020-2021 New'!F37</f>
        <v>2600</v>
      </c>
      <c r="H37" s="78">
        <f t="shared" si="1"/>
        <v>800</v>
      </c>
      <c r="I37" s="159">
        <f t="shared" si="2"/>
        <v>0</v>
      </c>
      <c r="J37" s="78">
        <f t="shared" si="3"/>
        <v>800</v>
      </c>
      <c r="K37" s="78">
        <f t="shared" si="4"/>
        <v>15368.45756707932</v>
      </c>
      <c r="L37" s="78">
        <f t="shared" si="5"/>
        <v>0</v>
      </c>
      <c r="M37" s="78">
        <f t="shared" si="6"/>
        <v>0</v>
      </c>
      <c r="N37" s="78">
        <f t="shared" si="7"/>
        <v>2902.3679758986682</v>
      </c>
      <c r="O37" s="78">
        <f t="shared" si="8"/>
        <v>2902.3679758986682</v>
      </c>
      <c r="P37" s="78">
        <f t="shared" si="9"/>
        <v>-2902.3679758986682</v>
      </c>
      <c r="Q37" s="165">
        <v>0</v>
      </c>
      <c r="R37" s="166">
        <f t="shared" si="10"/>
        <v>0</v>
      </c>
      <c r="S37" s="119">
        <f t="shared" si="11"/>
        <v>11866.089591180651</v>
      </c>
      <c r="T37" s="167">
        <f t="shared" si="12"/>
        <v>652.63492751493584</v>
      </c>
      <c r="U37" s="165">
        <v>0</v>
      </c>
      <c r="V37" s="166">
        <f t="shared" si="13"/>
        <v>0</v>
      </c>
      <c r="W37" s="33">
        <f t="shared" si="14"/>
        <v>12718.724518695586</v>
      </c>
      <c r="X37" s="167">
        <f t="shared" si="15"/>
        <v>699.52984852825728</v>
      </c>
      <c r="Y37" s="165">
        <v>0</v>
      </c>
      <c r="Z37" s="166">
        <f t="shared" si="16"/>
        <v>0</v>
      </c>
      <c r="AA37" s="33">
        <f t="shared" si="17"/>
        <v>13618.254367223843</v>
      </c>
      <c r="AB37" s="167">
        <f t="shared" si="18"/>
        <v>749.0039901973114</v>
      </c>
      <c r="AC37" s="165">
        <v>0</v>
      </c>
      <c r="AD37" s="166">
        <f t="shared" si="19"/>
        <v>0</v>
      </c>
      <c r="AE37" s="33">
        <f t="shared" si="20"/>
        <v>14567.258357421153</v>
      </c>
      <c r="AF37" s="167">
        <f t="shared" si="21"/>
        <v>801.19920965816345</v>
      </c>
      <c r="AG37" s="87">
        <f t="shared" si="22"/>
        <v>0</v>
      </c>
    </row>
    <row r="38" spans="1:33">
      <c r="A38" s="10" t="s">
        <v>609</v>
      </c>
      <c r="B38" s="10"/>
      <c r="C38" s="10" t="s">
        <v>124</v>
      </c>
      <c r="D38" s="80">
        <v>0</v>
      </c>
      <c r="E38" s="79">
        <f t="shared" si="0"/>
        <v>800</v>
      </c>
      <c r="F38" s="79">
        <f>'2020-2021 New'!J38</f>
        <v>15603.07157273084</v>
      </c>
      <c r="G38" s="139">
        <f>'2020-2021 New'!F38</f>
        <v>0</v>
      </c>
      <c r="H38" s="78">
        <f t="shared" si="1"/>
        <v>800</v>
      </c>
      <c r="I38" s="159">
        <f t="shared" si="2"/>
        <v>0</v>
      </c>
      <c r="J38" s="78">
        <f t="shared" si="3"/>
        <v>800</v>
      </c>
      <c r="K38" s="78">
        <f t="shared" si="4"/>
        <v>20245.68789489015</v>
      </c>
      <c r="L38" s="78">
        <f t="shared" si="5"/>
        <v>0</v>
      </c>
      <c r="M38" s="78">
        <f t="shared" si="6"/>
        <v>0</v>
      </c>
      <c r="N38" s="78">
        <f t="shared" si="7"/>
        <v>3842.6163221593124</v>
      </c>
      <c r="O38" s="78">
        <f t="shared" si="8"/>
        <v>3842.6163221593124</v>
      </c>
      <c r="P38" s="78">
        <f t="shared" si="9"/>
        <v>-3842.6163221593124</v>
      </c>
      <c r="Q38" s="165">
        <v>0</v>
      </c>
      <c r="R38" s="166">
        <f t="shared" si="10"/>
        <v>0</v>
      </c>
      <c r="S38" s="119">
        <f t="shared" si="11"/>
        <v>15803.07157273084</v>
      </c>
      <c r="T38" s="167">
        <f t="shared" si="12"/>
        <v>869.1689365001962</v>
      </c>
      <c r="U38" s="165">
        <v>0</v>
      </c>
      <c r="V38" s="166">
        <f t="shared" si="13"/>
        <v>0</v>
      </c>
      <c r="W38" s="33">
        <f t="shared" si="14"/>
        <v>16872.240509231036</v>
      </c>
      <c r="X38" s="167">
        <f t="shared" si="15"/>
        <v>927.97322800770701</v>
      </c>
      <c r="Y38" s="165">
        <v>0</v>
      </c>
      <c r="Z38" s="166">
        <f t="shared" si="16"/>
        <v>0</v>
      </c>
      <c r="AA38" s="33">
        <f t="shared" si="17"/>
        <v>18000.213737238744</v>
      </c>
      <c r="AB38" s="167">
        <f t="shared" si="18"/>
        <v>990.01175554813096</v>
      </c>
      <c r="AC38" s="165">
        <v>0</v>
      </c>
      <c r="AD38" s="166">
        <f t="shared" si="19"/>
        <v>0</v>
      </c>
      <c r="AE38" s="33">
        <f t="shared" si="20"/>
        <v>19190.225492786874</v>
      </c>
      <c r="AF38" s="167">
        <f t="shared" si="21"/>
        <v>1055.462402103278</v>
      </c>
      <c r="AG38" s="87">
        <f t="shared" si="22"/>
        <v>0</v>
      </c>
    </row>
    <row r="39" spans="1:33">
      <c r="A39" s="10" t="s">
        <v>610</v>
      </c>
      <c r="B39" s="10"/>
      <c r="C39" s="10" t="s">
        <v>140</v>
      </c>
      <c r="D39" s="80">
        <v>0</v>
      </c>
      <c r="E39" s="79">
        <f t="shared" si="0"/>
        <v>800</v>
      </c>
      <c r="F39" s="79">
        <f>'2020-2021 New'!J39</f>
        <v>8683.5566670534681</v>
      </c>
      <c r="G39" s="139">
        <f>'2020-2021 New'!F39</f>
        <v>2400</v>
      </c>
      <c r="H39" s="78">
        <f t="shared" si="1"/>
        <v>800</v>
      </c>
      <c r="I39" s="159">
        <f t="shared" si="2"/>
        <v>0</v>
      </c>
      <c r="J39" s="78">
        <f t="shared" si="3"/>
        <v>800</v>
      </c>
      <c r="K39" s="78">
        <f t="shared" si="4"/>
        <v>11673.622259369902</v>
      </c>
      <c r="L39" s="78">
        <f t="shared" si="5"/>
        <v>0</v>
      </c>
      <c r="M39" s="78">
        <f t="shared" si="6"/>
        <v>0</v>
      </c>
      <c r="N39" s="78">
        <f t="shared" si="7"/>
        <v>2190.065592316434</v>
      </c>
      <c r="O39" s="78">
        <f t="shared" si="8"/>
        <v>2190.065592316434</v>
      </c>
      <c r="P39" s="78">
        <f t="shared" si="9"/>
        <v>-2190.065592316434</v>
      </c>
      <c r="Q39" s="165">
        <v>0</v>
      </c>
      <c r="R39" s="166">
        <f t="shared" si="10"/>
        <v>0</v>
      </c>
      <c r="S39" s="119">
        <f t="shared" si="11"/>
        <v>8883.5566670534681</v>
      </c>
      <c r="T39" s="167">
        <f t="shared" si="12"/>
        <v>488.59561668794078</v>
      </c>
      <c r="U39" s="165">
        <v>0</v>
      </c>
      <c r="V39" s="166">
        <f t="shared" si="13"/>
        <v>0</v>
      </c>
      <c r="W39" s="33">
        <f t="shared" si="14"/>
        <v>9572.1522837414086</v>
      </c>
      <c r="X39" s="167">
        <f t="shared" si="15"/>
        <v>526.46837560577751</v>
      </c>
      <c r="Y39" s="165">
        <v>0</v>
      </c>
      <c r="Z39" s="166">
        <f t="shared" si="16"/>
        <v>0</v>
      </c>
      <c r="AA39" s="33">
        <f t="shared" si="17"/>
        <v>10298.620659347187</v>
      </c>
      <c r="AB39" s="167">
        <f t="shared" si="18"/>
        <v>566.4241362640953</v>
      </c>
      <c r="AC39" s="165">
        <v>0</v>
      </c>
      <c r="AD39" s="166">
        <f t="shared" si="19"/>
        <v>0</v>
      </c>
      <c r="AE39" s="33">
        <f t="shared" si="20"/>
        <v>11065.044795611282</v>
      </c>
      <c r="AF39" s="167">
        <f t="shared" si="21"/>
        <v>608.57746375862052</v>
      </c>
      <c r="AG39" s="87">
        <f t="shared" si="22"/>
        <v>0</v>
      </c>
    </row>
    <row r="40" spans="1:33">
      <c r="A40" s="10" t="s">
        <v>611</v>
      </c>
      <c r="B40" s="10"/>
      <c r="C40" s="10" t="s">
        <v>125</v>
      </c>
      <c r="D40" s="80">
        <v>0</v>
      </c>
      <c r="E40" s="79">
        <f t="shared" si="0"/>
        <v>800</v>
      </c>
      <c r="F40" s="79">
        <f>'2020-2021 New'!J40</f>
        <v>18705.533400723434</v>
      </c>
      <c r="G40" s="139">
        <f>'2020-2021 New'!F40</f>
        <v>200</v>
      </c>
      <c r="H40" s="78">
        <f t="shared" si="1"/>
        <v>800</v>
      </c>
      <c r="I40" s="159">
        <f t="shared" si="2"/>
        <v>0</v>
      </c>
      <c r="J40" s="78">
        <f t="shared" si="3"/>
        <v>800</v>
      </c>
      <c r="K40" s="78">
        <f t="shared" si="4"/>
        <v>24089.094085030476</v>
      </c>
      <c r="L40" s="78">
        <f t="shared" si="5"/>
        <v>0</v>
      </c>
      <c r="M40" s="78">
        <f t="shared" si="6"/>
        <v>0</v>
      </c>
      <c r="N40" s="78">
        <f t="shared" si="7"/>
        <v>4583.5606843070427</v>
      </c>
      <c r="O40" s="78">
        <f t="shared" si="8"/>
        <v>4583.5606843070427</v>
      </c>
      <c r="P40" s="78">
        <f t="shared" si="9"/>
        <v>-4583.5606843070427</v>
      </c>
      <c r="Q40" s="165">
        <v>0</v>
      </c>
      <c r="R40" s="166">
        <f t="shared" si="10"/>
        <v>0</v>
      </c>
      <c r="S40" s="119">
        <f t="shared" si="11"/>
        <v>18905.533400723434</v>
      </c>
      <c r="T40" s="167">
        <f t="shared" si="12"/>
        <v>1039.8043370397888</v>
      </c>
      <c r="U40" s="165">
        <v>0</v>
      </c>
      <c r="V40" s="166">
        <f t="shared" si="13"/>
        <v>0</v>
      </c>
      <c r="W40" s="33">
        <f t="shared" si="14"/>
        <v>20145.337737763224</v>
      </c>
      <c r="X40" s="167">
        <f t="shared" si="15"/>
        <v>1107.9935755769773</v>
      </c>
      <c r="Y40" s="165">
        <v>0</v>
      </c>
      <c r="Z40" s="166">
        <f t="shared" si="16"/>
        <v>0</v>
      </c>
      <c r="AA40" s="33">
        <f t="shared" si="17"/>
        <v>21453.331313340201</v>
      </c>
      <c r="AB40" s="167">
        <f t="shared" si="18"/>
        <v>1179.9332222337111</v>
      </c>
      <c r="AC40" s="165">
        <v>0</v>
      </c>
      <c r="AD40" s="166">
        <f t="shared" si="19"/>
        <v>0</v>
      </c>
      <c r="AE40" s="33">
        <f t="shared" si="20"/>
        <v>22833.264535573911</v>
      </c>
      <c r="AF40" s="167">
        <f t="shared" si="21"/>
        <v>1255.8295494565652</v>
      </c>
      <c r="AG40" s="87">
        <f t="shared" si="22"/>
        <v>0</v>
      </c>
    </row>
    <row r="41" spans="1:33">
      <c r="A41" s="10" t="s">
        <v>612</v>
      </c>
      <c r="B41" s="10"/>
      <c r="C41" s="10" t="s">
        <v>144</v>
      </c>
      <c r="D41" s="80">
        <v>0</v>
      </c>
      <c r="E41" s="79">
        <f t="shared" si="0"/>
        <v>800</v>
      </c>
      <c r="F41" s="79">
        <f>'2020-2021 New'!J41</f>
        <v>3878.8293843071092</v>
      </c>
      <c r="G41" s="139">
        <f>'2020-2021 New'!F41</f>
        <v>1000</v>
      </c>
      <c r="H41" s="78">
        <f t="shared" si="1"/>
        <v>800</v>
      </c>
      <c r="I41" s="159">
        <f t="shared" si="2"/>
        <v>0</v>
      </c>
      <c r="J41" s="78">
        <f t="shared" si="3"/>
        <v>800</v>
      </c>
      <c r="K41" s="78">
        <f t="shared" si="4"/>
        <v>5721.4076619732386</v>
      </c>
      <c r="L41" s="78">
        <f t="shared" si="5"/>
        <v>0</v>
      </c>
      <c r="M41" s="78">
        <f t="shared" si="6"/>
        <v>0</v>
      </c>
      <c r="N41" s="78">
        <f t="shared" si="7"/>
        <v>1042.5782776661295</v>
      </c>
      <c r="O41" s="78">
        <f t="shared" si="8"/>
        <v>1042.5782776661295</v>
      </c>
      <c r="P41" s="78">
        <f t="shared" si="9"/>
        <v>-1042.5782776661295</v>
      </c>
      <c r="Q41" s="165">
        <v>0</v>
      </c>
      <c r="R41" s="166">
        <f t="shared" si="10"/>
        <v>0</v>
      </c>
      <c r="S41" s="119">
        <f t="shared" si="11"/>
        <v>4078.8293843071092</v>
      </c>
      <c r="T41" s="167">
        <f t="shared" si="12"/>
        <v>224.33561613689102</v>
      </c>
      <c r="U41" s="165">
        <v>0</v>
      </c>
      <c r="V41" s="166">
        <f t="shared" si="13"/>
        <v>0</v>
      </c>
      <c r="W41" s="33">
        <f t="shared" si="14"/>
        <v>4503.1650004440007</v>
      </c>
      <c r="X41" s="167">
        <f t="shared" si="15"/>
        <v>247.67407502442003</v>
      </c>
      <c r="Y41" s="165">
        <v>0</v>
      </c>
      <c r="Z41" s="166">
        <f t="shared" si="16"/>
        <v>0</v>
      </c>
      <c r="AA41" s="33">
        <f t="shared" si="17"/>
        <v>4950.8390754684206</v>
      </c>
      <c r="AB41" s="167">
        <f t="shared" si="18"/>
        <v>272.29614915076314</v>
      </c>
      <c r="AC41" s="165">
        <v>0</v>
      </c>
      <c r="AD41" s="166">
        <f t="shared" si="19"/>
        <v>0</v>
      </c>
      <c r="AE41" s="33">
        <f t="shared" si="20"/>
        <v>5423.1352246191836</v>
      </c>
      <c r="AF41" s="167">
        <f t="shared" si="21"/>
        <v>298.27243735405511</v>
      </c>
      <c r="AG41" s="87">
        <f t="shared" si="22"/>
        <v>0</v>
      </c>
    </row>
    <row r="42" spans="1:33">
      <c r="A42" s="10" t="s">
        <v>613</v>
      </c>
      <c r="B42" s="10"/>
      <c r="C42" s="10" t="s">
        <v>143</v>
      </c>
      <c r="D42" s="80">
        <v>0</v>
      </c>
      <c r="E42" s="79">
        <f t="shared" si="0"/>
        <v>800</v>
      </c>
      <c r="F42" s="79">
        <f>'2020-2021 New'!J42</f>
        <v>8239.2320181967989</v>
      </c>
      <c r="G42" s="139">
        <f>'2020-2021 New'!F42</f>
        <v>2400</v>
      </c>
      <c r="H42" s="78">
        <f t="shared" si="1"/>
        <v>800</v>
      </c>
      <c r="I42" s="159">
        <f t="shared" si="2"/>
        <v>0</v>
      </c>
      <c r="J42" s="78">
        <f t="shared" si="3"/>
        <v>800</v>
      </c>
      <c r="K42" s="78">
        <f t="shared" si="4"/>
        <v>11123.181931485964</v>
      </c>
      <c r="L42" s="78">
        <f t="shared" si="5"/>
        <v>0</v>
      </c>
      <c r="M42" s="78">
        <f t="shared" si="6"/>
        <v>0</v>
      </c>
      <c r="N42" s="78">
        <f t="shared" si="7"/>
        <v>2083.9499132891642</v>
      </c>
      <c r="O42" s="78">
        <f t="shared" si="8"/>
        <v>2083.9499132891642</v>
      </c>
      <c r="P42" s="78">
        <f t="shared" si="9"/>
        <v>-2083.9499132891642</v>
      </c>
      <c r="Q42" s="165">
        <v>0</v>
      </c>
      <c r="R42" s="166">
        <f t="shared" si="10"/>
        <v>0</v>
      </c>
      <c r="S42" s="119">
        <f t="shared" si="11"/>
        <v>8439.2320181967989</v>
      </c>
      <c r="T42" s="167">
        <f t="shared" si="12"/>
        <v>464.15776100082394</v>
      </c>
      <c r="U42" s="165">
        <v>0</v>
      </c>
      <c r="V42" s="166">
        <f t="shared" si="13"/>
        <v>0</v>
      </c>
      <c r="W42" s="33">
        <f t="shared" si="14"/>
        <v>9103.3897791976233</v>
      </c>
      <c r="X42" s="167">
        <f t="shared" si="15"/>
        <v>500.68643785586926</v>
      </c>
      <c r="Y42" s="165">
        <v>0</v>
      </c>
      <c r="Z42" s="166">
        <f t="shared" si="16"/>
        <v>0</v>
      </c>
      <c r="AA42" s="33">
        <f t="shared" si="17"/>
        <v>9804.0762170534927</v>
      </c>
      <c r="AB42" s="167">
        <f t="shared" si="18"/>
        <v>539.22419193794212</v>
      </c>
      <c r="AC42" s="165">
        <v>0</v>
      </c>
      <c r="AD42" s="166">
        <f t="shared" si="19"/>
        <v>0</v>
      </c>
      <c r="AE42" s="33">
        <f t="shared" si="20"/>
        <v>10543.300408991436</v>
      </c>
      <c r="AF42" s="167">
        <f t="shared" si="21"/>
        <v>579.88152249452901</v>
      </c>
      <c r="AG42" s="87">
        <f t="shared" si="22"/>
        <v>0</v>
      </c>
    </row>
    <row r="43" spans="1:33">
      <c r="A43" s="10" t="s">
        <v>614</v>
      </c>
      <c r="B43" s="10"/>
      <c r="C43" s="10" t="s">
        <v>150</v>
      </c>
      <c r="D43" s="80">
        <v>0</v>
      </c>
      <c r="E43" s="79">
        <f t="shared" si="0"/>
        <v>800</v>
      </c>
      <c r="F43" s="79">
        <f>'2020-2021 New'!J43</f>
        <v>12438.645790664854</v>
      </c>
      <c r="G43" s="139">
        <f>'2020-2021 New'!F43</f>
        <v>400</v>
      </c>
      <c r="H43" s="78">
        <f t="shared" si="1"/>
        <v>800</v>
      </c>
      <c r="I43" s="159">
        <f t="shared" si="2"/>
        <v>300</v>
      </c>
      <c r="J43" s="78">
        <f t="shared" si="3"/>
        <v>500</v>
      </c>
      <c r="K43" s="78">
        <f t="shared" si="4"/>
        <v>15974.204230993513</v>
      </c>
      <c r="L43" s="78">
        <f t="shared" si="5"/>
        <v>3.3000000000000003</v>
      </c>
      <c r="M43" s="78">
        <f t="shared" si="6"/>
        <v>16.3185</v>
      </c>
      <c r="N43" s="78">
        <f t="shared" si="7"/>
        <v>3035.5584403286603</v>
      </c>
      <c r="O43" s="78">
        <f t="shared" si="8"/>
        <v>3035.5584403286603</v>
      </c>
      <c r="P43" s="78">
        <f t="shared" si="9"/>
        <v>-2722.5399403286606</v>
      </c>
      <c r="Q43" s="165">
        <v>0</v>
      </c>
      <c r="R43" s="166">
        <f t="shared" si="10"/>
        <v>0</v>
      </c>
      <c r="S43" s="119">
        <f t="shared" si="11"/>
        <v>12638.645790664854</v>
      </c>
      <c r="T43" s="167">
        <f t="shared" si="12"/>
        <v>695.12551848656699</v>
      </c>
      <c r="U43" s="165">
        <v>0</v>
      </c>
      <c r="V43" s="166">
        <f t="shared" si="13"/>
        <v>0</v>
      </c>
      <c r="W43" s="33">
        <f t="shared" si="14"/>
        <v>13533.771309151422</v>
      </c>
      <c r="X43" s="167">
        <f t="shared" si="15"/>
        <v>744.35742200332822</v>
      </c>
      <c r="Y43" s="165">
        <v>300</v>
      </c>
      <c r="Z43" s="166">
        <f t="shared" si="16"/>
        <v>3.3000000000000003</v>
      </c>
      <c r="AA43" s="33">
        <f t="shared" si="17"/>
        <v>14178.128731154749</v>
      </c>
      <c r="AB43" s="167">
        <f t="shared" si="18"/>
        <v>763.29708021351121</v>
      </c>
      <c r="AC43" s="165">
        <v>0</v>
      </c>
      <c r="AD43" s="166">
        <f t="shared" si="19"/>
        <v>0</v>
      </c>
      <c r="AE43" s="33">
        <f t="shared" si="20"/>
        <v>15141.425811368261</v>
      </c>
      <c r="AF43" s="167">
        <f t="shared" si="21"/>
        <v>832.7784196252544</v>
      </c>
      <c r="AG43" s="87">
        <f t="shared" si="22"/>
        <v>300</v>
      </c>
    </row>
    <row r="44" spans="1:33">
      <c r="A44" s="10" t="s">
        <v>615</v>
      </c>
      <c r="B44" s="10"/>
      <c r="C44" s="10" t="s">
        <v>159</v>
      </c>
      <c r="D44" s="80">
        <v>0</v>
      </c>
      <c r="E44" s="79">
        <f t="shared" si="0"/>
        <v>800</v>
      </c>
      <c r="F44" s="79">
        <f>'2020-2021 New'!J44</f>
        <v>4216.4309446810876</v>
      </c>
      <c r="G44" s="139">
        <f>'2020-2021 New'!F44</f>
        <v>400</v>
      </c>
      <c r="H44" s="78">
        <f t="shared" si="1"/>
        <v>800</v>
      </c>
      <c r="I44" s="159">
        <f t="shared" si="2"/>
        <v>800</v>
      </c>
      <c r="J44" s="78">
        <f t="shared" si="3"/>
        <v>0</v>
      </c>
      <c r="K44" s="78">
        <f t="shared" si="4"/>
        <v>5201.4536970539866</v>
      </c>
      <c r="L44" s="78">
        <f t="shared" si="5"/>
        <v>8.8000000000000007</v>
      </c>
      <c r="M44" s="78">
        <f t="shared" si="6"/>
        <v>43.516000000000005</v>
      </c>
      <c r="N44" s="78">
        <f t="shared" si="7"/>
        <v>985.0227523728995</v>
      </c>
      <c r="O44" s="78">
        <f t="shared" si="8"/>
        <v>985.0227523728995</v>
      </c>
      <c r="P44" s="78">
        <f t="shared" si="9"/>
        <v>-150.30675237289944</v>
      </c>
      <c r="Q44" s="165">
        <v>0</v>
      </c>
      <c r="R44" s="166">
        <f t="shared" si="10"/>
        <v>0</v>
      </c>
      <c r="S44" s="119">
        <f t="shared" si="11"/>
        <v>4416.4309446810876</v>
      </c>
      <c r="T44" s="167">
        <f t="shared" si="12"/>
        <v>242.90370195745982</v>
      </c>
      <c r="U44" s="165">
        <f>[1]Sheet1!$D$81</f>
        <v>400</v>
      </c>
      <c r="V44" s="166">
        <f t="shared" si="13"/>
        <v>4.4000000000000004</v>
      </c>
      <c r="W44" s="33">
        <f t="shared" si="14"/>
        <v>4459.3346466385474</v>
      </c>
      <c r="X44" s="167">
        <f t="shared" si="15"/>
        <v>223.26340556512011</v>
      </c>
      <c r="Y44" s="165">
        <v>0</v>
      </c>
      <c r="Z44" s="166">
        <f t="shared" si="16"/>
        <v>0</v>
      </c>
      <c r="AA44" s="33">
        <f t="shared" si="17"/>
        <v>4882.5980522036671</v>
      </c>
      <c r="AB44" s="167">
        <f t="shared" si="18"/>
        <v>268.54289287120167</v>
      </c>
      <c r="AC44" s="165">
        <v>400</v>
      </c>
      <c r="AD44" s="166">
        <f t="shared" si="19"/>
        <v>4.4000000000000004</v>
      </c>
      <c r="AE44" s="33">
        <f t="shared" si="20"/>
        <v>4951.1409450748688</v>
      </c>
      <c r="AF44" s="167">
        <f t="shared" si="21"/>
        <v>250.31275197911779</v>
      </c>
      <c r="AG44" s="87">
        <f t="shared" si="22"/>
        <v>800</v>
      </c>
    </row>
    <row r="45" spans="1:33">
      <c r="A45" s="10" t="s">
        <v>616</v>
      </c>
      <c r="B45" s="10"/>
      <c r="C45" s="10" t="s">
        <v>126</v>
      </c>
      <c r="D45" s="80">
        <v>0</v>
      </c>
      <c r="E45" s="79">
        <f t="shared" si="0"/>
        <v>800</v>
      </c>
      <c r="F45" s="79">
        <f>'2020-2021 New'!J45</f>
        <v>-6177.7918985967353</v>
      </c>
      <c r="G45" s="139">
        <f>'2020-2021 New'!F45</f>
        <v>200</v>
      </c>
      <c r="H45" s="78">
        <f t="shared" si="1"/>
        <v>800</v>
      </c>
      <c r="I45" s="159">
        <f t="shared" si="2"/>
        <v>0</v>
      </c>
      <c r="J45" s="78">
        <f t="shared" si="3"/>
        <v>800</v>
      </c>
      <c r="K45" s="78">
        <f t="shared" si="4"/>
        <v>-6736.982685288056</v>
      </c>
      <c r="L45" s="78">
        <f t="shared" si="5"/>
        <v>0</v>
      </c>
      <c r="M45" s="78">
        <f t="shared" si="6"/>
        <v>0</v>
      </c>
      <c r="N45" s="78">
        <f t="shared" si="7"/>
        <v>-1359.1907866913209</v>
      </c>
      <c r="O45" s="78">
        <f t="shared" si="8"/>
        <v>-1359.1907866913209</v>
      </c>
      <c r="P45" s="78">
        <f t="shared" si="9"/>
        <v>1359.1907866913209</v>
      </c>
      <c r="Q45" s="165">
        <v>0</v>
      </c>
      <c r="R45" s="166">
        <f t="shared" si="10"/>
        <v>0</v>
      </c>
      <c r="S45" s="119">
        <f t="shared" si="11"/>
        <v>-5977.7918985967353</v>
      </c>
      <c r="T45" s="167">
        <f t="shared" si="12"/>
        <v>-328.77855442282043</v>
      </c>
      <c r="U45" s="165">
        <v>0</v>
      </c>
      <c r="V45" s="166">
        <f t="shared" si="13"/>
        <v>0</v>
      </c>
      <c r="W45" s="33">
        <f t="shared" si="14"/>
        <v>-6106.5704530195562</v>
      </c>
      <c r="X45" s="167">
        <f t="shared" si="15"/>
        <v>-335.86137491607559</v>
      </c>
      <c r="Y45" s="165">
        <v>0</v>
      </c>
      <c r="Z45" s="166">
        <f t="shared" si="16"/>
        <v>0</v>
      </c>
      <c r="AA45" s="33">
        <f t="shared" si="17"/>
        <v>-6242.4318279356321</v>
      </c>
      <c r="AB45" s="167">
        <f t="shared" si="18"/>
        <v>-343.33375053645977</v>
      </c>
      <c r="AC45" s="165">
        <v>0</v>
      </c>
      <c r="AD45" s="166">
        <f t="shared" si="19"/>
        <v>0</v>
      </c>
      <c r="AE45" s="33">
        <f t="shared" si="20"/>
        <v>-6385.7655784720919</v>
      </c>
      <c r="AF45" s="167">
        <f t="shared" si="21"/>
        <v>-351.21710681596505</v>
      </c>
      <c r="AG45" s="87">
        <f t="shared" si="22"/>
        <v>0</v>
      </c>
    </row>
    <row r="46" spans="1:33">
      <c r="A46" s="10" t="s">
        <v>617</v>
      </c>
      <c r="B46" s="10"/>
      <c r="C46" s="10" t="s">
        <v>151</v>
      </c>
      <c r="D46" s="80">
        <v>0</v>
      </c>
      <c r="E46" s="79">
        <f t="shared" si="0"/>
        <v>800</v>
      </c>
      <c r="F46" s="79">
        <f>'2020-2021 New'!J46</f>
        <v>10166.760103902856</v>
      </c>
      <c r="G46" s="139">
        <f>'2020-2021 New'!F46</f>
        <v>1600</v>
      </c>
      <c r="H46" s="78">
        <f t="shared" si="1"/>
        <v>800</v>
      </c>
      <c r="I46" s="159">
        <f t="shared" si="2"/>
        <v>1600</v>
      </c>
      <c r="J46" s="78">
        <f t="shared" si="3"/>
        <v>-800</v>
      </c>
      <c r="K46" s="78">
        <f t="shared" si="4"/>
        <v>11722.841238830644</v>
      </c>
      <c r="L46" s="78">
        <f t="shared" si="5"/>
        <v>17.600000000000001</v>
      </c>
      <c r="M46" s="78">
        <f t="shared" si="6"/>
        <v>87.032000000000011</v>
      </c>
      <c r="N46" s="78">
        <f t="shared" si="7"/>
        <v>2356.0811349277883</v>
      </c>
      <c r="O46" s="78">
        <f t="shared" si="8"/>
        <v>2356.0811349277883</v>
      </c>
      <c r="P46" s="78">
        <f t="shared" si="9"/>
        <v>-686.64913492778817</v>
      </c>
      <c r="Q46" s="165">
        <v>0</v>
      </c>
      <c r="R46" s="166">
        <f t="shared" si="10"/>
        <v>0</v>
      </c>
      <c r="S46" s="119">
        <f t="shared" si="11"/>
        <v>10366.760103902856</v>
      </c>
      <c r="T46" s="167">
        <f t="shared" si="12"/>
        <v>570.17180571465713</v>
      </c>
      <c r="U46" s="165">
        <v>0</v>
      </c>
      <c r="V46" s="166">
        <f t="shared" si="13"/>
        <v>0</v>
      </c>
      <c r="W46" s="33">
        <f t="shared" si="14"/>
        <v>11136.931909617513</v>
      </c>
      <c r="X46" s="167">
        <f t="shared" si="15"/>
        <v>612.53125502896319</v>
      </c>
      <c r="Y46" s="165">
        <v>200</v>
      </c>
      <c r="Z46" s="166">
        <f t="shared" si="16"/>
        <v>2.2000000000000002</v>
      </c>
      <c r="AA46" s="33">
        <f t="shared" si="17"/>
        <v>11749.463164646477</v>
      </c>
      <c r="AB46" s="167">
        <f t="shared" si="18"/>
        <v>635.22047405555622</v>
      </c>
      <c r="AC46" s="165">
        <f>1200+200</f>
        <v>1400</v>
      </c>
      <c r="AD46" s="166">
        <f t="shared" si="19"/>
        <v>15.400000000000002</v>
      </c>
      <c r="AE46" s="33">
        <f t="shared" si="20"/>
        <v>11184.683638702034</v>
      </c>
      <c r="AF46" s="167">
        <f t="shared" si="21"/>
        <v>538.15760012861188</v>
      </c>
      <c r="AG46" s="87">
        <f>Q46+U46+Y46+AC46</f>
        <v>1600</v>
      </c>
    </row>
    <row r="47" spans="1:33">
      <c r="A47" s="10" t="s">
        <v>618</v>
      </c>
      <c r="B47" s="10"/>
      <c r="C47" s="10" t="s">
        <v>116</v>
      </c>
      <c r="D47" s="80">
        <v>0</v>
      </c>
      <c r="E47" s="79">
        <f t="shared" si="0"/>
        <v>800</v>
      </c>
      <c r="F47" s="79">
        <f>'2020-2021 New'!J47</f>
        <v>15452.402487207954</v>
      </c>
      <c r="G47" s="139">
        <f>'2020-2021 New'!F47</f>
        <v>0</v>
      </c>
      <c r="H47" s="78">
        <f t="shared" si="1"/>
        <v>800</v>
      </c>
      <c r="I47" s="159">
        <f t="shared" si="2"/>
        <v>0</v>
      </c>
      <c r="J47" s="78">
        <f t="shared" si="3"/>
        <v>800</v>
      </c>
      <c r="K47" s="78">
        <f t="shared" si="4"/>
        <v>20059.035317657275</v>
      </c>
      <c r="L47" s="78">
        <f t="shared" si="5"/>
        <v>0</v>
      </c>
      <c r="M47" s="78">
        <f t="shared" si="6"/>
        <v>0</v>
      </c>
      <c r="N47" s="78">
        <f t="shared" si="7"/>
        <v>3806.6328304493204</v>
      </c>
      <c r="O47" s="78">
        <f t="shared" si="8"/>
        <v>3806.6328304493204</v>
      </c>
      <c r="P47" s="78">
        <f t="shared" si="9"/>
        <v>-3806.6328304493204</v>
      </c>
      <c r="Q47" s="165">
        <v>0</v>
      </c>
      <c r="R47" s="166">
        <f t="shared" si="10"/>
        <v>0</v>
      </c>
      <c r="S47" s="119">
        <f t="shared" si="11"/>
        <v>15652.402487207954</v>
      </c>
      <c r="T47" s="167">
        <f t="shared" si="12"/>
        <v>860.88213679643741</v>
      </c>
      <c r="U47" s="165">
        <v>0</v>
      </c>
      <c r="V47" s="166">
        <f t="shared" si="13"/>
        <v>0</v>
      </c>
      <c r="W47" s="33">
        <f t="shared" si="14"/>
        <v>16713.284624004391</v>
      </c>
      <c r="X47" s="167">
        <f t="shared" si="15"/>
        <v>919.23065432024146</v>
      </c>
      <c r="Y47" s="165">
        <v>0</v>
      </c>
      <c r="Z47" s="166">
        <f t="shared" si="16"/>
        <v>0</v>
      </c>
      <c r="AA47" s="33">
        <f t="shared" si="17"/>
        <v>17832.515278324634</v>
      </c>
      <c r="AB47" s="167">
        <f t="shared" si="18"/>
        <v>980.78834030785492</v>
      </c>
      <c r="AC47" s="165">
        <v>0</v>
      </c>
      <c r="AD47" s="166">
        <f t="shared" si="19"/>
        <v>0</v>
      </c>
      <c r="AE47" s="33">
        <f t="shared" si="20"/>
        <v>19013.30361863249</v>
      </c>
      <c r="AF47" s="167">
        <f t="shared" si="21"/>
        <v>1045.7316990247868</v>
      </c>
      <c r="AG47" s="87">
        <f t="shared" si="22"/>
        <v>0</v>
      </c>
    </row>
    <row r="48" spans="1:33">
      <c r="A48" s="10" t="s">
        <v>619</v>
      </c>
      <c r="B48" s="10"/>
      <c r="C48" s="10" t="s">
        <v>135</v>
      </c>
      <c r="D48" s="80">
        <v>0</v>
      </c>
      <c r="E48" s="79">
        <f t="shared" si="0"/>
        <v>800</v>
      </c>
      <c r="F48" s="79">
        <f>'2020-2021 New'!J48</f>
        <v>-1082.4122112680845</v>
      </c>
      <c r="G48" s="139">
        <f>'2020-2021 New'!F48</f>
        <v>400</v>
      </c>
      <c r="H48" s="78">
        <f t="shared" si="1"/>
        <v>800</v>
      </c>
      <c r="I48" s="159">
        <f t="shared" si="2"/>
        <v>800</v>
      </c>
      <c r="J48" s="78">
        <f t="shared" si="3"/>
        <v>0</v>
      </c>
      <c r="K48" s="78">
        <f t="shared" si="4"/>
        <v>-1340.9189294564185</v>
      </c>
      <c r="L48" s="78">
        <f t="shared" si="5"/>
        <v>8.8000000000000007</v>
      </c>
      <c r="M48" s="78">
        <f t="shared" si="6"/>
        <v>43.516000000000005</v>
      </c>
      <c r="N48" s="78">
        <f t="shared" si="7"/>
        <v>-258.50671818833393</v>
      </c>
      <c r="O48" s="78">
        <f t="shared" si="8"/>
        <v>-258.50671818833393</v>
      </c>
      <c r="P48" s="78">
        <f t="shared" si="9"/>
        <v>1093.2227181883341</v>
      </c>
      <c r="Q48" s="236">
        <f>[1]Sheet1!$D$73</f>
        <v>200</v>
      </c>
      <c r="R48" s="166">
        <f t="shared" si="10"/>
        <v>2.2000000000000002</v>
      </c>
      <c r="S48" s="119">
        <f t="shared" si="11"/>
        <v>-882.41221126808455</v>
      </c>
      <c r="T48" s="167">
        <f t="shared" si="12"/>
        <v>-59.532671619744647</v>
      </c>
      <c r="U48" s="236">
        <v>200</v>
      </c>
      <c r="V48" s="166">
        <f t="shared" si="13"/>
        <v>2.2000000000000002</v>
      </c>
      <c r="W48" s="33">
        <f t="shared" si="14"/>
        <v>-941.94488288782918</v>
      </c>
      <c r="X48" s="167">
        <f t="shared" si="15"/>
        <v>-62.806968558830604</v>
      </c>
      <c r="Y48" s="236">
        <v>200</v>
      </c>
      <c r="Z48" s="166">
        <f t="shared" si="16"/>
        <v>2.2000000000000002</v>
      </c>
      <c r="AA48" s="33">
        <f t="shared" si="17"/>
        <v>-1004.7518514466598</v>
      </c>
      <c r="AB48" s="167">
        <f t="shared" si="18"/>
        <v>-66.26135182956628</v>
      </c>
      <c r="AC48" s="236">
        <v>200</v>
      </c>
      <c r="AD48" s="166">
        <f t="shared" si="19"/>
        <v>2.2000000000000002</v>
      </c>
      <c r="AE48" s="33">
        <f t="shared" si="20"/>
        <v>-1071.013203276226</v>
      </c>
      <c r="AF48" s="167">
        <f t="shared" si="21"/>
        <v>-69.905726180192431</v>
      </c>
      <c r="AG48" s="87">
        <f t="shared" si="22"/>
        <v>800</v>
      </c>
    </row>
    <row r="49" spans="1:33">
      <c r="A49" s="10" t="s">
        <v>620</v>
      </c>
      <c r="B49" s="10"/>
      <c r="C49" s="10" t="s">
        <v>115</v>
      </c>
      <c r="D49" s="80">
        <v>0</v>
      </c>
      <c r="E49" s="79">
        <f t="shared" si="0"/>
        <v>800</v>
      </c>
      <c r="F49" s="79">
        <f>'2020-2021 New'!J49</f>
        <v>4054.7453854125824</v>
      </c>
      <c r="G49" s="139">
        <f>'2020-2021 New'!F49</f>
        <v>0</v>
      </c>
      <c r="H49" s="78">
        <f t="shared" si="1"/>
        <v>800</v>
      </c>
      <c r="I49" s="159">
        <f t="shared" si="2"/>
        <v>1200</v>
      </c>
      <c r="J49" s="78">
        <f t="shared" si="3"/>
        <v>-400</v>
      </c>
      <c r="K49" s="78">
        <f t="shared" si="4"/>
        <v>4534.0767405820734</v>
      </c>
      <c r="L49" s="78">
        <f t="shared" si="5"/>
        <v>13.200000000000001</v>
      </c>
      <c r="M49" s="78">
        <f t="shared" si="6"/>
        <v>65.274000000000001</v>
      </c>
      <c r="N49" s="78">
        <f t="shared" si="7"/>
        <v>879.33135516949096</v>
      </c>
      <c r="O49" s="78">
        <f t="shared" si="8"/>
        <v>879.33135516949096</v>
      </c>
      <c r="P49" s="78">
        <f t="shared" si="9"/>
        <v>372.74264483050899</v>
      </c>
      <c r="Q49" s="165">
        <v>0</v>
      </c>
      <c r="R49" s="166">
        <f t="shared" si="10"/>
        <v>0</v>
      </c>
      <c r="S49" s="119">
        <f t="shared" si="11"/>
        <v>4254.7453854125824</v>
      </c>
      <c r="T49" s="167">
        <f t="shared" si="12"/>
        <v>234.01099619769204</v>
      </c>
      <c r="U49" s="165">
        <v>0</v>
      </c>
      <c r="V49" s="166">
        <f t="shared" si="13"/>
        <v>0</v>
      </c>
      <c r="W49" s="33">
        <f t="shared" si="14"/>
        <v>4688.7563816102747</v>
      </c>
      <c r="X49" s="167">
        <f t="shared" si="15"/>
        <v>257.88160098856514</v>
      </c>
      <c r="Y49" s="165">
        <f>200+1000</f>
        <v>1200</v>
      </c>
      <c r="Z49" s="166">
        <f t="shared" si="16"/>
        <v>13.200000000000001</v>
      </c>
      <c r="AA49" s="33">
        <f t="shared" si="17"/>
        <v>3946.6379825988397</v>
      </c>
      <c r="AB49" s="167">
        <f t="shared" si="18"/>
        <v>151.06508904293619</v>
      </c>
      <c r="AC49" s="165">
        <v>0</v>
      </c>
      <c r="AD49" s="166">
        <f t="shared" si="19"/>
        <v>0</v>
      </c>
      <c r="AE49" s="33">
        <f t="shared" si="20"/>
        <v>4297.7030716417758</v>
      </c>
      <c r="AF49" s="167">
        <f t="shared" si="21"/>
        <v>236.37366894029768</v>
      </c>
      <c r="AG49" s="87">
        <f t="shared" si="22"/>
        <v>1200</v>
      </c>
    </row>
    <row r="50" spans="1:33">
      <c r="A50" s="10" t="s">
        <v>621</v>
      </c>
      <c r="B50" s="10"/>
      <c r="C50" s="10" t="s">
        <v>126</v>
      </c>
      <c r="D50" s="80">
        <v>0</v>
      </c>
      <c r="E50" s="79">
        <f t="shared" si="0"/>
        <v>800</v>
      </c>
      <c r="F50" s="79">
        <f>'2020-2021 New'!J50</f>
        <v>8765.4111649816878</v>
      </c>
      <c r="G50" s="139">
        <f>'2020-2021 New'!F50</f>
        <v>200</v>
      </c>
      <c r="H50" s="78">
        <f t="shared" si="1"/>
        <v>800</v>
      </c>
      <c r="I50" s="159">
        <f t="shared" si="2"/>
        <v>0</v>
      </c>
      <c r="J50" s="78">
        <f t="shared" si="3"/>
        <v>800</v>
      </c>
      <c r="K50" s="78">
        <f t="shared" si="4"/>
        <v>11775.025629167914</v>
      </c>
      <c r="L50" s="78">
        <f t="shared" si="5"/>
        <v>0</v>
      </c>
      <c r="M50" s="78">
        <f t="shared" si="6"/>
        <v>0</v>
      </c>
      <c r="N50" s="78">
        <f t="shared" si="7"/>
        <v>2209.6144641862256</v>
      </c>
      <c r="O50" s="78">
        <f t="shared" si="8"/>
        <v>2209.6144641862256</v>
      </c>
      <c r="P50" s="78">
        <f t="shared" si="9"/>
        <v>-2209.6144641862256</v>
      </c>
      <c r="Q50" s="165">
        <v>0</v>
      </c>
      <c r="R50" s="166">
        <f t="shared" si="10"/>
        <v>0</v>
      </c>
      <c r="S50" s="119">
        <f t="shared" si="11"/>
        <v>8965.4111649816878</v>
      </c>
      <c r="T50" s="167">
        <f t="shared" si="12"/>
        <v>493.09761407399282</v>
      </c>
      <c r="U50" s="165">
        <v>0</v>
      </c>
      <c r="V50" s="166">
        <f t="shared" si="13"/>
        <v>0</v>
      </c>
      <c r="W50" s="33">
        <f t="shared" si="14"/>
        <v>9658.5087790556809</v>
      </c>
      <c r="X50" s="167">
        <f t="shared" si="15"/>
        <v>531.21798284806243</v>
      </c>
      <c r="Y50" s="165">
        <v>0</v>
      </c>
      <c r="Z50" s="166">
        <f t="shared" si="16"/>
        <v>0</v>
      </c>
      <c r="AA50" s="33">
        <f t="shared" si="17"/>
        <v>10389.726761903743</v>
      </c>
      <c r="AB50" s="167">
        <f t="shared" si="18"/>
        <v>571.43497190470589</v>
      </c>
      <c r="AC50" s="165">
        <v>0</v>
      </c>
      <c r="AD50" s="166">
        <f t="shared" si="19"/>
        <v>0</v>
      </c>
      <c r="AE50" s="33">
        <f t="shared" si="20"/>
        <v>11161.161733808449</v>
      </c>
      <c r="AF50" s="167">
        <f t="shared" si="21"/>
        <v>613.86389535946466</v>
      </c>
      <c r="AG50" s="87">
        <f t="shared" si="22"/>
        <v>0</v>
      </c>
    </row>
    <row r="51" spans="1:33">
      <c r="A51" s="10" t="s">
        <v>622</v>
      </c>
      <c r="B51" s="10"/>
      <c r="C51" s="10" t="s">
        <v>117</v>
      </c>
      <c r="D51" s="80">
        <v>0</v>
      </c>
      <c r="E51" s="79">
        <f t="shared" si="0"/>
        <v>800</v>
      </c>
      <c r="F51" s="79">
        <f>'2020-2021 New'!J51</f>
        <v>17259.697439161002</v>
      </c>
      <c r="G51" s="139">
        <f>'2020-2021 New'!F51</f>
        <v>0</v>
      </c>
      <c r="H51" s="78">
        <f t="shared" si="1"/>
        <v>800</v>
      </c>
      <c r="I51" s="159">
        <f t="shared" si="2"/>
        <v>0</v>
      </c>
      <c r="J51" s="78">
        <f t="shared" si="3"/>
        <v>800</v>
      </c>
      <c r="K51" s="78">
        <f t="shared" si="4"/>
        <v>22297.956855086835</v>
      </c>
      <c r="L51" s="78">
        <f t="shared" si="5"/>
        <v>0</v>
      </c>
      <c r="M51" s="78">
        <f t="shared" si="6"/>
        <v>0</v>
      </c>
      <c r="N51" s="78">
        <f t="shared" si="7"/>
        <v>4238.2594159258333</v>
      </c>
      <c r="O51" s="78">
        <f t="shared" si="8"/>
        <v>4238.2594159258333</v>
      </c>
      <c r="P51" s="78">
        <f t="shared" si="9"/>
        <v>-4238.2594159258333</v>
      </c>
      <c r="Q51" s="165">
        <v>0</v>
      </c>
      <c r="R51" s="166">
        <f t="shared" si="10"/>
        <v>0</v>
      </c>
      <c r="S51" s="119">
        <f t="shared" si="11"/>
        <v>17459.697439161002</v>
      </c>
      <c r="T51" s="167">
        <f t="shared" si="12"/>
        <v>960.28335915385514</v>
      </c>
      <c r="U51" s="165">
        <v>0</v>
      </c>
      <c r="V51" s="166">
        <f t="shared" si="13"/>
        <v>0</v>
      </c>
      <c r="W51" s="33">
        <f t="shared" si="14"/>
        <v>18619.980798314857</v>
      </c>
      <c r="X51" s="167">
        <f t="shared" si="15"/>
        <v>1024.0989439073171</v>
      </c>
      <c r="Y51" s="165">
        <v>0</v>
      </c>
      <c r="Z51" s="166">
        <f t="shared" si="16"/>
        <v>0</v>
      </c>
      <c r="AA51" s="33">
        <f t="shared" si="17"/>
        <v>19844.079742222173</v>
      </c>
      <c r="AB51" s="167">
        <f t="shared" si="18"/>
        <v>1091.4243858222196</v>
      </c>
      <c r="AC51" s="165">
        <v>0</v>
      </c>
      <c r="AD51" s="166">
        <f t="shared" si="19"/>
        <v>0</v>
      </c>
      <c r="AE51" s="33">
        <f t="shared" si="20"/>
        <v>21135.504128044391</v>
      </c>
      <c r="AF51" s="167">
        <f t="shared" si="21"/>
        <v>1162.4527270424414</v>
      </c>
      <c r="AG51" s="87">
        <f t="shared" si="22"/>
        <v>0</v>
      </c>
    </row>
    <row r="52" spans="1:33">
      <c r="A52" s="10" t="s">
        <v>623</v>
      </c>
      <c r="B52" s="10"/>
      <c r="C52" s="10" t="s">
        <v>112</v>
      </c>
      <c r="D52" s="80">
        <v>0</v>
      </c>
      <c r="E52" s="79">
        <f t="shared" si="0"/>
        <v>800</v>
      </c>
      <c r="F52" s="79">
        <f>'2020-2021 New'!J52</f>
        <v>15243.437905009798</v>
      </c>
      <c r="G52" s="139">
        <f>'2020-2021 New'!F52</f>
        <v>0</v>
      </c>
      <c r="H52" s="78">
        <f t="shared" si="1"/>
        <v>800</v>
      </c>
      <c r="I52" s="159">
        <f t="shared" si="2"/>
        <v>0</v>
      </c>
      <c r="J52" s="78">
        <f t="shared" si="3"/>
        <v>800</v>
      </c>
      <c r="K52" s="78">
        <f t="shared" si="4"/>
        <v>19800.164842122645</v>
      </c>
      <c r="L52" s="78">
        <f t="shared" si="5"/>
        <v>0</v>
      </c>
      <c r="M52" s="78">
        <f t="shared" si="6"/>
        <v>0</v>
      </c>
      <c r="N52" s="78">
        <f t="shared" si="7"/>
        <v>3756.7269371128468</v>
      </c>
      <c r="O52" s="78">
        <f t="shared" si="8"/>
        <v>3756.7269371128468</v>
      </c>
      <c r="P52" s="78">
        <f t="shared" si="9"/>
        <v>-3756.7269371128468</v>
      </c>
      <c r="Q52" s="165">
        <v>0</v>
      </c>
      <c r="R52" s="166">
        <f t="shared" si="10"/>
        <v>0</v>
      </c>
      <c r="S52" s="119">
        <f t="shared" si="11"/>
        <v>15443.437905009798</v>
      </c>
      <c r="T52" s="167">
        <f t="shared" si="12"/>
        <v>849.38908477553889</v>
      </c>
      <c r="U52" s="165">
        <v>0</v>
      </c>
      <c r="V52" s="166">
        <f t="shared" si="13"/>
        <v>0</v>
      </c>
      <c r="W52" s="33">
        <f t="shared" si="14"/>
        <v>16492.826989785335</v>
      </c>
      <c r="X52" s="167">
        <f t="shared" si="15"/>
        <v>907.10548443819346</v>
      </c>
      <c r="Y52" s="165">
        <v>0</v>
      </c>
      <c r="Z52" s="166">
        <f t="shared" si="16"/>
        <v>0</v>
      </c>
      <c r="AA52" s="33">
        <f t="shared" si="17"/>
        <v>17599.932474223529</v>
      </c>
      <c r="AB52" s="167">
        <f t="shared" si="18"/>
        <v>967.99628608229409</v>
      </c>
      <c r="AC52" s="165">
        <v>0</v>
      </c>
      <c r="AD52" s="166">
        <f t="shared" si="19"/>
        <v>0</v>
      </c>
      <c r="AE52" s="33">
        <f t="shared" si="20"/>
        <v>18767.928760305822</v>
      </c>
      <c r="AF52" s="167">
        <f t="shared" si="21"/>
        <v>1032.2360818168202</v>
      </c>
      <c r="AG52" s="87">
        <f t="shared" si="22"/>
        <v>0</v>
      </c>
    </row>
    <row r="53" spans="1:33">
      <c r="A53" s="10" t="s">
        <v>624</v>
      </c>
      <c r="B53" s="10"/>
      <c r="C53" s="10" t="s">
        <v>117</v>
      </c>
      <c r="D53" s="80">
        <v>0</v>
      </c>
      <c r="E53" s="79">
        <f t="shared" si="0"/>
        <v>800</v>
      </c>
      <c r="F53" s="79">
        <f>'2020-2021 New'!J53</f>
        <v>5986.5794074810829</v>
      </c>
      <c r="G53" s="139">
        <f>'2020-2021 New'!F53</f>
        <v>0</v>
      </c>
      <c r="H53" s="78">
        <f t="shared" si="1"/>
        <v>800</v>
      </c>
      <c r="I53" s="159">
        <f t="shared" si="2"/>
        <v>400</v>
      </c>
      <c r="J53" s="78">
        <f t="shared" si="3"/>
        <v>400</v>
      </c>
      <c r="K53" s="78">
        <f t="shared" si="4"/>
        <v>7838.3572480365719</v>
      </c>
      <c r="L53" s="78">
        <f t="shared" si="5"/>
        <v>4.4000000000000004</v>
      </c>
      <c r="M53" s="78">
        <f t="shared" si="6"/>
        <v>21.758000000000003</v>
      </c>
      <c r="N53" s="78">
        <f t="shared" si="7"/>
        <v>1451.7778405554891</v>
      </c>
      <c r="O53" s="78">
        <f t="shared" si="8"/>
        <v>1451.7778405554891</v>
      </c>
      <c r="P53" s="78">
        <f t="shared" si="9"/>
        <v>-1034.4198405554891</v>
      </c>
      <c r="Q53" s="165">
        <v>0</v>
      </c>
      <c r="R53" s="166">
        <f t="shared" si="10"/>
        <v>0</v>
      </c>
      <c r="S53" s="119">
        <f t="shared" si="11"/>
        <v>6186.5794074810829</v>
      </c>
      <c r="T53" s="167">
        <f t="shared" si="12"/>
        <v>340.26186741145955</v>
      </c>
      <c r="U53" s="165">
        <f>[1]Sheet1!$D$88</f>
        <v>400</v>
      </c>
      <c r="V53" s="166">
        <f t="shared" si="13"/>
        <v>4.4000000000000004</v>
      </c>
      <c r="W53" s="33">
        <f t="shared" si="14"/>
        <v>6326.8412748925421</v>
      </c>
      <c r="X53" s="167">
        <f t="shared" si="15"/>
        <v>325.9762701190898</v>
      </c>
      <c r="Y53" s="165">
        <v>0</v>
      </c>
      <c r="Z53" s="166">
        <f t="shared" si="16"/>
        <v>0</v>
      </c>
      <c r="AA53" s="33">
        <f t="shared" si="17"/>
        <v>6852.8175450116323</v>
      </c>
      <c r="AB53" s="167">
        <f t="shared" si="18"/>
        <v>376.90496497563976</v>
      </c>
      <c r="AC53" s="165">
        <v>0</v>
      </c>
      <c r="AD53" s="166">
        <f t="shared" si="19"/>
        <v>0</v>
      </c>
      <c r="AE53" s="33">
        <f t="shared" si="20"/>
        <v>7429.7225099872721</v>
      </c>
      <c r="AF53" s="167">
        <f t="shared" si="21"/>
        <v>408.63473804929998</v>
      </c>
      <c r="AG53" s="87">
        <f t="shared" si="22"/>
        <v>400</v>
      </c>
    </row>
    <row r="54" spans="1:33">
      <c r="A54" s="10" t="s">
        <v>625</v>
      </c>
      <c r="B54" s="10"/>
      <c r="C54" s="10" t="s">
        <v>116</v>
      </c>
      <c r="D54" s="80">
        <v>0</v>
      </c>
      <c r="E54" s="79">
        <f t="shared" si="0"/>
        <v>800</v>
      </c>
      <c r="F54" s="79">
        <f>'2020-2021 New'!J54</f>
        <v>6263.6763269677567</v>
      </c>
      <c r="G54" s="139">
        <f>'2020-2021 New'!F54</f>
        <v>0</v>
      </c>
      <c r="H54" s="78">
        <f t="shared" si="1"/>
        <v>800</v>
      </c>
      <c r="I54" s="159">
        <f t="shared" si="2"/>
        <v>1250</v>
      </c>
      <c r="J54" s="78">
        <f t="shared" si="3"/>
        <v>-450</v>
      </c>
      <c r="K54" s="78">
        <f t="shared" si="4"/>
        <v>7251.6106873839144</v>
      </c>
      <c r="L54" s="78">
        <f t="shared" si="5"/>
        <v>13.75</v>
      </c>
      <c r="M54" s="78">
        <f t="shared" si="6"/>
        <v>67.993750000000006</v>
      </c>
      <c r="N54" s="78">
        <f t="shared" si="7"/>
        <v>1437.9343604161577</v>
      </c>
      <c r="O54" s="78">
        <f t="shared" si="8"/>
        <v>1437.9343604161577</v>
      </c>
      <c r="P54" s="78">
        <f t="shared" si="9"/>
        <v>-133.69061041615768</v>
      </c>
      <c r="Q54" s="165">
        <f>[1]Sheet1!$D$72</f>
        <v>200</v>
      </c>
      <c r="R54" s="166">
        <f t="shared" si="10"/>
        <v>2.2000000000000002</v>
      </c>
      <c r="S54" s="119">
        <f t="shared" si="11"/>
        <v>6463.6763269677567</v>
      </c>
      <c r="T54" s="167">
        <f t="shared" si="12"/>
        <v>344.50219798322661</v>
      </c>
      <c r="U54" s="165">
        <v>0</v>
      </c>
      <c r="V54" s="166">
        <f t="shared" si="13"/>
        <v>0</v>
      </c>
      <c r="W54" s="33">
        <f t="shared" si="14"/>
        <v>7008.178524950983</v>
      </c>
      <c r="X54" s="167">
        <f t="shared" si="15"/>
        <v>385.44981887230409</v>
      </c>
      <c r="Y54" s="165">
        <f>200+550</f>
        <v>750</v>
      </c>
      <c r="Z54" s="166">
        <f t="shared" si="16"/>
        <v>8.25</v>
      </c>
      <c r="AA54" s="33">
        <f t="shared" si="17"/>
        <v>6843.6283438232867</v>
      </c>
      <c r="AB54" s="167">
        <f t="shared" si="18"/>
        <v>335.14955891028075</v>
      </c>
      <c r="AC54" s="165">
        <v>300</v>
      </c>
      <c r="AD54" s="166">
        <f t="shared" si="19"/>
        <v>3.3000000000000003</v>
      </c>
      <c r="AE54" s="33">
        <f t="shared" si="20"/>
        <v>7078.7779027335673</v>
      </c>
      <c r="AF54" s="167">
        <f t="shared" si="21"/>
        <v>372.83278465034618</v>
      </c>
      <c r="AG54" s="87">
        <f t="shared" si="22"/>
        <v>1250</v>
      </c>
    </row>
    <row r="55" spans="1:33" s="134" customFormat="1">
      <c r="A55" s="10" t="s">
        <v>626</v>
      </c>
      <c r="B55" s="10" t="s">
        <v>430</v>
      </c>
      <c r="C55" s="129" t="s">
        <v>124</v>
      </c>
      <c r="D55" s="130">
        <v>0</v>
      </c>
      <c r="E55" s="130">
        <f t="shared" si="0"/>
        <v>800</v>
      </c>
      <c r="F55" s="79">
        <f>'2020-2021 New'!J55</f>
        <v>6136.7722163222188</v>
      </c>
      <c r="G55" s="139">
        <f>'2020-2021 New'!F55</f>
        <v>0</v>
      </c>
      <c r="H55" s="131">
        <f t="shared" si="1"/>
        <v>800</v>
      </c>
      <c r="I55" s="159">
        <f t="shared" si="2"/>
        <v>1200</v>
      </c>
      <c r="J55" s="131">
        <f t="shared" si="3"/>
        <v>-400</v>
      </c>
      <c r="K55" s="78">
        <f t="shared" si="4"/>
        <v>7113.3429019755795</v>
      </c>
      <c r="L55" s="131">
        <f t="shared" si="5"/>
        <v>13.200000000000001</v>
      </c>
      <c r="M55" s="131">
        <f t="shared" si="6"/>
        <v>65.274000000000001</v>
      </c>
      <c r="N55" s="131">
        <f t="shared" si="7"/>
        <v>1376.5706856533609</v>
      </c>
      <c r="O55" s="131">
        <f t="shared" si="8"/>
        <v>1376.5706856533609</v>
      </c>
      <c r="P55" s="131">
        <f t="shared" si="9"/>
        <v>-124.49668565336094</v>
      </c>
      <c r="Q55" s="165">
        <v>0</v>
      </c>
      <c r="R55" s="166">
        <f t="shared" si="10"/>
        <v>0</v>
      </c>
      <c r="S55" s="135">
        <f t="shared" si="11"/>
        <v>6336.7722163222188</v>
      </c>
      <c r="T55" s="167">
        <f t="shared" si="12"/>
        <v>348.52247189772203</v>
      </c>
      <c r="U55" s="165">
        <v>0</v>
      </c>
      <c r="V55" s="166">
        <f t="shared" si="13"/>
        <v>0</v>
      </c>
      <c r="W55" s="132">
        <f t="shared" si="14"/>
        <v>6885.2946882199412</v>
      </c>
      <c r="X55" s="167">
        <f t="shared" si="15"/>
        <v>378.6912078520968</v>
      </c>
      <c r="Y55" s="165">
        <v>1200</v>
      </c>
      <c r="Z55" s="166">
        <f t="shared" si="16"/>
        <v>13.200000000000001</v>
      </c>
      <c r="AA55" s="132">
        <f t="shared" si="17"/>
        <v>6263.9858960720376</v>
      </c>
      <c r="AB55" s="167">
        <f t="shared" si="18"/>
        <v>278.51922428396205</v>
      </c>
      <c r="AC55" s="165">
        <v>0</v>
      </c>
      <c r="AD55" s="166">
        <f t="shared" si="19"/>
        <v>0</v>
      </c>
      <c r="AE55" s="132">
        <f t="shared" si="20"/>
        <v>6742.5051203559997</v>
      </c>
      <c r="AF55" s="167">
        <f t="shared" si="21"/>
        <v>370.83778161957997</v>
      </c>
      <c r="AG55" s="133">
        <f t="shared" si="22"/>
        <v>1200</v>
      </c>
    </row>
    <row r="56" spans="1:33">
      <c r="A56" s="10" t="s">
        <v>627</v>
      </c>
      <c r="B56" s="10" t="s">
        <v>433</v>
      </c>
      <c r="C56" s="10" t="s">
        <v>124</v>
      </c>
      <c r="D56" s="80">
        <v>0</v>
      </c>
      <c r="E56" s="79">
        <f t="shared" si="0"/>
        <v>800</v>
      </c>
      <c r="F56" s="79">
        <f>'2020-2021 New'!J56</f>
        <v>5850.4728638308334</v>
      </c>
      <c r="G56" s="139">
        <f>'2020-2021 New'!F56</f>
        <v>0</v>
      </c>
      <c r="H56" s="78">
        <f t="shared" si="1"/>
        <v>800</v>
      </c>
      <c r="I56" s="159">
        <f t="shared" si="2"/>
        <v>1100</v>
      </c>
      <c r="J56" s="78">
        <f t="shared" si="3"/>
        <v>-300</v>
      </c>
      <c r="K56" s="78">
        <f t="shared" si="4"/>
        <v>6933.6965515262755</v>
      </c>
      <c r="L56" s="78">
        <f t="shared" si="5"/>
        <v>12.100000000000001</v>
      </c>
      <c r="M56" s="78">
        <f t="shared" si="6"/>
        <v>59.834500000000006</v>
      </c>
      <c r="N56" s="78">
        <f t="shared" si="7"/>
        <v>1383.2236876954421</v>
      </c>
      <c r="O56" s="78">
        <f t="shared" si="8"/>
        <v>1383.2236876954421</v>
      </c>
      <c r="P56" s="78">
        <f t="shared" si="9"/>
        <v>-235.48918769544201</v>
      </c>
      <c r="Q56" s="165">
        <f>[1]Sheet1!$D$75</f>
        <v>200</v>
      </c>
      <c r="R56" s="166">
        <f t="shared" si="10"/>
        <v>2.2000000000000002</v>
      </c>
      <c r="S56" s="119">
        <f t="shared" si="11"/>
        <v>6050.4728638308334</v>
      </c>
      <c r="T56" s="167">
        <f t="shared" si="12"/>
        <v>321.77600751069582</v>
      </c>
      <c r="U56" s="165">
        <v>0</v>
      </c>
      <c r="V56" s="166">
        <f t="shared" si="13"/>
        <v>0</v>
      </c>
      <c r="W56" s="33">
        <f t="shared" si="14"/>
        <v>6572.2488713415296</v>
      </c>
      <c r="X56" s="167">
        <f t="shared" si="15"/>
        <v>361.47368792378415</v>
      </c>
      <c r="Y56" s="165">
        <v>300</v>
      </c>
      <c r="Z56" s="166">
        <f t="shared" si="16"/>
        <v>3.3000000000000003</v>
      </c>
      <c r="AA56" s="33">
        <f t="shared" si="17"/>
        <v>6833.722559265314</v>
      </c>
      <c r="AB56" s="167">
        <f t="shared" si="18"/>
        <v>359.35474075959229</v>
      </c>
      <c r="AC56" s="165">
        <f>300+300</f>
        <v>600</v>
      </c>
      <c r="AD56" s="166">
        <f t="shared" si="19"/>
        <v>6.6000000000000005</v>
      </c>
      <c r="AE56" s="33">
        <f t="shared" si="20"/>
        <v>6793.0773000249064</v>
      </c>
      <c r="AF56" s="167">
        <f t="shared" si="21"/>
        <v>340.61925150136983</v>
      </c>
      <c r="AG56" s="87">
        <f t="shared" si="22"/>
        <v>1100</v>
      </c>
    </row>
    <row r="57" spans="1:33">
      <c r="A57" s="10" t="s">
        <v>628</v>
      </c>
      <c r="C57" s="10" t="s">
        <v>152</v>
      </c>
      <c r="D57" s="80">
        <v>0</v>
      </c>
      <c r="E57" s="79">
        <f t="shared" si="0"/>
        <v>800</v>
      </c>
      <c r="F57" s="79">
        <f>'2020-2021 New'!J57</f>
        <v>2275.7455004818603</v>
      </c>
      <c r="G57" s="139">
        <f>'2020-2021 New'!F57</f>
        <v>3200</v>
      </c>
      <c r="H57" s="78">
        <f t="shared" si="1"/>
        <v>800</v>
      </c>
      <c r="I57" s="159">
        <f t="shared" si="2"/>
        <v>0</v>
      </c>
      <c r="J57" s="78">
        <f t="shared" si="3"/>
        <v>800</v>
      </c>
      <c r="K57" s="78">
        <f t="shared" si="4"/>
        <v>3735.4678296708562</v>
      </c>
      <c r="L57" s="78">
        <f t="shared" si="5"/>
        <v>0</v>
      </c>
      <c r="M57" s="78">
        <f t="shared" si="6"/>
        <v>0</v>
      </c>
      <c r="N57" s="78">
        <f t="shared" si="7"/>
        <v>659.72232918899613</v>
      </c>
      <c r="O57" s="78">
        <f t="shared" si="8"/>
        <v>659.72232918899613</v>
      </c>
      <c r="P57" s="78">
        <f t="shared" si="9"/>
        <v>-659.72232918899613</v>
      </c>
      <c r="Q57" s="165">
        <v>0</v>
      </c>
      <c r="R57" s="166">
        <f t="shared" si="10"/>
        <v>0</v>
      </c>
      <c r="S57" s="119">
        <f t="shared" si="11"/>
        <v>2475.7455004818603</v>
      </c>
      <c r="T57" s="167">
        <f t="shared" si="12"/>
        <v>136.16600252650233</v>
      </c>
      <c r="U57" s="165">
        <v>0</v>
      </c>
      <c r="V57" s="166">
        <f t="shared" si="13"/>
        <v>0</v>
      </c>
      <c r="W57" s="33">
        <f t="shared" si="14"/>
        <v>2811.9115030083626</v>
      </c>
      <c r="X57" s="167">
        <f t="shared" si="15"/>
        <v>154.65513266545994</v>
      </c>
      <c r="Y57" s="165">
        <v>0</v>
      </c>
      <c r="Z57" s="166">
        <f t="shared" si="16"/>
        <v>0</v>
      </c>
      <c r="AA57" s="33">
        <f t="shared" si="17"/>
        <v>3166.5666356738225</v>
      </c>
      <c r="AB57" s="167">
        <f t="shared" si="18"/>
        <v>174.16116496206024</v>
      </c>
      <c r="AC57" s="165">
        <v>0</v>
      </c>
      <c r="AD57" s="166">
        <f t="shared" si="19"/>
        <v>0</v>
      </c>
      <c r="AE57" s="33">
        <f t="shared" si="20"/>
        <v>3540.7278006358829</v>
      </c>
      <c r="AF57" s="167">
        <f t="shared" si="21"/>
        <v>194.74002903497356</v>
      </c>
      <c r="AG57" s="87">
        <f t="shared" si="22"/>
        <v>0</v>
      </c>
    </row>
    <row r="58" spans="1:33">
      <c r="A58" s="10" t="s">
        <v>629</v>
      </c>
      <c r="B58" s="10"/>
      <c r="C58" s="10" t="s">
        <v>156</v>
      </c>
      <c r="D58" s="80">
        <v>0</v>
      </c>
      <c r="E58" s="79">
        <f t="shared" si="0"/>
        <v>800</v>
      </c>
      <c r="F58" s="79">
        <f>'2020-2021 New'!J58</f>
        <v>16215.873156151229</v>
      </c>
      <c r="G58" s="139">
        <f>'2020-2021 New'!F58</f>
        <v>2600</v>
      </c>
      <c r="H58" s="78">
        <f t="shared" si="1"/>
        <v>800</v>
      </c>
      <c r="I58" s="159">
        <f t="shared" si="2"/>
        <v>0</v>
      </c>
      <c r="J58" s="78">
        <f t="shared" si="3"/>
        <v>800</v>
      </c>
      <c r="K58" s="78">
        <f t="shared" si="4"/>
        <v>21004.841602373363</v>
      </c>
      <c r="L58" s="78">
        <f t="shared" si="5"/>
        <v>0</v>
      </c>
      <c r="M58" s="78">
        <f t="shared" si="6"/>
        <v>0</v>
      </c>
      <c r="N58" s="78">
        <f t="shared" si="7"/>
        <v>3988.968446222133</v>
      </c>
      <c r="O58" s="78">
        <f t="shared" si="8"/>
        <v>3988.968446222133</v>
      </c>
      <c r="P58" s="78">
        <f t="shared" si="9"/>
        <v>-3988.968446222133</v>
      </c>
      <c r="Q58" s="165">
        <v>0</v>
      </c>
      <c r="R58" s="166">
        <f t="shared" si="10"/>
        <v>0</v>
      </c>
      <c r="S58" s="119">
        <f t="shared" si="11"/>
        <v>16415.873156151229</v>
      </c>
      <c r="T58" s="167">
        <f t="shared" si="12"/>
        <v>902.87302358831755</v>
      </c>
      <c r="U58" s="165">
        <v>0</v>
      </c>
      <c r="V58" s="166">
        <f t="shared" si="13"/>
        <v>0</v>
      </c>
      <c r="W58" s="33">
        <f t="shared" si="14"/>
        <v>17518.746179739544</v>
      </c>
      <c r="X58" s="167">
        <f t="shared" si="15"/>
        <v>963.531039885675</v>
      </c>
      <c r="Y58" s="165">
        <v>0</v>
      </c>
      <c r="Z58" s="166">
        <f t="shared" si="16"/>
        <v>0</v>
      </c>
      <c r="AA58" s="33">
        <f t="shared" si="17"/>
        <v>18682.277219625219</v>
      </c>
      <c r="AB58" s="167">
        <f t="shared" si="18"/>
        <v>1027.5252470793871</v>
      </c>
      <c r="AC58" s="165">
        <v>0</v>
      </c>
      <c r="AD58" s="166">
        <f t="shared" si="19"/>
        <v>0</v>
      </c>
      <c r="AE58" s="33">
        <f t="shared" si="20"/>
        <v>19909.802466704605</v>
      </c>
      <c r="AF58" s="167">
        <f t="shared" si="21"/>
        <v>1095.0391356687533</v>
      </c>
      <c r="AG58" s="87">
        <f t="shared" si="22"/>
        <v>0</v>
      </c>
    </row>
    <row r="59" spans="1:33">
      <c r="A59" s="10" t="s">
        <v>630</v>
      </c>
      <c r="B59" s="10"/>
      <c r="C59" s="10" t="s">
        <v>158</v>
      </c>
      <c r="D59" s="80">
        <v>0</v>
      </c>
      <c r="E59" s="79">
        <f t="shared" si="0"/>
        <v>800</v>
      </c>
      <c r="F59" s="79">
        <f>'2020-2021 New'!J59</f>
        <v>17147.047082384775</v>
      </c>
      <c r="G59" s="139">
        <f>'2020-2021 New'!F59</f>
        <v>3800</v>
      </c>
      <c r="H59" s="78">
        <f t="shared" si="1"/>
        <v>800</v>
      </c>
      <c r="I59" s="159">
        <f t="shared" si="2"/>
        <v>0</v>
      </c>
      <c r="J59" s="78">
        <f t="shared" si="3"/>
        <v>800</v>
      </c>
      <c r="K59" s="78">
        <f t="shared" si="4"/>
        <v>22158.402816210746</v>
      </c>
      <c r="L59" s="78">
        <f t="shared" si="5"/>
        <v>0</v>
      </c>
      <c r="M59" s="78">
        <f t="shared" si="6"/>
        <v>0</v>
      </c>
      <c r="N59" s="78">
        <f t="shared" si="7"/>
        <v>4211.3557338259698</v>
      </c>
      <c r="O59" s="78">
        <f t="shared" si="8"/>
        <v>4211.3557338259698</v>
      </c>
      <c r="P59" s="78">
        <f t="shared" si="9"/>
        <v>-4211.3557338259698</v>
      </c>
      <c r="Q59" s="165">
        <v>0</v>
      </c>
      <c r="R59" s="166">
        <f t="shared" si="10"/>
        <v>0</v>
      </c>
      <c r="S59" s="119">
        <f t="shared" si="11"/>
        <v>17347.047082384775</v>
      </c>
      <c r="T59" s="167">
        <f t="shared" si="12"/>
        <v>954.08758953116262</v>
      </c>
      <c r="U59" s="165">
        <v>0</v>
      </c>
      <c r="V59" s="166">
        <f t="shared" si="13"/>
        <v>0</v>
      </c>
      <c r="W59" s="33">
        <f t="shared" si="14"/>
        <v>18501.134671915937</v>
      </c>
      <c r="X59" s="167">
        <f t="shared" si="15"/>
        <v>1017.5624069553766</v>
      </c>
      <c r="Y59" s="165">
        <v>0</v>
      </c>
      <c r="Z59" s="166">
        <f t="shared" si="16"/>
        <v>0</v>
      </c>
      <c r="AA59" s="33">
        <f t="shared" si="17"/>
        <v>19718.697078871315</v>
      </c>
      <c r="AB59" s="167">
        <f t="shared" si="18"/>
        <v>1084.5283393379223</v>
      </c>
      <c r="AC59" s="165">
        <v>0</v>
      </c>
      <c r="AD59" s="166">
        <f t="shared" si="19"/>
        <v>0</v>
      </c>
      <c r="AE59" s="33">
        <f t="shared" si="20"/>
        <v>21003.225418209237</v>
      </c>
      <c r="AF59" s="167">
        <f t="shared" si="21"/>
        <v>1155.177398001508</v>
      </c>
      <c r="AG59" s="87">
        <f t="shared" si="22"/>
        <v>0</v>
      </c>
    </row>
    <row r="60" spans="1:33">
      <c r="A60" s="10" t="s">
        <v>631</v>
      </c>
      <c r="B60" s="10"/>
      <c r="C60" s="10" t="s">
        <v>118</v>
      </c>
      <c r="D60" s="80">
        <v>0</v>
      </c>
      <c r="E60" s="79">
        <f t="shared" si="0"/>
        <v>800</v>
      </c>
      <c r="F60" s="79">
        <f>'2020-2021 New'!J60</f>
        <v>11848.422818099982</v>
      </c>
      <c r="G60" s="139">
        <f>'2020-2021 New'!F60</f>
        <v>200</v>
      </c>
      <c r="H60" s="78">
        <f t="shared" si="1"/>
        <v>800</v>
      </c>
      <c r="I60" s="159">
        <f t="shared" si="2"/>
        <v>0</v>
      </c>
      <c r="J60" s="78">
        <f t="shared" si="3"/>
        <v>800</v>
      </c>
      <c r="K60" s="78">
        <f t="shared" si="4"/>
        <v>15594.336463214988</v>
      </c>
      <c r="L60" s="78">
        <f t="shared" si="5"/>
        <v>0</v>
      </c>
      <c r="M60" s="78">
        <f t="shared" si="6"/>
        <v>0</v>
      </c>
      <c r="N60" s="78">
        <f t="shared" si="7"/>
        <v>2945.9136451150061</v>
      </c>
      <c r="O60" s="78">
        <f t="shared" si="8"/>
        <v>2945.9136451150061</v>
      </c>
      <c r="P60" s="78">
        <f t="shared" si="9"/>
        <v>-2945.9136451150061</v>
      </c>
      <c r="Q60" s="165">
        <v>0</v>
      </c>
      <c r="R60" s="166">
        <f t="shared" si="10"/>
        <v>0</v>
      </c>
      <c r="S60" s="119">
        <f t="shared" si="11"/>
        <v>12048.422818099982</v>
      </c>
      <c r="T60" s="167">
        <f t="shared" si="12"/>
        <v>662.66325499549896</v>
      </c>
      <c r="U60" s="165">
        <v>0</v>
      </c>
      <c r="V60" s="166">
        <f t="shared" si="13"/>
        <v>0</v>
      </c>
      <c r="W60" s="33">
        <f t="shared" si="14"/>
        <v>12911.086073095481</v>
      </c>
      <c r="X60" s="167">
        <f t="shared" si="15"/>
        <v>710.10973402025149</v>
      </c>
      <c r="Y60" s="165">
        <v>0</v>
      </c>
      <c r="Z60" s="166">
        <f t="shared" si="16"/>
        <v>0</v>
      </c>
      <c r="AA60" s="33">
        <f t="shared" si="17"/>
        <v>13821.195807115733</v>
      </c>
      <c r="AB60" s="167">
        <f t="shared" si="18"/>
        <v>760.1657693913653</v>
      </c>
      <c r="AC60" s="165">
        <v>0</v>
      </c>
      <c r="AD60" s="166">
        <f t="shared" si="19"/>
        <v>0</v>
      </c>
      <c r="AE60" s="33">
        <f t="shared" si="20"/>
        <v>14781.361576507099</v>
      </c>
      <c r="AF60" s="167">
        <f t="shared" si="21"/>
        <v>812.97488670789051</v>
      </c>
      <c r="AG60" s="87">
        <f t="shared" si="22"/>
        <v>0</v>
      </c>
    </row>
    <row r="61" spans="1:33">
      <c r="A61" s="10" t="s">
        <v>632</v>
      </c>
      <c r="B61" s="10"/>
      <c r="C61" s="10" t="s">
        <v>157</v>
      </c>
      <c r="D61" s="80">
        <v>0</v>
      </c>
      <c r="E61" s="79">
        <f t="shared" si="0"/>
        <v>800</v>
      </c>
      <c r="F61" s="79">
        <f>'2020-2021 New'!J61</f>
        <v>13704.43253361516</v>
      </c>
      <c r="G61" s="139">
        <f>'2020-2021 New'!F61</f>
        <v>2600</v>
      </c>
      <c r="H61" s="78">
        <f t="shared" si="1"/>
        <v>800</v>
      </c>
      <c r="I61" s="159">
        <f t="shared" si="2"/>
        <v>0</v>
      </c>
      <c r="J61" s="78">
        <f t="shared" si="3"/>
        <v>800</v>
      </c>
      <c r="K61" s="78">
        <f t="shared" si="4"/>
        <v>17893.607050594685</v>
      </c>
      <c r="L61" s="78">
        <f t="shared" si="5"/>
        <v>0</v>
      </c>
      <c r="M61" s="78">
        <f t="shared" si="6"/>
        <v>0</v>
      </c>
      <c r="N61" s="78">
        <f t="shared" si="7"/>
        <v>3389.174516979524</v>
      </c>
      <c r="O61" s="78">
        <f t="shared" si="8"/>
        <v>3389.174516979524</v>
      </c>
      <c r="P61" s="78">
        <f t="shared" si="9"/>
        <v>-3389.174516979524</v>
      </c>
      <c r="Q61" s="165">
        <v>0</v>
      </c>
      <c r="R61" s="166">
        <f t="shared" si="10"/>
        <v>0</v>
      </c>
      <c r="S61" s="119">
        <f t="shared" si="11"/>
        <v>13904.43253361516</v>
      </c>
      <c r="T61" s="167">
        <f t="shared" si="12"/>
        <v>764.74378934883373</v>
      </c>
      <c r="U61" s="165">
        <v>0</v>
      </c>
      <c r="V61" s="166">
        <f t="shared" si="13"/>
        <v>0</v>
      </c>
      <c r="W61" s="33">
        <f t="shared" si="14"/>
        <v>14869.176322963993</v>
      </c>
      <c r="X61" s="167">
        <f t="shared" si="15"/>
        <v>817.80469776301959</v>
      </c>
      <c r="Y61" s="165">
        <v>0</v>
      </c>
      <c r="Z61" s="166">
        <f t="shared" si="16"/>
        <v>0</v>
      </c>
      <c r="AA61" s="33">
        <f t="shared" si="17"/>
        <v>15886.981020727013</v>
      </c>
      <c r="AB61" s="167">
        <f t="shared" si="18"/>
        <v>873.78395613998566</v>
      </c>
      <c r="AC61" s="165">
        <v>0</v>
      </c>
      <c r="AD61" s="166">
        <f t="shared" si="19"/>
        <v>0</v>
      </c>
      <c r="AE61" s="33">
        <f t="shared" si="20"/>
        <v>16960.764976866998</v>
      </c>
      <c r="AF61" s="167">
        <f t="shared" si="21"/>
        <v>932.84207372768492</v>
      </c>
      <c r="AG61" s="87">
        <f t="shared" si="22"/>
        <v>0</v>
      </c>
    </row>
    <row r="62" spans="1:33">
      <c r="A62" s="10" t="s">
        <v>633</v>
      </c>
      <c r="B62" s="10"/>
      <c r="C62" s="10" t="s">
        <v>127</v>
      </c>
      <c r="D62" s="80">
        <v>0</v>
      </c>
      <c r="E62" s="79">
        <f t="shared" si="0"/>
        <v>800</v>
      </c>
      <c r="F62" s="79">
        <f>'2020-2021 New'!J62</f>
        <v>18444.851815473434</v>
      </c>
      <c r="G62" s="139">
        <f>'2020-2021 New'!F62</f>
        <v>200</v>
      </c>
      <c r="H62" s="78">
        <f t="shared" si="1"/>
        <v>800</v>
      </c>
      <c r="I62" s="159">
        <f t="shared" si="2"/>
        <v>400</v>
      </c>
      <c r="J62" s="78">
        <f t="shared" si="3"/>
        <v>400</v>
      </c>
      <c r="K62" s="78">
        <f t="shared" si="4"/>
        <v>23322.155311258775</v>
      </c>
      <c r="L62" s="78">
        <f t="shared" si="5"/>
        <v>4.4000000000000004</v>
      </c>
      <c r="M62" s="78">
        <f t="shared" si="6"/>
        <v>21.758000000000003</v>
      </c>
      <c r="N62" s="78">
        <f t="shared" si="7"/>
        <v>4477.3034957853406</v>
      </c>
      <c r="O62" s="78">
        <f t="shared" si="8"/>
        <v>4477.3034957853406</v>
      </c>
      <c r="P62" s="78">
        <f t="shared" si="9"/>
        <v>-4059.9454957853409</v>
      </c>
      <c r="Q62" s="165">
        <v>0</v>
      </c>
      <c r="R62" s="166">
        <f t="shared" si="10"/>
        <v>0</v>
      </c>
      <c r="S62" s="119">
        <f t="shared" si="11"/>
        <v>18644.851815473434</v>
      </c>
      <c r="T62" s="167">
        <f t="shared" si="12"/>
        <v>1025.4668498510389</v>
      </c>
      <c r="U62" s="165">
        <v>0</v>
      </c>
      <c r="V62" s="166">
        <f t="shared" si="13"/>
        <v>0</v>
      </c>
      <c r="W62" s="33">
        <f t="shared" si="14"/>
        <v>19870.318665324474</v>
      </c>
      <c r="X62" s="167">
        <f t="shared" si="15"/>
        <v>1092.8675265928462</v>
      </c>
      <c r="Y62" s="165">
        <v>0</v>
      </c>
      <c r="Z62" s="166">
        <f t="shared" si="16"/>
        <v>0</v>
      </c>
      <c r="AA62" s="33">
        <f t="shared" si="17"/>
        <v>21163.186191917321</v>
      </c>
      <c r="AB62" s="167">
        <f t="shared" si="18"/>
        <v>1163.9752405554527</v>
      </c>
      <c r="AC62" s="165">
        <v>400</v>
      </c>
      <c r="AD62" s="166">
        <f t="shared" si="19"/>
        <v>4.4000000000000004</v>
      </c>
      <c r="AE62" s="33">
        <f t="shared" si="20"/>
        <v>22127.161432472774</v>
      </c>
      <c r="AF62" s="167">
        <f t="shared" si="21"/>
        <v>1194.9938787860026</v>
      </c>
      <c r="AG62" s="87">
        <f t="shared" si="22"/>
        <v>400</v>
      </c>
    </row>
    <row r="63" spans="1:33">
      <c r="A63" s="10" t="s">
        <v>634</v>
      </c>
      <c r="B63" s="10"/>
      <c r="C63" s="10" t="s">
        <v>127</v>
      </c>
      <c r="D63" s="80">
        <v>0</v>
      </c>
      <c r="E63" s="79">
        <f t="shared" si="0"/>
        <v>800</v>
      </c>
      <c r="F63" s="79">
        <f>'2020-2021 New'!J63</f>
        <v>4812.6682968011555</v>
      </c>
      <c r="G63" s="139">
        <f>'2020-2021 New'!F63</f>
        <v>200</v>
      </c>
      <c r="H63" s="78">
        <f t="shared" si="1"/>
        <v>800</v>
      </c>
      <c r="I63" s="159">
        <f t="shared" si="2"/>
        <v>0</v>
      </c>
      <c r="J63" s="78">
        <f t="shared" si="3"/>
        <v>800</v>
      </c>
      <c r="K63" s="78">
        <f t="shared" si="4"/>
        <v>6878.2703264837055</v>
      </c>
      <c r="L63" s="78">
        <f t="shared" si="5"/>
        <v>0</v>
      </c>
      <c r="M63" s="78">
        <f t="shared" si="6"/>
        <v>0</v>
      </c>
      <c r="N63" s="78">
        <f t="shared" si="7"/>
        <v>1265.6020296825495</v>
      </c>
      <c r="O63" s="78">
        <f t="shared" si="8"/>
        <v>1265.6020296825495</v>
      </c>
      <c r="P63" s="78">
        <f t="shared" si="9"/>
        <v>-1265.6020296825495</v>
      </c>
      <c r="Q63" s="165">
        <v>0</v>
      </c>
      <c r="R63" s="166">
        <f t="shared" si="10"/>
        <v>0</v>
      </c>
      <c r="S63" s="119">
        <f t="shared" si="11"/>
        <v>5012.6682968011555</v>
      </c>
      <c r="T63" s="167">
        <f t="shared" si="12"/>
        <v>275.69675632406353</v>
      </c>
      <c r="U63" s="165">
        <v>0</v>
      </c>
      <c r="V63" s="166">
        <f t="shared" si="13"/>
        <v>0</v>
      </c>
      <c r="W63" s="33">
        <f t="shared" si="14"/>
        <v>5488.3650531252188</v>
      </c>
      <c r="X63" s="167">
        <f t="shared" si="15"/>
        <v>301.86007792188701</v>
      </c>
      <c r="Y63" s="165">
        <v>0</v>
      </c>
      <c r="Z63" s="166">
        <f t="shared" si="16"/>
        <v>0</v>
      </c>
      <c r="AA63" s="33">
        <f t="shared" si="17"/>
        <v>5990.2251310471056</v>
      </c>
      <c r="AB63" s="167">
        <f t="shared" si="18"/>
        <v>329.46238220759079</v>
      </c>
      <c r="AC63" s="165">
        <v>0</v>
      </c>
      <c r="AD63" s="166">
        <f t="shared" si="19"/>
        <v>0</v>
      </c>
      <c r="AE63" s="33">
        <f t="shared" si="20"/>
        <v>6519.6875132546966</v>
      </c>
      <c r="AF63" s="167">
        <f t="shared" si="21"/>
        <v>358.58281322900831</v>
      </c>
      <c r="AG63" s="87">
        <f t="shared" si="22"/>
        <v>0</v>
      </c>
    </row>
    <row r="64" spans="1:33">
      <c r="A64" s="10" t="s">
        <v>635</v>
      </c>
      <c r="B64" s="10"/>
      <c r="C64" s="10" t="s">
        <v>128</v>
      </c>
      <c r="D64" s="80">
        <v>0</v>
      </c>
      <c r="E64" s="79">
        <f t="shared" si="0"/>
        <v>800</v>
      </c>
      <c r="F64" s="79">
        <f>'2020-2021 New'!J64</f>
        <v>16536.77945837978</v>
      </c>
      <c r="G64" s="139">
        <f>'2020-2021 New'!F64</f>
        <v>0</v>
      </c>
      <c r="H64" s="78">
        <f t="shared" si="1"/>
        <v>800</v>
      </c>
      <c r="I64" s="159">
        <f t="shared" si="2"/>
        <v>0</v>
      </c>
      <c r="J64" s="78">
        <f t="shared" si="3"/>
        <v>800</v>
      </c>
      <c r="K64" s="78">
        <f t="shared" si="4"/>
        <v>21402.388240115008</v>
      </c>
      <c r="L64" s="78">
        <f t="shared" si="5"/>
        <v>0</v>
      </c>
      <c r="M64" s="78">
        <f t="shared" si="6"/>
        <v>0</v>
      </c>
      <c r="N64" s="78">
        <f t="shared" si="7"/>
        <v>4065.6087817352281</v>
      </c>
      <c r="O64" s="78">
        <f t="shared" si="8"/>
        <v>4065.6087817352281</v>
      </c>
      <c r="P64" s="78">
        <f t="shared" si="9"/>
        <v>-4065.6087817352281</v>
      </c>
      <c r="Q64" s="165">
        <v>0</v>
      </c>
      <c r="R64" s="166">
        <f t="shared" si="10"/>
        <v>0</v>
      </c>
      <c r="S64" s="119">
        <f t="shared" si="11"/>
        <v>16736.77945837978</v>
      </c>
      <c r="T64" s="167">
        <f t="shared" si="12"/>
        <v>920.52287021088796</v>
      </c>
      <c r="U64" s="165">
        <v>0</v>
      </c>
      <c r="V64" s="166">
        <f t="shared" si="13"/>
        <v>0</v>
      </c>
      <c r="W64" s="33">
        <f t="shared" si="14"/>
        <v>17857.302328590667</v>
      </c>
      <c r="X64" s="167">
        <f t="shared" si="15"/>
        <v>982.15162807248669</v>
      </c>
      <c r="Y64" s="165">
        <v>0</v>
      </c>
      <c r="Z64" s="166">
        <f t="shared" si="16"/>
        <v>0</v>
      </c>
      <c r="AA64" s="33">
        <f t="shared" si="17"/>
        <v>19039.453956663154</v>
      </c>
      <c r="AB64" s="167">
        <f t="shared" si="18"/>
        <v>1047.1699676164735</v>
      </c>
      <c r="AC64" s="165">
        <v>0</v>
      </c>
      <c r="AD64" s="166">
        <f t="shared" si="19"/>
        <v>0</v>
      </c>
      <c r="AE64" s="33">
        <f t="shared" si="20"/>
        <v>20286.623924279629</v>
      </c>
      <c r="AF64" s="167">
        <f t="shared" si="21"/>
        <v>1115.7643158353796</v>
      </c>
      <c r="AG64" s="87">
        <f t="shared" si="22"/>
        <v>0</v>
      </c>
    </row>
    <row r="65" spans="1:33">
      <c r="A65" s="10" t="s">
        <v>636</v>
      </c>
      <c r="B65" s="10"/>
      <c r="C65" s="10" t="s">
        <v>128</v>
      </c>
      <c r="D65" s="80">
        <v>0</v>
      </c>
      <c r="E65" s="79">
        <f t="shared" si="0"/>
        <v>800</v>
      </c>
      <c r="F65" s="79">
        <f>'2020-2021 New'!J65</f>
        <v>16139.174568950109</v>
      </c>
      <c r="G65" s="139">
        <f>'2020-2021 New'!F65</f>
        <v>0</v>
      </c>
      <c r="H65" s="78">
        <f t="shared" si="1"/>
        <v>800</v>
      </c>
      <c r="I65" s="159">
        <f t="shared" si="2"/>
        <v>0</v>
      </c>
      <c r="J65" s="78">
        <f t="shared" si="3"/>
        <v>800</v>
      </c>
      <c r="K65" s="78">
        <f t="shared" si="4"/>
        <v>20909.825501880507</v>
      </c>
      <c r="L65" s="78">
        <f t="shared" si="5"/>
        <v>0</v>
      </c>
      <c r="M65" s="78">
        <f t="shared" si="6"/>
        <v>0</v>
      </c>
      <c r="N65" s="78">
        <f t="shared" si="7"/>
        <v>3970.6509329303954</v>
      </c>
      <c r="O65" s="78">
        <f t="shared" si="8"/>
        <v>3970.6509329303954</v>
      </c>
      <c r="P65" s="78">
        <f t="shared" si="9"/>
        <v>-3970.6509329303954</v>
      </c>
      <c r="Q65" s="165">
        <v>0</v>
      </c>
      <c r="R65" s="166">
        <f t="shared" si="10"/>
        <v>0</v>
      </c>
      <c r="S65" s="119">
        <f t="shared" si="11"/>
        <v>16339.174568950109</v>
      </c>
      <c r="T65" s="167">
        <f t="shared" si="12"/>
        <v>898.65460129225607</v>
      </c>
      <c r="U65" s="165">
        <v>0</v>
      </c>
      <c r="V65" s="166">
        <f t="shared" si="13"/>
        <v>0</v>
      </c>
      <c r="W65" s="33">
        <f t="shared" si="14"/>
        <v>17437.829170242367</v>
      </c>
      <c r="X65" s="167">
        <f t="shared" si="15"/>
        <v>959.08060436333017</v>
      </c>
      <c r="Y65" s="165">
        <v>0</v>
      </c>
      <c r="Z65" s="166">
        <f t="shared" si="16"/>
        <v>0</v>
      </c>
      <c r="AA65" s="33">
        <f t="shared" si="17"/>
        <v>18596.909774605698</v>
      </c>
      <c r="AB65" s="167">
        <f t="shared" si="18"/>
        <v>1022.8300376033134</v>
      </c>
      <c r="AC65" s="165">
        <v>0</v>
      </c>
      <c r="AD65" s="166">
        <f t="shared" si="19"/>
        <v>0</v>
      </c>
      <c r="AE65" s="33">
        <f t="shared" si="20"/>
        <v>19819.739812209013</v>
      </c>
      <c r="AF65" s="167">
        <f t="shared" si="21"/>
        <v>1090.0856896714956</v>
      </c>
      <c r="AG65" s="87">
        <f t="shared" si="22"/>
        <v>0</v>
      </c>
    </row>
    <row r="66" spans="1:33">
      <c r="A66" s="10" t="s">
        <v>637</v>
      </c>
      <c r="B66" s="10"/>
      <c r="C66" s="10" t="s">
        <v>155</v>
      </c>
      <c r="D66" s="80">
        <v>0</v>
      </c>
      <c r="E66" s="79">
        <f t="shared" si="0"/>
        <v>800</v>
      </c>
      <c r="F66" s="79">
        <f>'2020-2021 New'!J66</f>
        <v>12214.007272970543</v>
      </c>
      <c r="G66" s="139">
        <f>'2020-2021 New'!F66</f>
        <v>600</v>
      </c>
      <c r="H66" s="78">
        <f t="shared" si="1"/>
        <v>800</v>
      </c>
      <c r="I66" s="159">
        <f t="shared" si="2"/>
        <v>0</v>
      </c>
      <c r="J66" s="78">
        <f t="shared" si="3"/>
        <v>800</v>
      </c>
      <c r="K66" s="78">
        <f t="shared" si="4"/>
        <v>16047.231497793942</v>
      </c>
      <c r="L66" s="78">
        <f t="shared" si="5"/>
        <v>0</v>
      </c>
      <c r="M66" s="78">
        <f t="shared" si="6"/>
        <v>0</v>
      </c>
      <c r="N66" s="78">
        <f t="shared" si="7"/>
        <v>3033.2242248233988</v>
      </c>
      <c r="O66" s="78">
        <f t="shared" si="8"/>
        <v>3033.2242248233988</v>
      </c>
      <c r="P66" s="78">
        <f t="shared" si="9"/>
        <v>-3033.2242248233988</v>
      </c>
      <c r="Q66" s="165">
        <v>0</v>
      </c>
      <c r="R66" s="166">
        <f t="shared" si="10"/>
        <v>0</v>
      </c>
      <c r="S66" s="119">
        <f t="shared" si="11"/>
        <v>12414.007272970543</v>
      </c>
      <c r="T66" s="167">
        <f t="shared" si="12"/>
        <v>682.7704000133798</v>
      </c>
      <c r="U66" s="165">
        <v>0</v>
      </c>
      <c r="V66" s="166">
        <f t="shared" si="13"/>
        <v>0</v>
      </c>
      <c r="W66" s="33">
        <f t="shared" si="14"/>
        <v>13296.777672983922</v>
      </c>
      <c r="X66" s="167">
        <f t="shared" si="15"/>
        <v>731.32277201411569</v>
      </c>
      <c r="Y66" s="165">
        <v>0</v>
      </c>
      <c r="Z66" s="166">
        <f t="shared" si="16"/>
        <v>0</v>
      </c>
      <c r="AA66" s="33">
        <f t="shared" si="17"/>
        <v>14228.100444998037</v>
      </c>
      <c r="AB66" s="167">
        <f t="shared" si="18"/>
        <v>782.54552447489209</v>
      </c>
      <c r="AC66" s="165">
        <v>0</v>
      </c>
      <c r="AD66" s="166">
        <f t="shared" si="19"/>
        <v>0</v>
      </c>
      <c r="AE66" s="33">
        <f t="shared" si="20"/>
        <v>15210.645969472929</v>
      </c>
      <c r="AF66" s="167">
        <f t="shared" si="21"/>
        <v>836.58552832101111</v>
      </c>
      <c r="AG66" s="87">
        <f t="shared" si="22"/>
        <v>0</v>
      </c>
    </row>
    <row r="67" spans="1:33">
      <c r="A67" s="10" t="s">
        <v>638</v>
      </c>
      <c r="B67" s="10" t="s">
        <v>677</v>
      </c>
      <c r="C67" s="10" t="s">
        <v>126</v>
      </c>
      <c r="D67" s="80">
        <v>0</v>
      </c>
      <c r="E67" s="79">
        <f t="shared" si="0"/>
        <v>800</v>
      </c>
      <c r="F67" s="79">
        <f>'2020-2021 New'!J67</f>
        <v>12507.319123923638</v>
      </c>
      <c r="G67" s="139">
        <f>'2020-2021 New'!F67</f>
        <v>200</v>
      </c>
      <c r="H67" s="78">
        <f t="shared" si="1"/>
        <v>800</v>
      </c>
      <c r="I67" s="159">
        <f t="shared" si="2"/>
        <v>0</v>
      </c>
      <c r="J67" s="78">
        <f t="shared" si="3"/>
        <v>800</v>
      </c>
      <c r="K67" s="78">
        <f t="shared" ref="K67:K90" si="23">J67+N67+F67</f>
        <v>16410.593449075081</v>
      </c>
      <c r="L67" s="78">
        <f t="shared" si="5"/>
        <v>0</v>
      </c>
      <c r="M67" s="78">
        <f t="shared" si="6"/>
        <v>0</v>
      </c>
      <c r="N67" s="78">
        <f t="shared" si="7"/>
        <v>3103.2743251514439</v>
      </c>
      <c r="O67" s="78">
        <f t="shared" si="8"/>
        <v>3103.2743251514439</v>
      </c>
      <c r="P67" s="78">
        <f t="shared" si="9"/>
        <v>-3103.2743251514439</v>
      </c>
      <c r="Q67" s="165">
        <v>0</v>
      </c>
      <c r="R67" s="166">
        <f t="shared" si="10"/>
        <v>0</v>
      </c>
      <c r="S67" s="119">
        <f t="shared" si="11"/>
        <v>12707.319123923638</v>
      </c>
      <c r="T67" s="167">
        <f t="shared" si="12"/>
        <v>698.90255181580017</v>
      </c>
      <c r="U67" s="165">
        <v>0</v>
      </c>
      <c r="V67" s="166">
        <f t="shared" si="13"/>
        <v>0</v>
      </c>
      <c r="W67" s="33">
        <f t="shared" si="14"/>
        <v>13606.221675739438</v>
      </c>
      <c r="X67" s="167">
        <f t="shared" si="15"/>
        <v>748.34219216566908</v>
      </c>
      <c r="Y67" s="165">
        <v>0</v>
      </c>
      <c r="Z67" s="166">
        <f t="shared" si="16"/>
        <v>0</v>
      </c>
      <c r="AA67" s="33">
        <f t="shared" si="17"/>
        <v>14554.563867905108</v>
      </c>
      <c r="AB67" s="167">
        <f t="shared" si="18"/>
        <v>800.50101273478094</v>
      </c>
      <c r="AC67" s="165">
        <v>0</v>
      </c>
      <c r="AD67" s="166">
        <f t="shared" si="19"/>
        <v>0</v>
      </c>
      <c r="AE67" s="33">
        <f t="shared" si="20"/>
        <v>15555.064880639889</v>
      </c>
      <c r="AF67" s="167">
        <f t="shared" si="21"/>
        <v>855.52856843519396</v>
      </c>
      <c r="AG67" s="87">
        <f t="shared" si="22"/>
        <v>0</v>
      </c>
    </row>
    <row r="68" spans="1:33">
      <c r="A68" s="10" t="s">
        <v>639</v>
      </c>
      <c r="B68" s="10"/>
      <c r="C68" s="10" t="s">
        <v>116</v>
      </c>
      <c r="D68" s="80">
        <v>0</v>
      </c>
      <c r="E68" s="79">
        <f t="shared" ref="E68:E90" si="24">200*4</f>
        <v>800</v>
      </c>
      <c r="F68" s="79">
        <f>'2020-2021 New'!J68</f>
        <v>8028.9221667551556</v>
      </c>
      <c r="G68" s="139">
        <f>'2020-2021 New'!F68</f>
        <v>0</v>
      </c>
      <c r="H68" s="78">
        <f t="shared" ref="H68:H90" si="25">D68+E68</f>
        <v>800</v>
      </c>
      <c r="I68" s="159">
        <f t="shared" ref="I68:I90" si="26">AG68</f>
        <v>2000</v>
      </c>
      <c r="J68" s="78">
        <f t="shared" ref="J68:J90" si="27">H68-I68-D68</f>
        <v>-1200</v>
      </c>
      <c r="K68" s="78">
        <f t="shared" si="23"/>
        <v>8467.6756032507728</v>
      </c>
      <c r="L68" s="78">
        <f t="shared" ref="L68:L90" si="28">R68+V68+Z68+AD68</f>
        <v>22</v>
      </c>
      <c r="M68" s="78">
        <f t="shared" ref="M68:M90" si="29">(I68-L68-D68)*5.5%</f>
        <v>108.79</v>
      </c>
      <c r="N68" s="78">
        <f t="shared" ref="N68:N90" si="30">T68+X68+AB68+AF68</f>
        <v>1638.7534364956182</v>
      </c>
      <c r="O68" s="78">
        <f t="shared" ref="O68:O90" si="31">N68</f>
        <v>1638.7534364956182</v>
      </c>
      <c r="P68" s="78">
        <f t="shared" ref="P68:P90" si="32">I68-L68-N68+M68</f>
        <v>448.03656350438183</v>
      </c>
      <c r="Q68" s="165">
        <v>0</v>
      </c>
      <c r="R68" s="166">
        <f t="shared" ref="R68:R90" si="33">Q68*1.1%</f>
        <v>0</v>
      </c>
      <c r="S68" s="119">
        <f t="shared" ref="S68:S90" si="34">F68+200</f>
        <v>8228.9221667551556</v>
      </c>
      <c r="T68" s="167">
        <f t="shared" ref="T68:T90" si="35">(S68-Q68)*0.055</f>
        <v>452.59071917153358</v>
      </c>
      <c r="U68" s="165">
        <f>[1]Sheet1!$D$86</f>
        <v>1200</v>
      </c>
      <c r="V68" s="166">
        <f t="shared" ref="V68:V90" si="36">U68*1.1%</f>
        <v>13.200000000000001</v>
      </c>
      <c r="W68" s="33">
        <f t="shared" ref="W68:W90" si="37">S68-U68+200+T68</f>
        <v>7681.5128859266888</v>
      </c>
      <c r="X68" s="167">
        <f t="shared" ref="X68:X90" si="38">(W68-U68)*0.055</f>
        <v>356.48320872596787</v>
      </c>
      <c r="Y68" s="165">
        <v>400</v>
      </c>
      <c r="Z68" s="166">
        <f t="shared" ref="Z68:Z90" si="39">Y68*1.1%</f>
        <v>4.4000000000000004</v>
      </c>
      <c r="AA68" s="33">
        <f t="shared" ref="AA68:AA90" si="40">W68-Y68+200+X68</f>
        <v>7837.9960946526571</v>
      </c>
      <c r="AB68" s="167">
        <f t="shared" ref="AB68:AB90" si="41">(AA68-Y68)*0.055</f>
        <v>409.08978520589613</v>
      </c>
      <c r="AC68" s="165">
        <v>400</v>
      </c>
      <c r="AD68" s="166">
        <f t="shared" ref="AD68:AD90" si="42">AC68*1.1%</f>
        <v>4.4000000000000004</v>
      </c>
      <c r="AE68" s="33">
        <f t="shared" ref="AE68:AE90" si="43">AA68-AC68+200+AB68</f>
        <v>8047.0858798585532</v>
      </c>
      <c r="AF68" s="167">
        <f t="shared" ref="AF68:AF90" si="44">(AE68-AC68)*0.055</f>
        <v>420.58972339222044</v>
      </c>
      <c r="AG68" s="87">
        <f t="shared" ref="AG68:AG90" si="45">Q68+U68+Y68+AC68</f>
        <v>2000</v>
      </c>
    </row>
    <row r="69" spans="1:33">
      <c r="A69" s="10" t="s">
        <v>640</v>
      </c>
      <c r="B69" s="10"/>
      <c r="C69" s="10" t="s">
        <v>154</v>
      </c>
      <c r="D69" s="80">
        <v>0</v>
      </c>
      <c r="E69" s="79">
        <f t="shared" si="24"/>
        <v>800</v>
      </c>
      <c r="F69" s="79">
        <f>'2020-2021 New'!J69</f>
        <v>-1290.3509670344729</v>
      </c>
      <c r="G69" s="139">
        <f>'2020-2021 New'!F69</f>
        <v>1800</v>
      </c>
      <c r="H69" s="78">
        <f t="shared" si="25"/>
        <v>800</v>
      </c>
      <c r="I69" s="159">
        <f t="shared" si="26"/>
        <v>0</v>
      </c>
      <c r="J69" s="78">
        <f t="shared" si="27"/>
        <v>800</v>
      </c>
      <c r="K69" s="78">
        <f t="shared" si="23"/>
        <v>-682.30038079511178</v>
      </c>
      <c r="L69" s="78">
        <f t="shared" si="28"/>
        <v>0</v>
      </c>
      <c r="M69" s="78">
        <f t="shared" si="29"/>
        <v>0</v>
      </c>
      <c r="N69" s="78">
        <f t="shared" si="30"/>
        <v>-191.94941376063889</v>
      </c>
      <c r="O69" s="78">
        <f t="shared" si="31"/>
        <v>-191.94941376063889</v>
      </c>
      <c r="P69" s="78">
        <f t="shared" si="32"/>
        <v>191.94941376063889</v>
      </c>
      <c r="Q69" s="165">
        <v>0</v>
      </c>
      <c r="R69" s="166">
        <f t="shared" si="33"/>
        <v>0</v>
      </c>
      <c r="S69" s="119">
        <f t="shared" si="34"/>
        <v>-1090.3509670344729</v>
      </c>
      <c r="T69" s="167">
        <f t="shared" si="35"/>
        <v>-59.969303186896006</v>
      </c>
      <c r="U69" s="165">
        <v>0</v>
      </c>
      <c r="V69" s="166">
        <f t="shared" si="36"/>
        <v>0</v>
      </c>
      <c r="W69" s="33">
        <f t="shared" si="37"/>
        <v>-950.3202702213689</v>
      </c>
      <c r="X69" s="167">
        <f t="shared" si="38"/>
        <v>-52.267614862175293</v>
      </c>
      <c r="Y69" s="165">
        <v>0</v>
      </c>
      <c r="Z69" s="166">
        <f t="shared" si="39"/>
        <v>0</v>
      </c>
      <c r="AA69" s="33">
        <f t="shared" si="40"/>
        <v>-802.58788508354417</v>
      </c>
      <c r="AB69" s="167">
        <f t="shared" si="41"/>
        <v>-44.142333679594927</v>
      </c>
      <c r="AC69" s="165">
        <v>0</v>
      </c>
      <c r="AD69" s="166">
        <f t="shared" si="42"/>
        <v>0</v>
      </c>
      <c r="AE69" s="33">
        <f t="shared" si="43"/>
        <v>-646.73021876313908</v>
      </c>
      <c r="AF69" s="167">
        <f t="shared" si="44"/>
        <v>-35.57016203197265</v>
      </c>
      <c r="AG69" s="87">
        <f t="shared" si="45"/>
        <v>0</v>
      </c>
    </row>
    <row r="70" spans="1:33">
      <c r="A70" s="10" t="s">
        <v>641</v>
      </c>
      <c r="B70" s="10"/>
      <c r="C70" s="10" t="s">
        <v>115</v>
      </c>
      <c r="D70" s="80">
        <v>0</v>
      </c>
      <c r="E70" s="79">
        <f t="shared" si="24"/>
        <v>800</v>
      </c>
      <c r="F70" s="79">
        <f>'2020-2021 New'!J70</f>
        <v>7021.9773886098992</v>
      </c>
      <c r="G70" s="139">
        <f>'2020-2021 New'!F70</f>
        <v>0</v>
      </c>
      <c r="H70" s="78">
        <f t="shared" si="25"/>
        <v>800</v>
      </c>
      <c r="I70" s="159">
        <f t="shared" si="26"/>
        <v>300</v>
      </c>
      <c r="J70" s="78">
        <f t="shared" si="27"/>
        <v>500</v>
      </c>
      <c r="K70" s="78">
        <f t="shared" si="23"/>
        <v>9282.216890266307</v>
      </c>
      <c r="L70" s="78">
        <f t="shared" si="28"/>
        <v>3.3000000000000003</v>
      </c>
      <c r="M70" s="78">
        <f t="shared" si="29"/>
        <v>16.3185</v>
      </c>
      <c r="N70" s="78">
        <f t="shared" si="30"/>
        <v>1760.2395016564087</v>
      </c>
      <c r="O70" s="78">
        <f t="shared" si="31"/>
        <v>1760.2395016564087</v>
      </c>
      <c r="P70" s="78">
        <f t="shared" si="32"/>
        <v>-1447.2210016564086</v>
      </c>
      <c r="Q70" s="165">
        <v>0</v>
      </c>
      <c r="R70" s="166">
        <f t="shared" si="33"/>
        <v>0</v>
      </c>
      <c r="S70" s="119">
        <f t="shared" si="34"/>
        <v>7221.9773886098992</v>
      </c>
      <c r="T70" s="167">
        <f t="shared" si="35"/>
        <v>397.20875637354447</v>
      </c>
      <c r="U70" s="165">
        <v>0</v>
      </c>
      <c r="V70" s="166">
        <f t="shared" si="36"/>
        <v>0</v>
      </c>
      <c r="W70" s="33">
        <f t="shared" si="37"/>
        <v>7819.1861449834432</v>
      </c>
      <c r="X70" s="167">
        <f t="shared" si="38"/>
        <v>430.05523797408938</v>
      </c>
      <c r="Y70" s="165">
        <v>0</v>
      </c>
      <c r="Z70" s="166">
        <f t="shared" si="39"/>
        <v>0</v>
      </c>
      <c r="AA70" s="33">
        <f t="shared" si="40"/>
        <v>8449.2413829575326</v>
      </c>
      <c r="AB70" s="167">
        <f t="shared" si="41"/>
        <v>464.70827606266431</v>
      </c>
      <c r="AC70" s="165">
        <v>300</v>
      </c>
      <c r="AD70" s="166">
        <f t="shared" si="42"/>
        <v>3.3000000000000003</v>
      </c>
      <c r="AE70" s="33">
        <f t="shared" si="43"/>
        <v>8813.9496590201961</v>
      </c>
      <c r="AF70" s="167">
        <f t="shared" si="44"/>
        <v>468.26723124611078</v>
      </c>
      <c r="AG70" s="87">
        <f t="shared" si="45"/>
        <v>300</v>
      </c>
    </row>
    <row r="71" spans="1:33">
      <c r="A71" s="10" t="s">
        <v>642</v>
      </c>
      <c r="B71" s="10"/>
      <c r="C71" s="10" t="s">
        <v>153</v>
      </c>
      <c r="D71" s="80">
        <v>0</v>
      </c>
      <c r="E71" s="79">
        <f t="shared" si="24"/>
        <v>800</v>
      </c>
      <c r="F71" s="79">
        <f>'2020-2021 New'!J71</f>
        <v>3127.9415059353473</v>
      </c>
      <c r="G71" s="139">
        <f>'2020-2021 New'!F71</f>
        <v>600</v>
      </c>
      <c r="H71" s="78">
        <f t="shared" si="25"/>
        <v>800</v>
      </c>
      <c r="I71" s="159">
        <f t="shared" si="26"/>
        <v>200</v>
      </c>
      <c r="J71" s="78">
        <f t="shared" si="27"/>
        <v>600</v>
      </c>
      <c r="K71" s="78">
        <f t="shared" si="23"/>
        <v>4544.0976983907931</v>
      </c>
      <c r="L71" s="78">
        <f t="shared" si="28"/>
        <v>2.2000000000000002</v>
      </c>
      <c r="M71" s="78">
        <f t="shared" si="29"/>
        <v>10.879000000000001</v>
      </c>
      <c r="N71" s="78">
        <f t="shared" si="30"/>
        <v>816.15619245544565</v>
      </c>
      <c r="O71" s="78">
        <f t="shared" si="31"/>
        <v>816.15619245544565</v>
      </c>
      <c r="P71" s="78">
        <f t="shared" si="32"/>
        <v>-607.47719245544556</v>
      </c>
      <c r="Q71" s="165">
        <v>0</v>
      </c>
      <c r="R71" s="166">
        <f t="shared" si="33"/>
        <v>0</v>
      </c>
      <c r="S71" s="119">
        <f t="shared" si="34"/>
        <v>3327.9415059353473</v>
      </c>
      <c r="T71" s="167">
        <f t="shared" si="35"/>
        <v>183.0367828264441</v>
      </c>
      <c r="U71" s="165">
        <f>[1]Sheet1!$D$83</f>
        <v>200</v>
      </c>
      <c r="V71" s="166">
        <f t="shared" si="36"/>
        <v>2.2000000000000002</v>
      </c>
      <c r="W71" s="33">
        <f t="shared" si="37"/>
        <v>3510.9782887617912</v>
      </c>
      <c r="X71" s="167">
        <f t="shared" si="38"/>
        <v>182.10380588189852</v>
      </c>
      <c r="Y71" s="165">
        <v>0</v>
      </c>
      <c r="Z71" s="166">
        <f t="shared" si="39"/>
        <v>0</v>
      </c>
      <c r="AA71" s="33">
        <f t="shared" si="40"/>
        <v>3893.0820946436897</v>
      </c>
      <c r="AB71" s="167">
        <f t="shared" si="41"/>
        <v>214.11951520540293</v>
      </c>
      <c r="AC71" s="165">
        <v>0</v>
      </c>
      <c r="AD71" s="166">
        <f t="shared" si="42"/>
        <v>0</v>
      </c>
      <c r="AE71" s="33">
        <f t="shared" si="43"/>
        <v>4307.2016098490931</v>
      </c>
      <c r="AF71" s="167">
        <f t="shared" si="44"/>
        <v>236.89608854170012</v>
      </c>
      <c r="AG71" s="87">
        <f t="shared" si="45"/>
        <v>200</v>
      </c>
    </row>
    <row r="72" spans="1:33">
      <c r="A72" s="10" t="s">
        <v>643</v>
      </c>
      <c r="B72" s="10"/>
      <c r="C72" s="10" t="s">
        <v>122</v>
      </c>
      <c r="D72" s="80">
        <v>0</v>
      </c>
      <c r="E72" s="79">
        <f t="shared" si="24"/>
        <v>800</v>
      </c>
      <c r="F72" s="79">
        <f>'2020-2021 New'!J72</f>
        <v>11312.644597054816</v>
      </c>
      <c r="G72" s="139">
        <f>'2020-2021 New'!F72</f>
        <v>200</v>
      </c>
      <c r="H72" s="78">
        <f t="shared" si="25"/>
        <v>800</v>
      </c>
      <c r="I72" s="159">
        <f t="shared" si="26"/>
        <v>0</v>
      </c>
      <c r="J72" s="78">
        <f t="shared" si="27"/>
        <v>800</v>
      </c>
      <c r="K72" s="78">
        <f t="shared" si="23"/>
        <v>14930.601195716226</v>
      </c>
      <c r="L72" s="78">
        <f t="shared" si="28"/>
        <v>0</v>
      </c>
      <c r="M72" s="78">
        <f t="shared" si="29"/>
        <v>0</v>
      </c>
      <c r="N72" s="78">
        <f t="shared" si="30"/>
        <v>2817.9565986614102</v>
      </c>
      <c r="O72" s="78">
        <f t="shared" si="31"/>
        <v>2817.9565986614102</v>
      </c>
      <c r="P72" s="78">
        <f t="shared" si="32"/>
        <v>-2817.9565986614102</v>
      </c>
      <c r="Q72" s="165">
        <v>0</v>
      </c>
      <c r="R72" s="166">
        <f t="shared" si="33"/>
        <v>0</v>
      </c>
      <c r="S72" s="119">
        <f t="shared" si="34"/>
        <v>11512.644597054816</v>
      </c>
      <c r="T72" s="167">
        <f t="shared" si="35"/>
        <v>633.19545283801483</v>
      </c>
      <c r="U72" s="165">
        <v>0</v>
      </c>
      <c r="V72" s="166">
        <f t="shared" si="36"/>
        <v>0</v>
      </c>
      <c r="W72" s="33">
        <f t="shared" si="37"/>
        <v>12345.840049892831</v>
      </c>
      <c r="X72" s="167">
        <f t="shared" si="38"/>
        <v>679.02120274410572</v>
      </c>
      <c r="Y72" s="165">
        <v>0</v>
      </c>
      <c r="Z72" s="166">
        <f t="shared" si="39"/>
        <v>0</v>
      </c>
      <c r="AA72" s="33">
        <f t="shared" si="40"/>
        <v>13224.861252636936</v>
      </c>
      <c r="AB72" s="167">
        <f t="shared" si="41"/>
        <v>727.36736889503152</v>
      </c>
      <c r="AC72" s="165">
        <v>0</v>
      </c>
      <c r="AD72" s="166">
        <f t="shared" si="42"/>
        <v>0</v>
      </c>
      <c r="AE72" s="33">
        <f t="shared" si="43"/>
        <v>14152.228621531967</v>
      </c>
      <c r="AF72" s="167">
        <f t="shared" si="44"/>
        <v>778.37257418425816</v>
      </c>
      <c r="AG72" s="87">
        <f t="shared" si="45"/>
        <v>0</v>
      </c>
    </row>
    <row r="73" spans="1:33" ht="16.5" customHeight="1">
      <c r="A73" s="10" t="s">
        <v>644</v>
      </c>
      <c r="B73" s="10"/>
      <c r="C73" s="10" t="s">
        <v>129</v>
      </c>
      <c r="D73" s="80">
        <v>0</v>
      </c>
      <c r="E73" s="79">
        <f t="shared" si="24"/>
        <v>800</v>
      </c>
      <c r="F73" s="79">
        <f>'2020-2021 New'!J73</f>
        <v>9036.474759765224</v>
      </c>
      <c r="G73" s="139">
        <f>'2020-2021 New'!F73</f>
        <v>200</v>
      </c>
      <c r="H73" s="78">
        <f t="shared" si="25"/>
        <v>800</v>
      </c>
      <c r="I73" s="159">
        <f t="shared" si="26"/>
        <v>800</v>
      </c>
      <c r="J73" s="78">
        <f t="shared" si="27"/>
        <v>0</v>
      </c>
      <c r="K73" s="78">
        <f t="shared" si="23"/>
        <v>11194.607687147785</v>
      </c>
      <c r="L73" s="78">
        <f t="shared" si="28"/>
        <v>8.8000000000000007</v>
      </c>
      <c r="M73" s="78">
        <f t="shared" si="29"/>
        <v>43.516000000000005</v>
      </c>
      <c r="N73" s="78">
        <f t="shared" si="30"/>
        <v>2158.1329273825604</v>
      </c>
      <c r="O73" s="78">
        <f t="shared" si="31"/>
        <v>2158.1329273825604</v>
      </c>
      <c r="P73" s="78">
        <f t="shared" si="32"/>
        <v>-1323.4169273825603</v>
      </c>
      <c r="Q73" s="165">
        <f>[1]Sheet1!$D$74</f>
        <v>200</v>
      </c>
      <c r="R73" s="166">
        <f t="shared" si="33"/>
        <v>2.2000000000000002</v>
      </c>
      <c r="S73" s="119">
        <f t="shared" si="34"/>
        <v>9236.474759765224</v>
      </c>
      <c r="T73" s="167">
        <f t="shared" si="35"/>
        <v>497.00611178708732</v>
      </c>
      <c r="U73" s="165">
        <v>200</v>
      </c>
      <c r="V73" s="166">
        <f t="shared" si="36"/>
        <v>2.2000000000000002</v>
      </c>
      <c r="W73" s="33">
        <f t="shared" si="37"/>
        <v>9733.4808715523104</v>
      </c>
      <c r="X73" s="167">
        <f t="shared" si="38"/>
        <v>524.34144793537712</v>
      </c>
      <c r="Y73" s="165">
        <v>200</v>
      </c>
      <c r="Z73" s="166">
        <f t="shared" si="39"/>
        <v>2.2000000000000002</v>
      </c>
      <c r="AA73" s="33">
        <f t="shared" si="40"/>
        <v>10257.822319487688</v>
      </c>
      <c r="AB73" s="167">
        <f t="shared" si="41"/>
        <v>553.18022757182291</v>
      </c>
      <c r="AC73" s="165">
        <v>200</v>
      </c>
      <c r="AD73" s="166">
        <f t="shared" si="42"/>
        <v>2.2000000000000002</v>
      </c>
      <c r="AE73" s="33">
        <f t="shared" si="43"/>
        <v>10811.002547059512</v>
      </c>
      <c r="AF73" s="167">
        <f t="shared" si="44"/>
        <v>583.60514008827317</v>
      </c>
      <c r="AG73" s="87">
        <f t="shared" si="45"/>
        <v>800</v>
      </c>
    </row>
    <row r="74" spans="1:33">
      <c r="A74" s="10" t="s">
        <v>645</v>
      </c>
      <c r="B74" s="10"/>
      <c r="C74" s="10" t="s">
        <v>130</v>
      </c>
      <c r="D74" s="80">
        <v>0</v>
      </c>
      <c r="E74" s="79">
        <f t="shared" si="24"/>
        <v>800</v>
      </c>
      <c r="F74" s="79">
        <f>'2020-2021 New'!J74</f>
        <v>3459.9536176073671</v>
      </c>
      <c r="G74" s="139">
        <f>'2020-2021 New'!F74</f>
        <v>400</v>
      </c>
      <c r="H74" s="78">
        <f t="shared" si="25"/>
        <v>800</v>
      </c>
      <c r="I74" s="159">
        <f t="shared" si="26"/>
        <v>0</v>
      </c>
      <c r="J74" s="78">
        <f t="shared" si="27"/>
        <v>800</v>
      </c>
      <c r="K74" s="78">
        <f t="shared" si="23"/>
        <v>5202.4940366361516</v>
      </c>
      <c r="L74" s="78">
        <f t="shared" si="28"/>
        <v>0</v>
      </c>
      <c r="M74" s="78">
        <f t="shared" si="29"/>
        <v>0</v>
      </c>
      <c r="N74" s="78">
        <f t="shared" si="30"/>
        <v>942.54041902878441</v>
      </c>
      <c r="O74" s="78">
        <f t="shared" si="31"/>
        <v>942.54041902878441</v>
      </c>
      <c r="P74" s="78">
        <f t="shared" si="32"/>
        <v>-942.54041902878441</v>
      </c>
      <c r="Q74" s="165">
        <v>0</v>
      </c>
      <c r="R74" s="166">
        <f t="shared" si="33"/>
        <v>0</v>
      </c>
      <c r="S74" s="119">
        <f t="shared" si="34"/>
        <v>3659.9536176073671</v>
      </c>
      <c r="T74" s="167">
        <f t="shared" si="35"/>
        <v>201.29744896840518</v>
      </c>
      <c r="U74" s="165">
        <v>0</v>
      </c>
      <c r="V74" s="166">
        <f t="shared" si="36"/>
        <v>0</v>
      </c>
      <c r="W74" s="33">
        <f t="shared" si="37"/>
        <v>4061.2510665757723</v>
      </c>
      <c r="X74" s="167">
        <f t="shared" si="38"/>
        <v>223.36880866166749</v>
      </c>
      <c r="Y74" s="165">
        <v>0</v>
      </c>
      <c r="Z74" s="166">
        <f t="shared" si="39"/>
        <v>0</v>
      </c>
      <c r="AA74" s="33">
        <f t="shared" si="40"/>
        <v>4484.6198752374403</v>
      </c>
      <c r="AB74" s="167">
        <f t="shared" si="41"/>
        <v>246.65409313805921</v>
      </c>
      <c r="AC74" s="165">
        <v>0</v>
      </c>
      <c r="AD74" s="166">
        <f t="shared" si="42"/>
        <v>0</v>
      </c>
      <c r="AE74" s="33">
        <f t="shared" si="43"/>
        <v>4931.2739683754999</v>
      </c>
      <c r="AF74" s="167">
        <f t="shared" si="44"/>
        <v>271.22006826065251</v>
      </c>
      <c r="AG74" s="87">
        <f t="shared" si="45"/>
        <v>0</v>
      </c>
    </row>
    <row r="75" spans="1:33">
      <c r="A75" s="10" t="s">
        <v>646</v>
      </c>
      <c r="B75" s="10"/>
      <c r="C75" s="10" t="s">
        <v>125</v>
      </c>
      <c r="D75" s="80">
        <v>0</v>
      </c>
      <c r="E75" s="79">
        <f t="shared" si="24"/>
        <v>800</v>
      </c>
      <c r="F75" s="79">
        <f>'2020-2021 New'!J75</f>
        <v>1223.6998871859632</v>
      </c>
      <c r="G75" s="139">
        <f>'2020-2021 New'!F75</f>
        <v>200</v>
      </c>
      <c r="H75" s="78">
        <f t="shared" si="25"/>
        <v>800</v>
      </c>
      <c r="I75" s="159">
        <f t="shared" si="26"/>
        <v>200</v>
      </c>
      <c r="J75" s="78">
        <f t="shared" si="27"/>
        <v>600</v>
      </c>
      <c r="K75" s="78">
        <f t="shared" si="23"/>
        <v>2210.1677903380028</v>
      </c>
      <c r="L75" s="78">
        <f t="shared" si="28"/>
        <v>2.2000000000000002</v>
      </c>
      <c r="M75" s="78">
        <f t="shared" si="29"/>
        <v>10.879000000000001</v>
      </c>
      <c r="N75" s="78">
        <f t="shared" si="30"/>
        <v>386.46790315203958</v>
      </c>
      <c r="O75" s="78">
        <f t="shared" si="31"/>
        <v>386.46790315203958</v>
      </c>
      <c r="P75" s="78">
        <f t="shared" si="32"/>
        <v>-177.78890315203958</v>
      </c>
      <c r="Q75" s="165">
        <v>0</v>
      </c>
      <c r="R75" s="166">
        <f t="shared" si="33"/>
        <v>0</v>
      </c>
      <c r="S75" s="119">
        <f t="shared" si="34"/>
        <v>1423.6998871859632</v>
      </c>
      <c r="T75" s="167">
        <f t="shared" si="35"/>
        <v>78.303493795227979</v>
      </c>
      <c r="U75" s="165">
        <v>0</v>
      </c>
      <c r="V75" s="166">
        <f t="shared" si="36"/>
        <v>0</v>
      </c>
      <c r="W75" s="33">
        <f t="shared" si="37"/>
        <v>1702.0033809811912</v>
      </c>
      <c r="X75" s="167">
        <f t="shared" si="38"/>
        <v>93.610185953965512</v>
      </c>
      <c r="Y75" s="165">
        <v>0</v>
      </c>
      <c r="Z75" s="166">
        <f t="shared" si="39"/>
        <v>0</v>
      </c>
      <c r="AA75" s="33">
        <f t="shared" si="40"/>
        <v>1995.6135669351568</v>
      </c>
      <c r="AB75" s="167">
        <f t="shared" si="41"/>
        <v>109.75874618143362</v>
      </c>
      <c r="AC75" s="165">
        <v>200</v>
      </c>
      <c r="AD75" s="166">
        <f t="shared" si="42"/>
        <v>2.2000000000000002</v>
      </c>
      <c r="AE75" s="33">
        <f t="shared" si="43"/>
        <v>2105.3723131165902</v>
      </c>
      <c r="AF75" s="167">
        <f t="shared" si="44"/>
        <v>104.79547722141247</v>
      </c>
      <c r="AG75" s="87">
        <f t="shared" si="45"/>
        <v>200</v>
      </c>
    </row>
    <row r="76" spans="1:33">
      <c r="A76" s="10" t="s">
        <v>647</v>
      </c>
      <c r="B76" s="10"/>
      <c r="C76" s="10" t="s">
        <v>131</v>
      </c>
      <c r="D76" s="80">
        <v>0</v>
      </c>
      <c r="E76" s="79">
        <f t="shared" si="24"/>
        <v>800</v>
      </c>
      <c r="F76" s="79">
        <f>'2020-2021 New'!J76</f>
        <v>11193.994600334314</v>
      </c>
      <c r="G76" s="139">
        <f>'2020-2021 New'!F76</f>
        <v>200</v>
      </c>
      <c r="H76" s="78">
        <f t="shared" si="25"/>
        <v>800</v>
      </c>
      <c r="I76" s="159">
        <f t="shared" si="26"/>
        <v>0</v>
      </c>
      <c r="J76" s="78">
        <f t="shared" si="27"/>
        <v>800</v>
      </c>
      <c r="K76" s="78">
        <f t="shared" si="23"/>
        <v>14783.614654982293</v>
      </c>
      <c r="L76" s="78">
        <f t="shared" si="28"/>
        <v>0</v>
      </c>
      <c r="M76" s="78">
        <f t="shared" si="29"/>
        <v>0</v>
      </c>
      <c r="N76" s="78">
        <f t="shared" si="30"/>
        <v>2789.620054647979</v>
      </c>
      <c r="O76" s="78">
        <f t="shared" si="31"/>
        <v>2789.620054647979</v>
      </c>
      <c r="P76" s="78">
        <f t="shared" si="32"/>
        <v>-2789.620054647979</v>
      </c>
      <c r="Q76" s="165">
        <v>0</v>
      </c>
      <c r="R76" s="166">
        <f t="shared" si="33"/>
        <v>0</v>
      </c>
      <c r="S76" s="119">
        <f t="shared" si="34"/>
        <v>11393.994600334314</v>
      </c>
      <c r="T76" s="167">
        <f t="shared" si="35"/>
        <v>626.66970301838728</v>
      </c>
      <c r="U76" s="165">
        <v>0</v>
      </c>
      <c r="V76" s="166">
        <f t="shared" si="36"/>
        <v>0</v>
      </c>
      <c r="W76" s="33">
        <f t="shared" si="37"/>
        <v>12220.664303352702</v>
      </c>
      <c r="X76" s="167">
        <f t="shared" si="38"/>
        <v>672.13653668439861</v>
      </c>
      <c r="Y76" s="165">
        <v>0</v>
      </c>
      <c r="Z76" s="166">
        <f t="shared" si="39"/>
        <v>0</v>
      </c>
      <c r="AA76" s="33">
        <f t="shared" si="40"/>
        <v>13092.8008400371</v>
      </c>
      <c r="AB76" s="167">
        <f t="shared" si="41"/>
        <v>720.10404620204054</v>
      </c>
      <c r="AC76" s="165">
        <v>0</v>
      </c>
      <c r="AD76" s="166">
        <f t="shared" si="42"/>
        <v>0</v>
      </c>
      <c r="AE76" s="33">
        <f t="shared" si="43"/>
        <v>14012.904886239141</v>
      </c>
      <c r="AF76" s="167">
        <f t="shared" si="44"/>
        <v>770.70976874315272</v>
      </c>
      <c r="AG76" s="87">
        <f t="shared" si="45"/>
        <v>0</v>
      </c>
    </row>
    <row r="77" spans="1:33">
      <c r="A77" s="10" t="s">
        <v>648</v>
      </c>
      <c r="B77" s="10"/>
      <c r="C77" s="10" t="s">
        <v>116</v>
      </c>
      <c r="D77" s="80">
        <v>0</v>
      </c>
      <c r="E77" s="79">
        <f t="shared" si="24"/>
        <v>800</v>
      </c>
      <c r="F77" s="79">
        <f>'2020-2021 New'!J77</f>
        <v>12199.271573692473</v>
      </c>
      <c r="G77" s="139">
        <f>'2020-2021 New'!F77</f>
        <v>0</v>
      </c>
      <c r="H77" s="78">
        <f t="shared" si="25"/>
        <v>800</v>
      </c>
      <c r="I77" s="159">
        <f t="shared" si="26"/>
        <v>0</v>
      </c>
      <c r="J77" s="78">
        <f t="shared" si="27"/>
        <v>800</v>
      </c>
      <c r="K77" s="78">
        <f t="shared" si="23"/>
        <v>16028.976550284071</v>
      </c>
      <c r="L77" s="78">
        <f t="shared" si="28"/>
        <v>0</v>
      </c>
      <c r="M77" s="78">
        <f t="shared" si="29"/>
        <v>0</v>
      </c>
      <c r="N77" s="78">
        <f t="shared" si="30"/>
        <v>3029.704976591599</v>
      </c>
      <c r="O77" s="78">
        <f t="shared" si="31"/>
        <v>3029.704976591599</v>
      </c>
      <c r="P77" s="78">
        <f t="shared" si="32"/>
        <v>-3029.704976591599</v>
      </c>
      <c r="Q77" s="165">
        <v>0</v>
      </c>
      <c r="R77" s="166">
        <f t="shared" si="33"/>
        <v>0</v>
      </c>
      <c r="S77" s="119">
        <f t="shared" si="34"/>
        <v>12399.271573692473</v>
      </c>
      <c r="T77" s="167">
        <f t="shared" si="35"/>
        <v>681.95993655308598</v>
      </c>
      <c r="U77" s="165">
        <v>0</v>
      </c>
      <c r="V77" s="166">
        <f t="shared" si="36"/>
        <v>0</v>
      </c>
      <c r="W77" s="33">
        <f t="shared" si="37"/>
        <v>13281.23151024556</v>
      </c>
      <c r="X77" s="167">
        <f t="shared" si="38"/>
        <v>730.46773306350576</v>
      </c>
      <c r="Y77" s="165">
        <v>0</v>
      </c>
      <c r="Z77" s="166">
        <f t="shared" si="39"/>
        <v>0</v>
      </c>
      <c r="AA77" s="33">
        <f t="shared" si="40"/>
        <v>14211.699243309065</v>
      </c>
      <c r="AB77" s="167">
        <f t="shared" si="41"/>
        <v>781.64345838199858</v>
      </c>
      <c r="AC77" s="165">
        <v>0</v>
      </c>
      <c r="AD77" s="166">
        <f t="shared" si="42"/>
        <v>0</v>
      </c>
      <c r="AE77" s="33">
        <f t="shared" si="43"/>
        <v>15193.342701691065</v>
      </c>
      <c r="AF77" s="167">
        <f t="shared" si="44"/>
        <v>835.63384859300857</v>
      </c>
      <c r="AG77" s="87">
        <f t="shared" si="45"/>
        <v>0</v>
      </c>
    </row>
    <row r="78" spans="1:33">
      <c r="A78" s="10" t="s">
        <v>649</v>
      </c>
      <c r="B78" s="10"/>
      <c r="C78" s="10" t="s">
        <v>132</v>
      </c>
      <c r="D78" s="80">
        <v>0</v>
      </c>
      <c r="E78" s="79">
        <f t="shared" si="24"/>
        <v>800</v>
      </c>
      <c r="F78" s="79">
        <f>'2020-2021 New'!J78</f>
        <v>12134.306064364586</v>
      </c>
      <c r="G78" s="139">
        <f>'2020-2021 New'!F78</f>
        <v>0</v>
      </c>
      <c r="H78" s="78">
        <f t="shared" si="25"/>
        <v>800</v>
      </c>
      <c r="I78" s="159">
        <f t="shared" si="26"/>
        <v>200</v>
      </c>
      <c r="J78" s="78">
        <f t="shared" si="27"/>
        <v>600</v>
      </c>
      <c r="K78" s="78">
        <f t="shared" si="23"/>
        <v>15701.404125888277</v>
      </c>
      <c r="L78" s="78">
        <f t="shared" si="28"/>
        <v>2.2000000000000002</v>
      </c>
      <c r="M78" s="78">
        <f t="shared" si="29"/>
        <v>10.879000000000001</v>
      </c>
      <c r="N78" s="78">
        <f t="shared" si="30"/>
        <v>2967.0980615236913</v>
      </c>
      <c r="O78" s="78">
        <f t="shared" si="31"/>
        <v>2967.0980615236913</v>
      </c>
      <c r="P78" s="78">
        <f t="shared" si="32"/>
        <v>-2758.4190615236912</v>
      </c>
      <c r="Q78" s="165">
        <v>0</v>
      </c>
      <c r="R78" s="166">
        <f t="shared" si="33"/>
        <v>0</v>
      </c>
      <c r="S78" s="119">
        <f t="shared" si="34"/>
        <v>12334.306064364586</v>
      </c>
      <c r="T78" s="167">
        <f t="shared" si="35"/>
        <v>678.38683354005218</v>
      </c>
      <c r="U78" s="165">
        <f>[1]Sheet1!$D$84</f>
        <v>200</v>
      </c>
      <c r="V78" s="166">
        <f t="shared" si="36"/>
        <v>2.2000000000000002</v>
      </c>
      <c r="W78" s="33">
        <f t="shared" si="37"/>
        <v>13012.692897904639</v>
      </c>
      <c r="X78" s="167">
        <f t="shared" si="38"/>
        <v>704.69810938475518</v>
      </c>
      <c r="Y78" s="165">
        <v>0</v>
      </c>
      <c r="Z78" s="166">
        <f t="shared" si="39"/>
        <v>0</v>
      </c>
      <c r="AA78" s="33">
        <f t="shared" si="40"/>
        <v>13917.391007289394</v>
      </c>
      <c r="AB78" s="167">
        <f t="shared" si="41"/>
        <v>765.45650540091663</v>
      </c>
      <c r="AC78" s="165">
        <v>0</v>
      </c>
      <c r="AD78" s="166">
        <f t="shared" si="42"/>
        <v>0</v>
      </c>
      <c r="AE78" s="33">
        <f t="shared" si="43"/>
        <v>14882.84751269031</v>
      </c>
      <c r="AF78" s="167">
        <f t="shared" si="44"/>
        <v>818.55661319796707</v>
      </c>
      <c r="AG78" s="87">
        <f t="shared" si="45"/>
        <v>200</v>
      </c>
    </row>
    <row r="79" spans="1:33">
      <c r="A79" s="10" t="s">
        <v>650</v>
      </c>
      <c r="B79" s="10"/>
      <c r="C79" s="10" t="s">
        <v>113</v>
      </c>
      <c r="D79" s="80">
        <v>0</v>
      </c>
      <c r="E79" s="79">
        <f t="shared" si="24"/>
        <v>800</v>
      </c>
      <c r="F79" s="79">
        <f>'2020-2021 New'!J79</f>
        <v>11114.894602520646</v>
      </c>
      <c r="G79" s="139">
        <f>'2020-2021 New'!F79</f>
        <v>200</v>
      </c>
      <c r="H79" s="78">
        <f t="shared" si="25"/>
        <v>800</v>
      </c>
      <c r="I79" s="159">
        <f t="shared" si="26"/>
        <v>0</v>
      </c>
      <c r="J79" s="78">
        <f t="shared" si="27"/>
        <v>800</v>
      </c>
      <c r="K79" s="78">
        <f t="shared" si="23"/>
        <v>14685.623627826337</v>
      </c>
      <c r="L79" s="78">
        <f t="shared" si="28"/>
        <v>0</v>
      </c>
      <c r="M79" s="78">
        <f t="shared" si="29"/>
        <v>0</v>
      </c>
      <c r="N79" s="78">
        <f t="shared" si="30"/>
        <v>2770.7290253056913</v>
      </c>
      <c r="O79" s="78">
        <f t="shared" si="31"/>
        <v>2770.7290253056913</v>
      </c>
      <c r="P79" s="78">
        <f t="shared" si="32"/>
        <v>-2770.7290253056913</v>
      </c>
      <c r="Q79" s="165">
        <v>0</v>
      </c>
      <c r="R79" s="166">
        <f t="shared" si="33"/>
        <v>0</v>
      </c>
      <c r="S79" s="119">
        <f t="shared" si="34"/>
        <v>11314.894602520646</v>
      </c>
      <c r="T79" s="167">
        <f t="shared" si="35"/>
        <v>622.31920313863554</v>
      </c>
      <c r="U79" s="165">
        <v>0</v>
      </c>
      <c r="V79" s="166">
        <f t="shared" si="36"/>
        <v>0</v>
      </c>
      <c r="W79" s="33">
        <f t="shared" si="37"/>
        <v>12137.213805659281</v>
      </c>
      <c r="X79" s="167">
        <f t="shared" si="38"/>
        <v>667.54675931126042</v>
      </c>
      <c r="Y79" s="165">
        <v>0</v>
      </c>
      <c r="Z79" s="166">
        <f t="shared" si="39"/>
        <v>0</v>
      </c>
      <c r="AA79" s="33">
        <f t="shared" si="40"/>
        <v>13004.760564970542</v>
      </c>
      <c r="AB79" s="167">
        <f t="shared" si="41"/>
        <v>715.26183107337977</v>
      </c>
      <c r="AC79" s="165">
        <v>0</v>
      </c>
      <c r="AD79" s="166">
        <f t="shared" si="42"/>
        <v>0</v>
      </c>
      <c r="AE79" s="33">
        <f t="shared" si="43"/>
        <v>13920.022396043922</v>
      </c>
      <c r="AF79" s="167">
        <f t="shared" si="44"/>
        <v>765.60123178241565</v>
      </c>
      <c r="AG79" s="87">
        <f t="shared" si="45"/>
        <v>0</v>
      </c>
    </row>
    <row r="80" spans="1:33">
      <c r="A80" s="10" t="s">
        <v>651</v>
      </c>
      <c r="B80" s="10"/>
      <c r="C80" s="10" t="s">
        <v>124</v>
      </c>
      <c r="D80" s="80">
        <v>0</v>
      </c>
      <c r="E80" s="79">
        <f t="shared" si="24"/>
        <v>800</v>
      </c>
      <c r="F80" s="79">
        <f>'2020-2021 New'!J80</f>
        <v>16175.320467989171</v>
      </c>
      <c r="G80" s="139">
        <f>'2020-2021 New'!F80</f>
        <v>0</v>
      </c>
      <c r="H80" s="78">
        <f t="shared" si="25"/>
        <v>800</v>
      </c>
      <c r="I80" s="159">
        <f t="shared" si="26"/>
        <v>0</v>
      </c>
      <c r="J80" s="78">
        <f t="shared" si="27"/>
        <v>800</v>
      </c>
      <c r="K80" s="78">
        <f t="shared" si="23"/>
        <v>20954.603932629099</v>
      </c>
      <c r="L80" s="78">
        <f t="shared" si="28"/>
        <v>0</v>
      </c>
      <c r="M80" s="78">
        <f t="shared" si="29"/>
        <v>0</v>
      </c>
      <c r="N80" s="78">
        <f t="shared" si="30"/>
        <v>3979.283464639926</v>
      </c>
      <c r="O80" s="78">
        <f t="shared" si="31"/>
        <v>3979.283464639926</v>
      </c>
      <c r="P80" s="78">
        <f t="shared" si="32"/>
        <v>-3979.283464639926</v>
      </c>
      <c r="Q80" s="165">
        <v>0</v>
      </c>
      <c r="R80" s="166">
        <f t="shared" si="33"/>
        <v>0</v>
      </c>
      <c r="S80" s="119">
        <f t="shared" si="34"/>
        <v>16375.320467989171</v>
      </c>
      <c r="T80" s="167">
        <f t="shared" si="35"/>
        <v>900.64262573940448</v>
      </c>
      <c r="U80" s="165">
        <v>0</v>
      </c>
      <c r="V80" s="166">
        <f t="shared" si="36"/>
        <v>0</v>
      </c>
      <c r="W80" s="33">
        <f t="shared" si="37"/>
        <v>17475.963093728576</v>
      </c>
      <c r="X80" s="167">
        <f t="shared" si="38"/>
        <v>961.17797015507176</v>
      </c>
      <c r="Y80" s="165">
        <v>0</v>
      </c>
      <c r="Z80" s="166">
        <f t="shared" si="39"/>
        <v>0</v>
      </c>
      <c r="AA80" s="33">
        <f t="shared" si="40"/>
        <v>18637.14106388365</v>
      </c>
      <c r="AB80" s="167">
        <f t="shared" si="41"/>
        <v>1025.0427585136008</v>
      </c>
      <c r="AC80" s="165">
        <v>0</v>
      </c>
      <c r="AD80" s="166">
        <f t="shared" si="42"/>
        <v>0</v>
      </c>
      <c r="AE80" s="33">
        <f t="shared" si="43"/>
        <v>19862.183822397252</v>
      </c>
      <c r="AF80" s="167">
        <f t="shared" si="44"/>
        <v>1092.4201102318489</v>
      </c>
      <c r="AG80" s="87">
        <f t="shared" si="45"/>
        <v>0</v>
      </c>
    </row>
    <row r="81" spans="1:33">
      <c r="A81" s="10" t="s">
        <v>652</v>
      </c>
      <c r="B81" s="10"/>
      <c r="C81" s="10" t="s">
        <v>149</v>
      </c>
      <c r="D81" s="80">
        <v>0</v>
      </c>
      <c r="E81" s="79">
        <f t="shared" si="24"/>
        <v>800</v>
      </c>
      <c r="F81" s="79">
        <f>'2020-2021 New'!J81</f>
        <v>7500.0435994702248</v>
      </c>
      <c r="G81" s="139">
        <f>'2020-2021 New'!F81</f>
        <v>600</v>
      </c>
      <c r="H81" s="78">
        <f t="shared" si="25"/>
        <v>800</v>
      </c>
      <c r="I81" s="159">
        <f t="shared" si="26"/>
        <v>0</v>
      </c>
      <c r="J81" s="78">
        <f t="shared" si="27"/>
        <v>800</v>
      </c>
      <c r="K81" s="78">
        <f t="shared" si="23"/>
        <v>10207.457096910968</v>
      </c>
      <c r="L81" s="78">
        <f t="shared" si="28"/>
        <v>0</v>
      </c>
      <c r="M81" s="78">
        <f t="shared" si="29"/>
        <v>0</v>
      </c>
      <c r="N81" s="78">
        <f t="shared" si="30"/>
        <v>1907.4134974407439</v>
      </c>
      <c r="O81" s="78">
        <f t="shared" si="31"/>
        <v>1907.4134974407439</v>
      </c>
      <c r="P81" s="78">
        <f t="shared" si="32"/>
        <v>-1907.4134974407439</v>
      </c>
      <c r="Q81" s="165">
        <v>0</v>
      </c>
      <c r="R81" s="166">
        <f t="shared" si="33"/>
        <v>0</v>
      </c>
      <c r="S81" s="119">
        <f t="shared" si="34"/>
        <v>7700.0435994702248</v>
      </c>
      <c r="T81" s="167">
        <f t="shared" si="35"/>
        <v>423.50239797086238</v>
      </c>
      <c r="U81" s="165">
        <v>0</v>
      </c>
      <c r="V81" s="166">
        <f t="shared" si="36"/>
        <v>0</v>
      </c>
      <c r="W81" s="33">
        <f t="shared" si="37"/>
        <v>8323.5459974410878</v>
      </c>
      <c r="X81" s="167">
        <f t="shared" si="38"/>
        <v>457.79502985925984</v>
      </c>
      <c r="Y81" s="165">
        <v>0</v>
      </c>
      <c r="Z81" s="166">
        <f t="shared" si="39"/>
        <v>0</v>
      </c>
      <c r="AA81" s="33">
        <f t="shared" si="40"/>
        <v>8981.3410273003483</v>
      </c>
      <c r="AB81" s="167">
        <f t="shared" si="41"/>
        <v>493.97375650151918</v>
      </c>
      <c r="AC81" s="165">
        <v>0</v>
      </c>
      <c r="AD81" s="166">
        <f t="shared" si="42"/>
        <v>0</v>
      </c>
      <c r="AE81" s="33">
        <f t="shared" si="43"/>
        <v>9675.3147838018667</v>
      </c>
      <c r="AF81" s="167">
        <f t="shared" si="44"/>
        <v>532.1423131091027</v>
      </c>
      <c r="AG81" s="87">
        <f t="shared" si="45"/>
        <v>0</v>
      </c>
    </row>
    <row r="82" spans="1:33">
      <c r="A82" s="10" t="s">
        <v>653</v>
      </c>
      <c r="B82" s="10"/>
      <c r="C82" s="10" t="s">
        <v>148</v>
      </c>
      <c r="D82" s="80">
        <v>0</v>
      </c>
      <c r="E82" s="79">
        <f t="shared" si="24"/>
        <v>800</v>
      </c>
      <c r="F82" s="79">
        <f>'2020-2021 New'!J82</f>
        <v>7940.8690266797603</v>
      </c>
      <c r="G82" s="139">
        <f>'2020-2021 New'!F82</f>
        <v>2400</v>
      </c>
      <c r="H82" s="78">
        <f t="shared" si="25"/>
        <v>800</v>
      </c>
      <c r="I82" s="159">
        <f t="shared" si="26"/>
        <v>3400</v>
      </c>
      <c r="J82" s="78">
        <f t="shared" si="27"/>
        <v>-2600</v>
      </c>
      <c r="K82" s="78">
        <f t="shared" si="23"/>
        <v>7091.3926758854377</v>
      </c>
      <c r="L82" s="78">
        <f t="shared" si="28"/>
        <v>37.4</v>
      </c>
      <c r="M82" s="78">
        <f t="shared" si="29"/>
        <v>184.94299999999998</v>
      </c>
      <c r="N82" s="78">
        <f t="shared" si="30"/>
        <v>1750.5236492056774</v>
      </c>
      <c r="O82" s="78">
        <f t="shared" si="31"/>
        <v>1750.5236492056774</v>
      </c>
      <c r="P82" s="78">
        <f t="shared" si="32"/>
        <v>1797.0193507943225</v>
      </c>
      <c r="Q82" s="165">
        <f>[1]Sheet1!$D$70</f>
        <v>3000</v>
      </c>
      <c r="R82" s="166">
        <f t="shared" si="33"/>
        <v>33</v>
      </c>
      <c r="S82" s="119">
        <f t="shared" si="34"/>
        <v>8140.8690266797603</v>
      </c>
      <c r="T82" s="167">
        <f t="shared" si="35"/>
        <v>282.74779646738682</v>
      </c>
      <c r="U82" s="165">
        <v>0</v>
      </c>
      <c r="V82" s="166">
        <f t="shared" si="36"/>
        <v>0</v>
      </c>
      <c r="W82" s="33">
        <f t="shared" si="37"/>
        <v>8623.6168231471474</v>
      </c>
      <c r="X82" s="167">
        <f t="shared" si="38"/>
        <v>474.29892527309312</v>
      </c>
      <c r="Y82" s="165">
        <v>400</v>
      </c>
      <c r="Z82" s="166">
        <f t="shared" si="39"/>
        <v>4.4000000000000004</v>
      </c>
      <c r="AA82" s="33">
        <f t="shared" si="40"/>
        <v>8897.9157484202406</v>
      </c>
      <c r="AB82" s="167">
        <f t="shared" si="41"/>
        <v>467.38536616311325</v>
      </c>
      <c r="AC82" s="165">
        <v>0</v>
      </c>
      <c r="AD82" s="166">
        <f t="shared" si="42"/>
        <v>0</v>
      </c>
      <c r="AE82" s="33">
        <f t="shared" si="43"/>
        <v>9565.3011145833534</v>
      </c>
      <c r="AF82" s="167">
        <f t="shared" si="44"/>
        <v>526.09156130208441</v>
      </c>
      <c r="AG82" s="87">
        <f t="shared" si="45"/>
        <v>3400</v>
      </c>
    </row>
    <row r="83" spans="1:33">
      <c r="A83" s="10" t="s">
        <v>654</v>
      </c>
      <c r="B83" s="10"/>
      <c r="C83" s="10" t="s">
        <v>127</v>
      </c>
      <c r="D83" s="80">
        <v>0</v>
      </c>
      <c r="E83" s="79">
        <f t="shared" si="24"/>
        <v>800</v>
      </c>
      <c r="F83" s="79">
        <f>'2020-2021 New'!J83</f>
        <v>417.90691889300723</v>
      </c>
      <c r="G83" s="139">
        <f>'2020-2021 New'!F83</f>
        <v>200</v>
      </c>
      <c r="H83" s="78">
        <f t="shared" si="25"/>
        <v>800</v>
      </c>
      <c r="I83" s="159">
        <f t="shared" si="26"/>
        <v>0</v>
      </c>
      <c r="J83" s="78">
        <f t="shared" si="27"/>
        <v>800</v>
      </c>
      <c r="K83" s="78">
        <f t="shared" si="23"/>
        <v>1433.9315979164001</v>
      </c>
      <c r="L83" s="78">
        <f t="shared" si="28"/>
        <v>0</v>
      </c>
      <c r="M83" s="78">
        <f t="shared" si="29"/>
        <v>0</v>
      </c>
      <c r="N83" s="78">
        <f t="shared" si="30"/>
        <v>216.02467902339271</v>
      </c>
      <c r="O83" s="78">
        <f t="shared" si="31"/>
        <v>216.02467902339271</v>
      </c>
      <c r="P83" s="78">
        <f t="shared" si="32"/>
        <v>-216.02467902339271</v>
      </c>
      <c r="Q83" s="165">
        <v>0</v>
      </c>
      <c r="R83" s="166">
        <f t="shared" si="33"/>
        <v>0</v>
      </c>
      <c r="S83" s="119">
        <f t="shared" si="34"/>
        <v>617.90691889300729</v>
      </c>
      <c r="T83" s="167">
        <f t="shared" si="35"/>
        <v>33.984880539115402</v>
      </c>
      <c r="U83" s="165">
        <v>0</v>
      </c>
      <c r="V83" s="166">
        <f t="shared" si="36"/>
        <v>0</v>
      </c>
      <c r="W83" s="33">
        <f t="shared" si="37"/>
        <v>851.89179943212264</v>
      </c>
      <c r="X83" s="167">
        <f t="shared" si="38"/>
        <v>46.854048968766747</v>
      </c>
      <c r="Y83" s="165">
        <v>0</v>
      </c>
      <c r="Z83" s="166">
        <f t="shared" si="39"/>
        <v>0</v>
      </c>
      <c r="AA83" s="33">
        <f t="shared" si="40"/>
        <v>1098.7458484008896</v>
      </c>
      <c r="AB83" s="167">
        <f t="shared" si="41"/>
        <v>60.431021662048927</v>
      </c>
      <c r="AC83" s="165">
        <v>0</v>
      </c>
      <c r="AD83" s="166">
        <f t="shared" si="42"/>
        <v>0</v>
      </c>
      <c r="AE83" s="33">
        <f t="shared" si="43"/>
        <v>1359.1768700629386</v>
      </c>
      <c r="AF83" s="167">
        <f t="shared" si="44"/>
        <v>74.754727853461631</v>
      </c>
      <c r="AG83" s="87">
        <f t="shared" si="45"/>
        <v>0</v>
      </c>
    </row>
    <row r="84" spans="1:33">
      <c r="A84" s="10" t="s">
        <v>655</v>
      </c>
      <c r="B84" s="10"/>
      <c r="C84" s="10" t="s">
        <v>147</v>
      </c>
      <c r="D84" s="80">
        <v>0</v>
      </c>
      <c r="E84" s="79">
        <f t="shared" si="24"/>
        <v>800</v>
      </c>
      <c r="F84" s="79">
        <f>'2020-2021 New'!J84</f>
        <v>10030.517631348819</v>
      </c>
      <c r="G84" s="139">
        <f>'2020-2021 New'!F84</f>
        <v>400</v>
      </c>
      <c r="H84" s="78">
        <f t="shared" si="25"/>
        <v>800</v>
      </c>
      <c r="I84" s="159">
        <f t="shared" si="26"/>
        <v>0</v>
      </c>
      <c r="J84" s="78">
        <f t="shared" si="27"/>
        <v>800</v>
      </c>
      <c r="K84" s="78">
        <f t="shared" si="23"/>
        <v>13342.270705368603</v>
      </c>
      <c r="L84" s="78">
        <f t="shared" si="28"/>
        <v>0</v>
      </c>
      <c r="M84" s="78">
        <f t="shared" si="29"/>
        <v>0</v>
      </c>
      <c r="N84" s="78">
        <f t="shared" si="30"/>
        <v>2511.7530740197844</v>
      </c>
      <c r="O84" s="78">
        <f t="shared" si="31"/>
        <v>2511.7530740197844</v>
      </c>
      <c r="P84" s="78">
        <f t="shared" si="32"/>
        <v>-2511.7530740197844</v>
      </c>
      <c r="Q84" s="165">
        <v>0</v>
      </c>
      <c r="R84" s="166">
        <f t="shared" si="33"/>
        <v>0</v>
      </c>
      <c r="S84" s="119">
        <f t="shared" si="34"/>
        <v>10230.517631348819</v>
      </c>
      <c r="T84" s="167">
        <f t="shared" si="35"/>
        <v>562.67846972418511</v>
      </c>
      <c r="U84" s="165">
        <v>0</v>
      </c>
      <c r="V84" s="166">
        <f t="shared" si="36"/>
        <v>0</v>
      </c>
      <c r="W84" s="33">
        <f t="shared" si="37"/>
        <v>10993.196101073005</v>
      </c>
      <c r="X84" s="167">
        <f t="shared" si="38"/>
        <v>604.6257855590153</v>
      </c>
      <c r="Y84" s="165">
        <v>0</v>
      </c>
      <c r="Z84" s="166">
        <f t="shared" si="39"/>
        <v>0</v>
      </c>
      <c r="AA84" s="33">
        <f t="shared" si="40"/>
        <v>11797.82188663202</v>
      </c>
      <c r="AB84" s="167">
        <f t="shared" si="41"/>
        <v>648.88020376476118</v>
      </c>
      <c r="AC84" s="165">
        <v>0</v>
      </c>
      <c r="AD84" s="166">
        <f t="shared" si="42"/>
        <v>0</v>
      </c>
      <c r="AE84" s="33">
        <f t="shared" si="43"/>
        <v>12646.702090396782</v>
      </c>
      <c r="AF84" s="167">
        <f t="shared" si="44"/>
        <v>695.56861497182308</v>
      </c>
      <c r="AG84" s="87">
        <f t="shared" si="45"/>
        <v>0</v>
      </c>
    </row>
    <row r="85" spans="1:33">
      <c r="A85" s="10" t="s">
        <v>656</v>
      </c>
      <c r="B85" s="10"/>
      <c r="C85" s="10" t="s">
        <v>121</v>
      </c>
      <c r="D85" s="80">
        <v>0</v>
      </c>
      <c r="E85" s="79">
        <f t="shared" si="24"/>
        <v>800</v>
      </c>
      <c r="F85" s="79">
        <f>'2020-2021 New'!J85</f>
        <v>630.86340535390173</v>
      </c>
      <c r="G85" s="139">
        <f>'2020-2021 New'!F85</f>
        <v>0</v>
      </c>
      <c r="H85" s="78">
        <f t="shared" si="25"/>
        <v>800</v>
      </c>
      <c r="I85" s="159">
        <f t="shared" si="26"/>
        <v>0</v>
      </c>
      <c r="J85" s="78">
        <f t="shared" si="27"/>
        <v>800</v>
      </c>
      <c r="K85" s="78">
        <f t="shared" si="23"/>
        <v>1697.747342854645</v>
      </c>
      <c r="L85" s="78">
        <f t="shared" si="28"/>
        <v>0</v>
      </c>
      <c r="M85" s="78">
        <f t="shared" si="29"/>
        <v>0</v>
      </c>
      <c r="N85" s="78">
        <f t="shared" si="30"/>
        <v>266.88393750074334</v>
      </c>
      <c r="O85" s="78">
        <f t="shared" si="31"/>
        <v>266.88393750074334</v>
      </c>
      <c r="P85" s="78">
        <f t="shared" si="32"/>
        <v>-266.88393750074334</v>
      </c>
      <c r="Q85" s="165">
        <v>0</v>
      </c>
      <c r="R85" s="166">
        <f t="shared" si="33"/>
        <v>0</v>
      </c>
      <c r="S85" s="119">
        <f t="shared" si="34"/>
        <v>830.86340535390173</v>
      </c>
      <c r="T85" s="167">
        <f t="shared" si="35"/>
        <v>45.697487294464594</v>
      </c>
      <c r="U85" s="165">
        <v>0</v>
      </c>
      <c r="V85" s="166">
        <f t="shared" si="36"/>
        <v>0</v>
      </c>
      <c r="W85" s="33">
        <f t="shared" si="37"/>
        <v>1076.5608926483662</v>
      </c>
      <c r="X85" s="167">
        <f t="shared" si="38"/>
        <v>59.210849095660144</v>
      </c>
      <c r="Y85" s="165">
        <v>0</v>
      </c>
      <c r="Z85" s="166">
        <f t="shared" si="39"/>
        <v>0</v>
      </c>
      <c r="AA85" s="33">
        <f t="shared" si="40"/>
        <v>1335.7717417440265</v>
      </c>
      <c r="AB85" s="167">
        <f t="shared" si="41"/>
        <v>73.467445795921464</v>
      </c>
      <c r="AC85" s="165">
        <v>0</v>
      </c>
      <c r="AD85" s="166">
        <f t="shared" si="42"/>
        <v>0</v>
      </c>
      <c r="AE85" s="33">
        <f t="shared" si="43"/>
        <v>1609.239187539948</v>
      </c>
      <c r="AF85" s="167">
        <f t="shared" si="44"/>
        <v>88.508155314697149</v>
      </c>
      <c r="AG85" s="87">
        <f t="shared" si="45"/>
        <v>0</v>
      </c>
    </row>
    <row r="86" spans="1:33">
      <c r="A86" s="10" t="s">
        <v>657</v>
      </c>
      <c r="B86" s="10"/>
      <c r="C86" s="10" t="s">
        <v>145</v>
      </c>
      <c r="D86" s="80">
        <v>0</v>
      </c>
      <c r="E86" s="79">
        <f t="shared" si="24"/>
        <v>800</v>
      </c>
      <c r="F86" s="79">
        <f>'2020-2021 New'!J86</f>
        <v>9256.5266527289004</v>
      </c>
      <c r="G86" s="139">
        <f>'2020-2021 New'!F86</f>
        <v>600</v>
      </c>
      <c r="H86" s="78">
        <f t="shared" si="25"/>
        <v>800</v>
      </c>
      <c r="I86" s="159">
        <f t="shared" si="26"/>
        <v>0</v>
      </c>
      <c r="J86" s="78">
        <f t="shared" si="27"/>
        <v>800</v>
      </c>
      <c r="K86" s="78">
        <f t="shared" si="23"/>
        <v>12383.431601692881</v>
      </c>
      <c r="L86" s="78">
        <f t="shared" si="28"/>
        <v>0</v>
      </c>
      <c r="M86" s="78">
        <f t="shared" si="29"/>
        <v>0</v>
      </c>
      <c r="N86" s="78">
        <f t="shared" si="30"/>
        <v>2326.9049489639806</v>
      </c>
      <c r="O86" s="78">
        <f t="shared" si="31"/>
        <v>2326.9049489639806</v>
      </c>
      <c r="P86" s="78">
        <f t="shared" si="32"/>
        <v>-2326.9049489639806</v>
      </c>
      <c r="Q86" s="165">
        <v>0</v>
      </c>
      <c r="R86" s="166">
        <f t="shared" si="33"/>
        <v>0</v>
      </c>
      <c r="S86" s="119">
        <f t="shared" si="34"/>
        <v>9456.5266527289004</v>
      </c>
      <c r="T86" s="167">
        <f t="shared" si="35"/>
        <v>520.10896590008952</v>
      </c>
      <c r="U86" s="165">
        <v>0</v>
      </c>
      <c r="V86" s="166">
        <f t="shared" si="36"/>
        <v>0</v>
      </c>
      <c r="W86" s="33">
        <f t="shared" si="37"/>
        <v>10176.63561862899</v>
      </c>
      <c r="X86" s="167">
        <f t="shared" si="38"/>
        <v>559.71495902459446</v>
      </c>
      <c r="Y86" s="165">
        <v>0</v>
      </c>
      <c r="Z86" s="166">
        <f t="shared" si="39"/>
        <v>0</v>
      </c>
      <c r="AA86" s="33">
        <f t="shared" si="40"/>
        <v>10936.350577653586</v>
      </c>
      <c r="AB86" s="167">
        <f t="shared" si="41"/>
        <v>601.49928177094728</v>
      </c>
      <c r="AC86" s="165">
        <v>0</v>
      </c>
      <c r="AD86" s="166">
        <f t="shared" si="42"/>
        <v>0</v>
      </c>
      <c r="AE86" s="33">
        <f t="shared" si="43"/>
        <v>11737.849859424534</v>
      </c>
      <c r="AF86" s="167">
        <f t="shared" si="44"/>
        <v>645.58174226834933</v>
      </c>
      <c r="AG86" s="87">
        <f t="shared" si="45"/>
        <v>0</v>
      </c>
    </row>
    <row r="87" spans="1:33">
      <c r="A87" s="10" t="s">
        <v>658</v>
      </c>
      <c r="B87" s="10"/>
      <c r="C87" s="10" t="s">
        <v>146</v>
      </c>
      <c r="D87" s="80">
        <v>0</v>
      </c>
      <c r="E87" s="79">
        <f t="shared" si="24"/>
        <v>800</v>
      </c>
      <c r="F87" s="79">
        <f>'2020-2021 New'!J87</f>
        <v>13354.124779739934</v>
      </c>
      <c r="G87" s="139">
        <f>'2020-2021 New'!F87</f>
        <v>3400</v>
      </c>
      <c r="H87" s="78">
        <f t="shared" si="25"/>
        <v>800</v>
      </c>
      <c r="I87" s="159">
        <f t="shared" si="26"/>
        <v>0</v>
      </c>
      <c r="J87" s="78">
        <f t="shared" si="27"/>
        <v>800</v>
      </c>
      <c r="K87" s="78">
        <f t="shared" si="23"/>
        <v>17459.637169788977</v>
      </c>
      <c r="L87" s="78">
        <f t="shared" si="28"/>
        <v>0</v>
      </c>
      <c r="M87" s="78">
        <f t="shared" si="29"/>
        <v>0</v>
      </c>
      <c r="N87" s="78">
        <f t="shared" si="30"/>
        <v>3305.5123900490448</v>
      </c>
      <c r="O87" s="78">
        <f t="shared" si="31"/>
        <v>3305.5123900490448</v>
      </c>
      <c r="P87" s="78">
        <f t="shared" si="32"/>
        <v>-3305.5123900490448</v>
      </c>
      <c r="Q87" s="165">
        <v>0</v>
      </c>
      <c r="R87" s="166">
        <f t="shared" si="33"/>
        <v>0</v>
      </c>
      <c r="S87" s="119">
        <f t="shared" si="34"/>
        <v>13554.124779739934</v>
      </c>
      <c r="T87" s="167">
        <f t="shared" si="35"/>
        <v>745.47686288569639</v>
      </c>
      <c r="U87" s="165">
        <v>0</v>
      </c>
      <c r="V87" s="166">
        <f t="shared" si="36"/>
        <v>0</v>
      </c>
      <c r="W87" s="33">
        <f t="shared" si="37"/>
        <v>14499.60164262563</v>
      </c>
      <c r="X87" s="167">
        <f t="shared" si="38"/>
        <v>797.47809034440968</v>
      </c>
      <c r="Y87" s="165">
        <v>0</v>
      </c>
      <c r="Z87" s="166">
        <f t="shared" si="39"/>
        <v>0</v>
      </c>
      <c r="AA87" s="33">
        <f t="shared" si="40"/>
        <v>15497.07973297004</v>
      </c>
      <c r="AB87" s="167">
        <f t="shared" si="41"/>
        <v>852.33938531335218</v>
      </c>
      <c r="AC87" s="165">
        <v>0</v>
      </c>
      <c r="AD87" s="166">
        <f t="shared" si="42"/>
        <v>0</v>
      </c>
      <c r="AE87" s="33">
        <f t="shared" si="43"/>
        <v>16549.419118283393</v>
      </c>
      <c r="AF87" s="167">
        <f t="shared" si="44"/>
        <v>910.21805150558657</v>
      </c>
      <c r="AG87" s="87">
        <f t="shared" si="45"/>
        <v>0</v>
      </c>
    </row>
    <row r="88" spans="1:33">
      <c r="A88" s="10" t="s">
        <v>659</v>
      </c>
      <c r="B88" s="10"/>
      <c r="C88" s="10" t="s">
        <v>133</v>
      </c>
      <c r="D88" s="80">
        <v>0</v>
      </c>
      <c r="E88" s="79">
        <f t="shared" si="24"/>
        <v>800</v>
      </c>
      <c r="F88" s="79">
        <f>'2020-2021 New'!J88</f>
        <v>18705.533400723434</v>
      </c>
      <c r="G88" s="139">
        <f>'2020-2021 New'!F88</f>
        <v>0</v>
      </c>
      <c r="H88" s="78">
        <f t="shared" si="25"/>
        <v>800</v>
      </c>
      <c r="I88" s="159">
        <f t="shared" si="26"/>
        <v>0</v>
      </c>
      <c r="J88" s="78">
        <f t="shared" si="27"/>
        <v>800</v>
      </c>
      <c r="K88" s="78">
        <f t="shared" si="23"/>
        <v>24089.094085030476</v>
      </c>
      <c r="L88" s="78">
        <f t="shared" si="28"/>
        <v>0</v>
      </c>
      <c r="M88" s="78">
        <f t="shared" si="29"/>
        <v>0</v>
      </c>
      <c r="N88" s="78">
        <f t="shared" si="30"/>
        <v>4583.5606843070427</v>
      </c>
      <c r="O88" s="78">
        <f t="shared" si="31"/>
        <v>4583.5606843070427</v>
      </c>
      <c r="P88" s="78">
        <f t="shared" si="32"/>
        <v>-4583.5606843070427</v>
      </c>
      <c r="Q88" s="165">
        <v>0</v>
      </c>
      <c r="R88" s="166">
        <f t="shared" si="33"/>
        <v>0</v>
      </c>
      <c r="S88" s="119">
        <f t="shared" si="34"/>
        <v>18905.533400723434</v>
      </c>
      <c r="T88" s="167">
        <f t="shared" si="35"/>
        <v>1039.8043370397888</v>
      </c>
      <c r="U88" s="165">
        <v>0</v>
      </c>
      <c r="V88" s="166">
        <f t="shared" si="36"/>
        <v>0</v>
      </c>
      <c r="W88" s="33">
        <f t="shared" si="37"/>
        <v>20145.337737763224</v>
      </c>
      <c r="X88" s="167">
        <f t="shared" si="38"/>
        <v>1107.9935755769773</v>
      </c>
      <c r="Y88" s="165">
        <v>0</v>
      </c>
      <c r="Z88" s="166">
        <f t="shared" si="39"/>
        <v>0</v>
      </c>
      <c r="AA88" s="33">
        <f t="shared" si="40"/>
        <v>21453.331313340201</v>
      </c>
      <c r="AB88" s="167">
        <f t="shared" si="41"/>
        <v>1179.9332222337111</v>
      </c>
      <c r="AC88" s="165">
        <v>0</v>
      </c>
      <c r="AD88" s="166">
        <f t="shared" si="42"/>
        <v>0</v>
      </c>
      <c r="AE88" s="33">
        <f t="shared" si="43"/>
        <v>22833.264535573911</v>
      </c>
      <c r="AF88" s="167">
        <f t="shared" si="44"/>
        <v>1255.8295494565652</v>
      </c>
      <c r="AG88" s="87">
        <f t="shared" si="45"/>
        <v>0</v>
      </c>
    </row>
    <row r="89" spans="1:33">
      <c r="A89" s="10" t="s">
        <v>660</v>
      </c>
      <c r="B89" s="10"/>
      <c r="C89" s="10" t="s">
        <v>134</v>
      </c>
      <c r="D89" s="80">
        <v>0</v>
      </c>
      <c r="E89" s="79">
        <f t="shared" si="24"/>
        <v>800</v>
      </c>
      <c r="F89" s="79">
        <f>'2020-2021 New'!J89</f>
        <v>14729.484506426736</v>
      </c>
      <c r="G89" s="139">
        <f>'2020-2021 New'!F89</f>
        <v>200</v>
      </c>
      <c r="H89" s="78">
        <f t="shared" si="25"/>
        <v>800</v>
      </c>
      <c r="I89" s="159">
        <f t="shared" si="26"/>
        <v>0</v>
      </c>
      <c r="J89" s="78">
        <f t="shared" si="27"/>
        <v>800</v>
      </c>
      <c r="K89" s="78">
        <f t="shared" si="23"/>
        <v>19163.466702685451</v>
      </c>
      <c r="L89" s="78">
        <f t="shared" si="28"/>
        <v>0</v>
      </c>
      <c r="M89" s="78">
        <f t="shared" si="29"/>
        <v>0</v>
      </c>
      <c r="N89" s="78">
        <f t="shared" si="30"/>
        <v>3633.9821962587157</v>
      </c>
      <c r="O89" s="78">
        <f t="shared" si="31"/>
        <v>3633.9821962587157</v>
      </c>
      <c r="P89" s="78">
        <f t="shared" si="32"/>
        <v>-3633.9821962587157</v>
      </c>
      <c r="Q89" s="165">
        <v>0</v>
      </c>
      <c r="R89" s="166">
        <f t="shared" si="33"/>
        <v>0</v>
      </c>
      <c r="S89" s="119">
        <f t="shared" si="34"/>
        <v>14929.484506426736</v>
      </c>
      <c r="T89" s="167">
        <f t="shared" si="35"/>
        <v>821.12164785347045</v>
      </c>
      <c r="U89" s="165">
        <v>0</v>
      </c>
      <c r="V89" s="166">
        <f t="shared" si="36"/>
        <v>0</v>
      </c>
      <c r="W89" s="33">
        <f t="shared" si="37"/>
        <v>15950.606154280205</v>
      </c>
      <c r="X89" s="167">
        <f t="shared" si="38"/>
        <v>877.28333848541126</v>
      </c>
      <c r="Y89" s="165">
        <v>0</v>
      </c>
      <c r="Z89" s="166">
        <f t="shared" si="39"/>
        <v>0</v>
      </c>
      <c r="AA89" s="33">
        <f t="shared" si="40"/>
        <v>17027.889492765618</v>
      </c>
      <c r="AB89" s="167">
        <f t="shared" si="41"/>
        <v>936.53392210210905</v>
      </c>
      <c r="AC89" s="165">
        <v>0</v>
      </c>
      <c r="AD89" s="166">
        <f t="shared" si="42"/>
        <v>0</v>
      </c>
      <c r="AE89" s="33">
        <f t="shared" si="43"/>
        <v>18164.423414867728</v>
      </c>
      <c r="AF89" s="167">
        <f t="shared" si="44"/>
        <v>999.04328781772506</v>
      </c>
      <c r="AG89" s="87">
        <f t="shared" si="45"/>
        <v>0</v>
      </c>
    </row>
    <row r="90" spans="1:33">
      <c r="A90" s="10" t="s">
        <v>661</v>
      </c>
      <c r="B90" s="10"/>
      <c r="C90" s="10" t="s">
        <v>116</v>
      </c>
      <c r="D90" s="80">
        <v>0</v>
      </c>
      <c r="E90" s="79">
        <f t="shared" si="24"/>
        <v>800</v>
      </c>
      <c r="F90" s="79">
        <f>'2020-2021 New'!J90</f>
        <v>9153.7407356972544</v>
      </c>
      <c r="G90" s="139">
        <f>'2020-2021 New'!F90</f>
        <v>0</v>
      </c>
      <c r="H90" s="78">
        <f t="shared" si="25"/>
        <v>800</v>
      </c>
      <c r="I90" s="159">
        <f t="shared" si="26"/>
        <v>0</v>
      </c>
      <c r="J90" s="78">
        <f t="shared" si="27"/>
        <v>800</v>
      </c>
      <c r="K90" s="78">
        <f t="shared" si="23"/>
        <v>12256.097873936982</v>
      </c>
      <c r="L90" s="78">
        <f t="shared" si="28"/>
        <v>0</v>
      </c>
      <c r="M90" s="78">
        <f t="shared" si="29"/>
        <v>0</v>
      </c>
      <c r="N90" s="78">
        <f t="shared" si="30"/>
        <v>2302.3571382397272</v>
      </c>
      <c r="O90" s="78">
        <f t="shared" si="31"/>
        <v>2302.3571382397272</v>
      </c>
      <c r="P90" s="78">
        <f t="shared" si="32"/>
        <v>-2302.3571382397272</v>
      </c>
      <c r="Q90" s="165">
        <v>0</v>
      </c>
      <c r="R90" s="166">
        <f t="shared" si="33"/>
        <v>0</v>
      </c>
      <c r="S90" s="119">
        <f t="shared" si="34"/>
        <v>9353.7407356972544</v>
      </c>
      <c r="T90" s="167">
        <f t="shared" si="35"/>
        <v>514.455740463349</v>
      </c>
      <c r="U90" s="165">
        <v>0</v>
      </c>
      <c r="V90" s="166">
        <f t="shared" si="36"/>
        <v>0</v>
      </c>
      <c r="W90" s="33">
        <f t="shared" si="37"/>
        <v>10068.196476160603</v>
      </c>
      <c r="X90" s="167">
        <f t="shared" si="38"/>
        <v>553.75080618883317</v>
      </c>
      <c r="Y90" s="165">
        <v>0</v>
      </c>
      <c r="Z90" s="166">
        <f t="shared" si="39"/>
        <v>0</v>
      </c>
      <c r="AA90" s="33">
        <f t="shared" si="40"/>
        <v>10821.947282349436</v>
      </c>
      <c r="AB90" s="167">
        <f t="shared" si="41"/>
        <v>595.20710052921902</v>
      </c>
      <c r="AC90" s="165">
        <v>0</v>
      </c>
      <c r="AD90" s="166">
        <f t="shared" si="42"/>
        <v>0</v>
      </c>
      <c r="AE90" s="33">
        <f t="shared" si="43"/>
        <v>11617.154382878654</v>
      </c>
      <c r="AF90" s="167">
        <f t="shared" si="44"/>
        <v>638.943491058326</v>
      </c>
      <c r="AG90" s="87">
        <f t="shared" si="45"/>
        <v>0</v>
      </c>
    </row>
    <row r="91" spans="1:33" ht="16.5">
      <c r="D91" s="223">
        <f t="shared" ref="D91:AF91" si="46">SUM(D2:D90)</f>
        <v>0</v>
      </c>
      <c r="E91" s="223">
        <f t="shared" si="46"/>
        <v>71200</v>
      </c>
      <c r="F91" s="223">
        <f t="shared" si="46"/>
        <v>854016.316118396</v>
      </c>
      <c r="G91" s="223">
        <f t="shared" si="46"/>
        <v>57600</v>
      </c>
      <c r="H91" s="223">
        <f t="shared" si="46"/>
        <v>71200</v>
      </c>
      <c r="I91" s="223">
        <f t="shared" si="46"/>
        <v>28450</v>
      </c>
      <c r="J91" s="223">
        <f t="shared" si="46"/>
        <v>42750</v>
      </c>
      <c r="K91" s="223">
        <f t="shared" si="46"/>
        <v>1106804.731956047</v>
      </c>
      <c r="L91" s="223">
        <f t="shared" si="46"/>
        <v>312.95</v>
      </c>
      <c r="M91" s="223">
        <f t="shared" si="46"/>
        <v>1547.5377499999997</v>
      </c>
      <c r="N91" s="223">
        <f t="shared" si="46"/>
        <v>210038.41583765054</v>
      </c>
      <c r="O91" s="223">
        <f t="shared" si="46"/>
        <v>210038.41583765054</v>
      </c>
      <c r="P91" s="223">
        <f t="shared" si="46"/>
        <v>-180353.82808765053</v>
      </c>
      <c r="Q91" s="240">
        <f t="shared" si="46"/>
        <v>5600</v>
      </c>
      <c r="R91" s="223">
        <f t="shared" si="46"/>
        <v>61.599999999999994</v>
      </c>
      <c r="S91" s="223">
        <f t="shared" si="46"/>
        <v>871816.316118396</v>
      </c>
      <c r="T91" s="223">
        <f t="shared" si="46"/>
        <v>47641.897386511795</v>
      </c>
      <c r="U91" s="223">
        <f t="shared" si="46"/>
        <v>7600</v>
      </c>
      <c r="V91" s="223">
        <f t="shared" si="46"/>
        <v>83.600000000000009</v>
      </c>
      <c r="W91" s="223">
        <f t="shared" si="46"/>
        <v>929658.21350490802</v>
      </c>
      <c r="X91" s="223">
        <f t="shared" si="46"/>
        <v>50713.201742769961</v>
      </c>
      <c r="Y91" s="223">
        <f t="shared" si="46"/>
        <v>7150</v>
      </c>
      <c r="Z91" s="223">
        <f t="shared" si="46"/>
        <v>78.65000000000002</v>
      </c>
      <c r="AA91" s="223">
        <f t="shared" si="46"/>
        <v>991021.41524767806</v>
      </c>
      <c r="AB91" s="223">
        <f t="shared" si="46"/>
        <v>54112.927838622287</v>
      </c>
      <c r="AC91" s="223">
        <f t="shared" si="46"/>
        <v>8100</v>
      </c>
      <c r="AD91" s="223">
        <f t="shared" si="46"/>
        <v>89.100000000000009</v>
      </c>
      <c r="AE91" s="223">
        <f t="shared" si="46"/>
        <v>1054834.3430863004</v>
      </c>
      <c r="AF91" s="223">
        <f t="shared" si="46"/>
        <v>57570.388869746508</v>
      </c>
      <c r="AG91" s="223">
        <f>SUM(AG2:AG90)</f>
        <v>28450</v>
      </c>
    </row>
    <row r="93" spans="1:33" ht="24">
      <c r="I93" s="146"/>
      <c r="J93" s="207" t="s">
        <v>409</v>
      </c>
      <c r="Q93" s="174">
        <f>AVERAGE('2021-2022 (B)'!O91,'2021-2022 (B)'!S91,'2021-2022 (B)'!W91,'2021-2022 (B)'!AA91,'2021-2022 (B)'!AE91,'2021-2022 (B)'!AI91,'2021-2022 (B)'!AM91,'2021-2022 (B)'!AQ91)</f>
        <v>6398.75</v>
      </c>
      <c r="S93" s="58"/>
    </row>
    <row r="94" spans="1:33" ht="35.65">
      <c r="G94" s="203"/>
      <c r="I94" s="205"/>
      <c r="J94" s="207" t="s">
        <v>408</v>
      </c>
    </row>
    <row r="95" spans="1:33" ht="35.65">
      <c r="I95" s="175"/>
      <c r="J95" s="207" t="s">
        <v>410</v>
      </c>
    </row>
  </sheetData>
  <conditionalFormatting sqref="I2">
    <cfRule type="iconSet" priority="27">
      <iconSet iconSet="3Arrows">
        <cfvo type="percent" val="0"/>
        <cfvo type="percent" val="33"/>
        <cfvo type="percent" val="67"/>
      </iconSet>
    </cfRule>
  </conditionalFormatting>
  <conditionalFormatting sqref="I2:I90">
    <cfRule type="cellIs" dxfId="36" priority="2" operator="greaterThan">
      <formula>800</formula>
    </cfRule>
    <cfRule type="iconSet" priority="28">
      <iconSet iconSet="3Arrows">
        <cfvo type="percent" val="0"/>
        <cfvo type="percent" val="33"/>
        <cfvo type="percent" val="67"/>
      </iconSet>
    </cfRule>
    <cfRule type="cellIs" dxfId="35" priority="33" operator="lessThan">
      <formula>399.99</formula>
    </cfRule>
    <cfRule type="cellIs" dxfId="34" priority="34" operator="between">
      <formula>400</formula>
      <formula>799.99</formula>
    </cfRule>
    <cfRule type="cellIs" dxfId="33" priority="41" operator="greaterThan">
      <formula>2400</formula>
    </cfRule>
    <cfRule type="cellIs" dxfId="32" priority="42" operator="between">
      <formula>1200</formula>
      <formula>2399.99</formula>
    </cfRule>
    <cfRule type="cellIs" dxfId="31" priority="43" operator="lessThan">
      <formula>1199.99</formula>
    </cfRule>
    <cfRule type="cellIs" dxfId="30" priority="48" operator="between">
      <formula>1201</formula>
      <formula>2401</formula>
    </cfRule>
    <cfRule type="cellIs" dxfId="29" priority="49" operator="lessThan">
      <formula>1200</formula>
    </cfRule>
    <cfRule type="cellIs" dxfId="28" priority="50" operator="greaterThan">
      <formula>2400</formula>
    </cfRule>
  </conditionalFormatting>
  <conditionalFormatting sqref="I3">
    <cfRule type="iconSet" priority="26">
      <iconSet iconSet="3Arrows">
        <cfvo type="percent" val="0"/>
        <cfvo type="percent" val="33"/>
        <cfvo type="percent" val="67"/>
      </iconSet>
    </cfRule>
  </conditionalFormatting>
  <conditionalFormatting sqref="I3:I6">
    <cfRule type="iconSet" priority="24">
      <iconSet iconSet="3Arrows">
        <cfvo type="percent" val="0"/>
        <cfvo type="percent" val="33"/>
        <cfvo type="percent" val="67"/>
      </iconSet>
    </cfRule>
  </conditionalFormatting>
  <conditionalFormatting sqref="I7 I11">
    <cfRule type="iconSet" priority="23">
      <iconSet iconSet="3Arrows">
        <cfvo type="percent" val="0"/>
        <cfvo type="percent" val="33"/>
        <cfvo type="percent" val="67"/>
      </iconSet>
    </cfRule>
  </conditionalFormatting>
  <conditionalFormatting sqref="I7">
    <cfRule type="iconSet" priority="25">
      <iconSet iconSet="3Arrows">
        <cfvo type="percent" val="0"/>
        <cfvo type="percent" val="33"/>
        <cfvo type="percent" val="67"/>
      </iconSet>
    </cfRule>
  </conditionalFormatting>
  <conditionalFormatting sqref="I7:I13">
    <cfRule type="iconSet" priority="22">
      <iconSet iconSet="3Arrows">
        <cfvo type="percent" val="0"/>
        <cfvo type="percent" val="33"/>
        <cfvo type="percent" val="67"/>
      </iconSet>
    </cfRule>
  </conditionalFormatting>
  <conditionalFormatting sqref="I11">
    <cfRule type="iconSet" priority="21">
      <iconSet iconSet="3Arrows">
        <cfvo type="percent" val="0"/>
        <cfvo type="percent" val="33"/>
        <cfvo type="percent" val="67"/>
      </iconSet>
    </cfRule>
  </conditionalFormatting>
  <conditionalFormatting sqref="I13">
    <cfRule type="iconSet" priority="19">
      <iconSet iconSet="3Arrows">
        <cfvo type="percent" val="0"/>
        <cfvo type="percent" val="33"/>
        <cfvo type="percent" val="67"/>
      </iconSet>
    </cfRule>
  </conditionalFormatting>
  <conditionalFormatting sqref="I25">
    <cfRule type="iconSet" priority="17">
      <iconSet iconSet="3Arrows">
        <cfvo type="percent" val="0"/>
        <cfvo type="percent" val="33"/>
        <cfvo type="percent" val="67"/>
      </iconSet>
    </cfRule>
  </conditionalFormatting>
  <conditionalFormatting sqref="I25:I26">
    <cfRule type="iconSet" priority="18">
      <iconSet iconSet="3Arrows">
        <cfvo type="percent" val="0"/>
        <cfvo type="percent" val="33"/>
        <cfvo type="percent" val="67"/>
      </iconSet>
    </cfRule>
  </conditionalFormatting>
  <conditionalFormatting sqref="I31:I32">
    <cfRule type="iconSet" priority="16">
      <iconSet iconSet="3Arrows">
        <cfvo type="percent" val="0"/>
        <cfvo type="percent" val="33"/>
        <cfvo type="percent" val="67"/>
      </iconSet>
    </cfRule>
  </conditionalFormatting>
  <conditionalFormatting sqref="I32">
    <cfRule type="iconSet" priority="15">
      <iconSet iconSet="3Arrows">
        <cfvo type="percent" val="0"/>
        <cfvo type="percent" val="33"/>
        <cfvo type="percent" val="67"/>
      </iconSet>
    </cfRule>
  </conditionalFormatting>
  <conditionalFormatting sqref="I44">
    <cfRule type="iconSet" priority="14">
      <iconSet iconSet="3Arrows">
        <cfvo type="percent" val="0"/>
        <cfvo type="percent" val="33"/>
        <cfvo type="percent" val="67"/>
      </iconSet>
    </cfRule>
  </conditionalFormatting>
  <conditionalFormatting sqref="I46">
    <cfRule type="iconSet" priority="13">
      <iconSet iconSet="3Arrows">
        <cfvo type="percent" val="0"/>
        <cfvo type="percent" val="33"/>
        <cfvo type="percent" val="67"/>
      </iconSet>
    </cfRule>
  </conditionalFormatting>
  <conditionalFormatting sqref="I48">
    <cfRule type="iconSet" priority="12">
      <iconSet iconSet="3Arrows">
        <cfvo type="percent" val="0"/>
        <cfvo type="percent" val="33"/>
        <cfvo type="percent" val="67"/>
      </iconSet>
    </cfRule>
  </conditionalFormatting>
  <conditionalFormatting sqref="I49">
    <cfRule type="iconSet" priority="11">
      <iconSet iconSet="3Arrows">
        <cfvo type="percent" val="0"/>
        <cfvo type="percent" val="33"/>
        <cfvo type="percent" val="67"/>
      </iconSet>
    </cfRule>
  </conditionalFormatting>
  <conditionalFormatting sqref="I53">
    <cfRule type="iconSet" priority="10">
      <iconSet iconSet="3Arrows">
        <cfvo type="percent" val="0"/>
        <cfvo type="percent" val="33"/>
        <cfvo type="percent" val="67"/>
      </iconSet>
    </cfRule>
  </conditionalFormatting>
  <conditionalFormatting sqref="I54:I56">
    <cfRule type="iconSet" priority="9">
      <iconSet iconSet="3Arrows">
        <cfvo type="percent" val="0"/>
        <cfvo type="percent" val="33"/>
        <cfvo type="percent" val="67"/>
      </iconSet>
    </cfRule>
  </conditionalFormatting>
  <conditionalFormatting sqref="I55">
    <cfRule type="iconSet" priority="8">
      <iconSet iconSet="3Arrows">
        <cfvo type="percent" val="0"/>
        <cfvo type="percent" val="33"/>
        <cfvo type="percent" val="67"/>
      </iconSet>
    </cfRule>
  </conditionalFormatting>
  <conditionalFormatting sqref="I56">
    <cfRule type="iconSet" priority="7">
      <iconSet iconSet="3Arrows">
        <cfvo type="percent" val="0"/>
        <cfvo type="percent" val="33"/>
        <cfvo type="percent" val="67"/>
      </iconSet>
    </cfRule>
  </conditionalFormatting>
  <conditionalFormatting sqref="I62">
    <cfRule type="iconSet" priority="1">
      <iconSet iconSet="3Arrows">
        <cfvo type="percent" val="0"/>
        <cfvo type="percent" val="33"/>
        <cfvo type="percent" val="67"/>
      </iconSet>
    </cfRule>
  </conditionalFormatting>
  <conditionalFormatting sqref="I68">
    <cfRule type="iconSet" priority="5">
      <iconSet iconSet="3Arrows">
        <cfvo type="percent" val="0"/>
        <cfvo type="percent" val="33"/>
        <cfvo type="percent" val="67"/>
      </iconSet>
    </cfRule>
  </conditionalFormatting>
  <conditionalFormatting sqref="I73">
    <cfRule type="iconSet" priority="4">
      <iconSet iconSet="3Arrows">
        <cfvo type="percent" val="0"/>
        <cfvo type="percent" val="33"/>
        <cfvo type="percent" val="67"/>
      </iconSet>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BI100"/>
  <sheetViews>
    <sheetView zoomScale="80" zoomScaleNormal="80" workbookViewId="0">
      <pane xSplit="1" topLeftCell="X1" activePane="topRight" state="frozen"/>
      <selection pane="topRight" activeCell="A2" sqref="A2:A90"/>
    </sheetView>
  </sheetViews>
  <sheetFormatPr defaultColWidth="9.1328125" defaultRowHeight="14.25"/>
  <cols>
    <col min="1" max="1" width="24.73046875" customWidth="1"/>
    <col min="2" max="2" width="15.59765625" customWidth="1"/>
    <col min="3" max="3" width="17" customWidth="1"/>
    <col min="4" max="4" width="15.59765625" customWidth="1"/>
    <col min="5" max="5" width="19.3984375" customWidth="1"/>
    <col min="6" max="6" width="14.3984375" customWidth="1"/>
    <col min="7" max="7" width="15.73046875" bestFit="1" customWidth="1"/>
    <col min="8" max="8" width="13.1328125" customWidth="1"/>
    <col min="9" max="9" width="16.59765625" customWidth="1"/>
    <col min="10" max="10" width="16.3984375" bestFit="1" customWidth="1"/>
    <col min="11" max="11" width="11.265625" customWidth="1"/>
    <col min="12" max="12" width="20" bestFit="1" customWidth="1"/>
    <col min="13" max="13" width="19.265625" bestFit="1" customWidth="1"/>
    <col min="14" max="14" width="14.1328125" customWidth="1"/>
    <col min="15" max="15" width="13.3984375" style="125" bestFit="1" customWidth="1"/>
    <col min="16" max="16" width="9.1328125" style="146"/>
    <col min="17" max="17" width="18" bestFit="1" customWidth="1"/>
    <col min="18" max="18" width="13.86328125" style="168" bestFit="1" customWidth="1"/>
    <col min="19" max="19" width="13.1328125" style="125" bestFit="1" customWidth="1"/>
    <col min="20" max="20" width="9.1328125" style="146"/>
    <col min="21" max="21" width="14.3984375" customWidth="1"/>
    <col min="22" max="22" width="13.86328125" style="168" bestFit="1" customWidth="1"/>
    <col min="23" max="23" width="12.73046875" style="125" bestFit="1" customWidth="1"/>
    <col min="24" max="24" width="9.1328125" style="146"/>
    <col min="25" max="25" width="14.3984375" customWidth="1"/>
    <col min="26" max="26" width="13.86328125" style="168" bestFit="1" customWidth="1"/>
    <col min="27" max="27" width="13" style="125" bestFit="1" customWidth="1"/>
    <col min="28" max="28" width="9.1328125" style="146"/>
    <col min="29" max="29" width="14.3984375" customWidth="1"/>
    <col min="30" max="30" width="10.59765625" style="168" bestFit="1" customWidth="1"/>
    <col min="31" max="31" width="13.3984375" style="125" bestFit="1" customWidth="1"/>
    <col min="32" max="32" width="10.59765625" style="146" customWidth="1"/>
    <col min="33" max="33" width="18" bestFit="1" customWidth="1"/>
    <col min="34" max="34" width="16" style="168" bestFit="1" customWidth="1"/>
    <col min="35" max="35" width="12.86328125" style="125" bestFit="1" customWidth="1"/>
    <col min="36" max="36" width="10.59765625" style="146" customWidth="1"/>
    <col min="37" max="37" width="18" bestFit="1" customWidth="1"/>
    <col min="38" max="38" width="16" style="168" bestFit="1" customWidth="1"/>
    <col min="39" max="39" width="13.73046875" style="125" bestFit="1" customWidth="1"/>
    <col min="40" max="40" width="10.59765625" style="146" customWidth="1"/>
    <col min="41" max="41" width="18" bestFit="1" customWidth="1"/>
    <col min="42" max="42" width="16" style="168" bestFit="1" customWidth="1"/>
    <col min="43" max="43" width="12.73046875" style="125" bestFit="1" customWidth="1"/>
    <col min="44" max="44" width="10.59765625" style="146" customWidth="1"/>
    <col min="45" max="45" width="18" bestFit="1" customWidth="1"/>
    <col min="46" max="46" width="16" style="168" bestFit="1" customWidth="1"/>
    <col min="47" max="47" width="12.73046875" customWidth="1"/>
    <col min="48" max="48" width="15.3984375" customWidth="1"/>
    <col min="49" max="49" width="15.59765625" customWidth="1"/>
    <col min="50" max="50" width="14.59765625" customWidth="1"/>
    <col min="51" max="51" width="0.1328125" customWidth="1"/>
    <col min="52" max="52" width="15.59765625" customWidth="1"/>
  </cols>
  <sheetData>
    <row r="1" spans="1:51" s="14" customFormat="1" ht="78.75" customHeight="1">
      <c r="A1" s="11" t="s">
        <v>0</v>
      </c>
      <c r="B1" s="11" t="s">
        <v>106</v>
      </c>
      <c r="C1" s="11" t="s">
        <v>232</v>
      </c>
      <c r="D1" s="113" t="s">
        <v>233</v>
      </c>
      <c r="E1" s="113" t="s">
        <v>224</v>
      </c>
      <c r="F1" s="12" t="s">
        <v>246</v>
      </c>
      <c r="G1" s="12" t="s">
        <v>464</v>
      </c>
      <c r="H1" s="12" t="s">
        <v>244</v>
      </c>
      <c r="I1" s="12" t="s">
        <v>229</v>
      </c>
      <c r="J1" s="12" t="s">
        <v>226</v>
      </c>
      <c r="K1" s="12" t="s">
        <v>231</v>
      </c>
      <c r="L1" s="12" t="s">
        <v>245</v>
      </c>
      <c r="M1" s="116" t="s">
        <v>236</v>
      </c>
      <c r="N1" s="12" t="s">
        <v>230</v>
      </c>
      <c r="O1" s="115">
        <v>44501</v>
      </c>
      <c r="P1" s="114" t="s">
        <v>185</v>
      </c>
      <c r="Q1" s="118" t="s">
        <v>234</v>
      </c>
      <c r="R1" s="120" t="s">
        <v>247</v>
      </c>
      <c r="S1" s="115">
        <v>44531</v>
      </c>
      <c r="T1" s="114" t="s">
        <v>185</v>
      </c>
      <c r="U1" s="118" t="s">
        <v>234</v>
      </c>
      <c r="V1" s="120" t="s">
        <v>247</v>
      </c>
      <c r="W1" s="115">
        <v>44562</v>
      </c>
      <c r="X1" s="114" t="s">
        <v>185</v>
      </c>
      <c r="Y1" s="118" t="s">
        <v>234</v>
      </c>
      <c r="Z1" s="120" t="s">
        <v>247</v>
      </c>
      <c r="AA1" s="115">
        <v>44593</v>
      </c>
      <c r="AB1" s="114" t="s">
        <v>185</v>
      </c>
      <c r="AC1" s="118" t="s">
        <v>234</v>
      </c>
      <c r="AD1" s="120" t="s">
        <v>247</v>
      </c>
      <c r="AE1" s="115">
        <v>44621</v>
      </c>
      <c r="AF1" s="114" t="s">
        <v>185</v>
      </c>
      <c r="AG1" s="118" t="s">
        <v>234</v>
      </c>
      <c r="AH1" s="120" t="s">
        <v>247</v>
      </c>
      <c r="AI1" s="115">
        <v>44652</v>
      </c>
      <c r="AJ1" s="114" t="s">
        <v>493</v>
      </c>
      <c r="AK1" s="118" t="s">
        <v>234</v>
      </c>
      <c r="AL1" s="120" t="s">
        <v>247</v>
      </c>
      <c r="AM1" s="115">
        <v>44682</v>
      </c>
      <c r="AN1" s="114" t="s">
        <v>493</v>
      </c>
      <c r="AO1" s="118" t="s">
        <v>234</v>
      </c>
      <c r="AP1" s="120" t="s">
        <v>247</v>
      </c>
      <c r="AQ1" s="115">
        <v>44713</v>
      </c>
      <c r="AR1" s="114" t="s">
        <v>493</v>
      </c>
      <c r="AS1" s="118" t="s">
        <v>234</v>
      </c>
      <c r="AT1" s="120" t="s">
        <v>247</v>
      </c>
      <c r="AU1" s="86" t="s">
        <v>217</v>
      </c>
      <c r="AV1" s="86" t="s">
        <v>483</v>
      </c>
      <c r="AW1" s="232" t="s">
        <v>482</v>
      </c>
      <c r="AX1" s="234" t="s">
        <v>486</v>
      </c>
      <c r="AY1" s="235" t="s">
        <v>487</v>
      </c>
    </row>
    <row r="2" spans="1:51">
      <c r="A2" s="10" t="s">
        <v>573</v>
      </c>
      <c r="B2" s="121" t="s">
        <v>107</v>
      </c>
      <c r="C2" s="80">
        <v>0</v>
      </c>
      <c r="D2" s="79">
        <f>200*8</f>
        <v>1600</v>
      </c>
      <c r="E2" s="79">
        <f>' 2018-2019'!I2+'2019-2020 New'!I2+'2020-2021 New'!I2+'2021-2022 (A) New'!J2</f>
        <v>2600</v>
      </c>
      <c r="F2" s="78">
        <f>C2+D2</f>
        <v>1600</v>
      </c>
      <c r="G2" s="159">
        <f>AU2</f>
        <v>1400</v>
      </c>
      <c r="H2" s="78">
        <f>F2-G2-C2</f>
        <v>200</v>
      </c>
      <c r="I2" s="78">
        <f>H2+L2+E2</f>
        <v>4720.8723563645644</v>
      </c>
      <c r="J2" s="78">
        <f>P2+T2+X2+AB2</f>
        <v>9.9000000000000021</v>
      </c>
      <c r="K2" s="78">
        <f>(G2-J2-C2)*5.5%</f>
        <v>76.455500000000001</v>
      </c>
      <c r="L2" s="78">
        <f>R2+V2+Z2+AD2+AH2+AL2+AP2+AT2</f>
        <v>1920.8723563645642</v>
      </c>
      <c r="M2" s="78">
        <f>L2</f>
        <v>1920.8723563645642</v>
      </c>
      <c r="N2" s="78">
        <f t="shared" ref="N2:N33" si="0">G2-J2-L2+K2</f>
        <v>-454.31685636456427</v>
      </c>
      <c r="O2" s="165">
        <v>200</v>
      </c>
      <c r="P2" s="166">
        <f>O2*1.1%</f>
        <v>2.2000000000000002</v>
      </c>
      <c r="Q2" s="119">
        <f t="shared" ref="Q2:Q33" si="1">E2+200</f>
        <v>2800</v>
      </c>
      <c r="R2" s="167">
        <f>(Q2-O2)*0.07</f>
        <v>182.00000000000003</v>
      </c>
      <c r="S2" s="165">
        <v>0</v>
      </c>
      <c r="T2" s="166">
        <f>S2*1.1%</f>
        <v>0</v>
      </c>
      <c r="U2" s="33">
        <f>Q2-S2+200+R2</f>
        <v>3182</v>
      </c>
      <c r="V2" s="167">
        <f>(U2-S2)*0.07</f>
        <v>222.74</v>
      </c>
      <c r="W2" s="165">
        <v>200</v>
      </c>
      <c r="X2" s="166">
        <f>W2*1.1%</f>
        <v>2.2000000000000002</v>
      </c>
      <c r="Y2" s="33">
        <f>U2-W2+200+V2</f>
        <v>3404.74</v>
      </c>
      <c r="Z2" s="167">
        <f>(Y2-W2)*0.07</f>
        <v>224.33180000000002</v>
      </c>
      <c r="AA2" s="165">
        <v>500</v>
      </c>
      <c r="AB2" s="166">
        <f>AA2*1.1%</f>
        <v>5.5000000000000009</v>
      </c>
      <c r="AC2" s="33">
        <f>Y2-AA2+200+Z2</f>
        <v>3329.0717999999997</v>
      </c>
      <c r="AD2" s="167">
        <f>(AC2-AA2)*0.07</f>
        <v>198.03502599999999</v>
      </c>
      <c r="AE2" s="220">
        <v>0</v>
      </c>
      <c r="AF2" s="221">
        <f>AE2*1.1%</f>
        <v>0</v>
      </c>
      <c r="AG2" s="123">
        <f>AC2-AE2+200+AD2</f>
        <v>3727.1068259999997</v>
      </c>
      <c r="AH2" s="222">
        <f>(AG2-AE2)*0.07</f>
        <v>260.89747782000001</v>
      </c>
      <c r="AI2" s="220">
        <v>500</v>
      </c>
      <c r="AJ2" s="221">
        <f>AI2*0%</f>
        <v>0</v>
      </c>
      <c r="AK2" s="123">
        <f>AG2-AI2+200+AH2</f>
        <v>3688.0043038199997</v>
      </c>
      <c r="AL2" s="222">
        <f>(AK2-AI2)*0.07</f>
        <v>223.1603012674</v>
      </c>
      <c r="AM2" s="220">
        <v>0</v>
      </c>
      <c r="AN2" s="221">
        <f>AM2*0%</f>
        <v>0</v>
      </c>
      <c r="AO2" s="123">
        <f>AK2-AM2+200+AL2</f>
        <v>4111.1646050873997</v>
      </c>
      <c r="AP2" s="222">
        <f>(AO2-AM2)*0.07</f>
        <v>287.78152235611799</v>
      </c>
      <c r="AQ2" s="220">
        <v>0</v>
      </c>
      <c r="AR2" s="221">
        <f>AQ2*0%</f>
        <v>0</v>
      </c>
      <c r="AS2" s="123">
        <f t="shared" ref="AS2:AS8" si="2">AO2-AQ2+200+AP2</f>
        <v>4598.946127443518</v>
      </c>
      <c r="AT2" s="222">
        <f>(AS2-AQ2)*0.07</f>
        <v>321.92622892104629</v>
      </c>
      <c r="AU2" s="231">
        <f>O2+S2+W2+AA2+AE2+AM2+AQ2+AI2</f>
        <v>1400</v>
      </c>
      <c r="AV2" s="33">
        <f>' 2018-2019'!H2+'2019-2020 New'!H2+'2020-2021 New'!H2+'2021-2022 (A) New'!I2+'2021-2022 (B)'!G2+AY2</f>
        <v>7300</v>
      </c>
      <c r="AW2" s="233">
        <v>9300</v>
      </c>
      <c r="AX2" s="33">
        <f>AW2-AV2</f>
        <v>2000</v>
      </c>
      <c r="AY2" s="10">
        <v>400</v>
      </c>
    </row>
    <row r="3" spans="1:51">
      <c r="A3" s="10" t="s">
        <v>574</v>
      </c>
      <c r="B3" s="121" t="s">
        <v>136</v>
      </c>
      <c r="C3" s="80">
        <v>0</v>
      </c>
      <c r="D3" s="79">
        <f t="shared" ref="D3:D67" si="3">200*8</f>
        <v>1600</v>
      </c>
      <c r="E3" s="79">
        <f>' 2018-2019'!I3+'2019-2020 New'!I3+'2020-2021 New'!I3+'2021-2022 (A) New'!J3</f>
        <v>1600</v>
      </c>
      <c r="F3" s="78">
        <f t="shared" ref="F3:F67" si="4">C3+D3</f>
        <v>1600</v>
      </c>
      <c r="G3" s="159">
        <f t="shared" ref="G3:G67" si="5">AU3</f>
        <v>1800</v>
      </c>
      <c r="H3" s="78">
        <f t="shared" ref="H3:H67" si="6">F3-G3-C3</f>
        <v>-200</v>
      </c>
      <c r="I3" s="78">
        <f t="shared" ref="I3:I66" si="7">H3+L3+E3</f>
        <v>1781.4270179999999</v>
      </c>
      <c r="J3" s="78">
        <f>P3+T3+X3+AB3</f>
        <v>13.200000000000001</v>
      </c>
      <c r="K3" s="78">
        <f t="shared" ref="K3:K67" si="8">(G3-J3-C3)*5.5%</f>
        <v>98.274000000000001</v>
      </c>
      <c r="L3" s="78">
        <f t="shared" ref="L3:L67" si="9">R3+V3+Z3+AD3</f>
        <v>381.42701799999998</v>
      </c>
      <c r="M3" s="78">
        <f>L3</f>
        <v>381.42701799999998</v>
      </c>
      <c r="N3" s="78">
        <f t="shared" si="0"/>
        <v>1503.6469819999998</v>
      </c>
      <c r="O3" s="165">
        <v>0</v>
      </c>
      <c r="P3" s="166">
        <f t="shared" ref="P3:P67" si="10">O3*1.1%</f>
        <v>0</v>
      </c>
      <c r="Q3" s="119">
        <f t="shared" si="1"/>
        <v>1800</v>
      </c>
      <c r="R3" s="167">
        <f t="shared" ref="R3:R67" si="11">(Q3-O3)*0.07</f>
        <v>126.00000000000001</v>
      </c>
      <c r="S3" s="165">
        <v>400</v>
      </c>
      <c r="T3" s="166">
        <f t="shared" ref="T3:T67" si="12">S3*1.1%</f>
        <v>4.4000000000000004</v>
      </c>
      <c r="U3" s="33">
        <f t="shared" ref="U3:U67" si="13">Q3-S3+200+R3</f>
        <v>1726</v>
      </c>
      <c r="V3" s="167">
        <f t="shared" ref="V3:V67" si="14">(U3-S3)*0.07</f>
        <v>92.820000000000007</v>
      </c>
      <c r="W3" s="165">
        <v>400</v>
      </c>
      <c r="X3" s="166">
        <f t="shared" ref="X3:X67" si="15">W3*1.1%</f>
        <v>4.4000000000000004</v>
      </c>
      <c r="Y3" s="33">
        <f t="shared" ref="Y3:Y67" si="16">U3-W3+200+V3</f>
        <v>1618.82</v>
      </c>
      <c r="Z3" s="167">
        <f t="shared" ref="Z3:Z67" si="17">(Y3-W3)*0.07</f>
        <v>85.317400000000006</v>
      </c>
      <c r="AA3" s="165">
        <v>400</v>
      </c>
      <c r="AB3" s="166">
        <f t="shared" ref="AB3:AB67" si="18">AA3*1.1%</f>
        <v>4.4000000000000004</v>
      </c>
      <c r="AC3" s="33">
        <f t="shared" ref="AC3:AC67" si="19">Y3-AA3+200+Z3</f>
        <v>1504.1373999999998</v>
      </c>
      <c r="AD3" s="167">
        <f t="shared" ref="AD3:AD67" si="20">(AC3-AA3)*0.07</f>
        <v>77.28961799999999</v>
      </c>
      <c r="AE3" s="220">
        <v>0</v>
      </c>
      <c r="AF3" s="221">
        <f t="shared" ref="AF3:AF67" si="21">AE3*1.1%</f>
        <v>0</v>
      </c>
      <c r="AG3" s="123">
        <f t="shared" ref="AG3:AG67" si="22">AC3-AE3+200+AD3</f>
        <v>1781.4270179999999</v>
      </c>
      <c r="AH3" s="222">
        <f t="shared" ref="AH3:AH67" si="23">(AG3-AE3)*0.07</f>
        <v>124.69989126</v>
      </c>
      <c r="AI3" s="220">
        <v>400</v>
      </c>
      <c r="AJ3" s="221">
        <f t="shared" ref="AJ3:AJ66" si="24">AI3*0%</f>
        <v>0</v>
      </c>
      <c r="AK3" s="123">
        <f t="shared" ref="AK3:AK67" si="25">AG3-AI3+200+AH3</f>
        <v>1706.1269092599998</v>
      </c>
      <c r="AL3" s="222">
        <f t="shared" ref="AL3:AL67" si="26">(AK3-AI3)*0.07</f>
        <v>91.428883648199999</v>
      </c>
      <c r="AM3" s="220">
        <v>0</v>
      </c>
      <c r="AN3" s="221">
        <f t="shared" ref="AN3:AN66" si="27">AM3*0%</f>
        <v>0</v>
      </c>
      <c r="AO3" s="123">
        <f t="shared" ref="AO3:AO67" si="28">AK3-AM3+200+AL3</f>
        <v>1997.5557929081999</v>
      </c>
      <c r="AP3" s="222">
        <f t="shared" ref="AP3:AP67" si="29">(AO3-AM3)*0.07</f>
        <v>139.82890550357402</v>
      </c>
      <c r="AQ3" s="220">
        <v>200</v>
      </c>
      <c r="AR3" s="221">
        <f t="shared" ref="AR3:AR66" si="30">AQ3*0%</f>
        <v>0</v>
      </c>
      <c r="AS3" s="123">
        <f t="shared" si="2"/>
        <v>2137.384698411774</v>
      </c>
      <c r="AT3" s="222">
        <f t="shared" ref="AT3:AT66" si="31">(AS3-AQ3)*0.07</f>
        <v>135.61692888882419</v>
      </c>
      <c r="AU3" s="231">
        <f>O3+S3+W3+AA3+AE3+AM3+AQ3+AI3</f>
        <v>1800</v>
      </c>
      <c r="AV3" s="33">
        <f>' 2018-2019'!H3+'2019-2020 New'!H3+'2020-2021 New'!H3+'2021-2022 (A) New'!I3+'2021-2022 (B)'!G3+AY3</f>
        <v>8500</v>
      </c>
      <c r="AW3" s="233">
        <v>8500</v>
      </c>
      <c r="AX3" s="33">
        <f t="shared" ref="AX3:AX66" si="32">AW3-AV3</f>
        <v>0</v>
      </c>
      <c r="AY3" s="10">
        <v>200</v>
      </c>
    </row>
    <row r="4" spans="1:51">
      <c r="A4" s="10" t="s">
        <v>575</v>
      </c>
      <c r="B4" s="121" t="s">
        <v>108</v>
      </c>
      <c r="C4" s="80">
        <v>0</v>
      </c>
      <c r="D4" s="79">
        <f t="shared" si="3"/>
        <v>1600</v>
      </c>
      <c r="E4" s="79">
        <f>' 2018-2019'!I4+'2019-2020 New'!I4+'2020-2021 New'!I4+'2021-2022 (A) New'!J4</f>
        <v>6500</v>
      </c>
      <c r="F4" s="78">
        <f t="shared" si="4"/>
        <v>1600</v>
      </c>
      <c r="G4" s="159">
        <f t="shared" si="5"/>
        <v>0</v>
      </c>
      <c r="H4" s="78">
        <f t="shared" si="6"/>
        <v>1600</v>
      </c>
      <c r="I4" s="78">
        <f t="shared" si="7"/>
        <v>10270.321867000001</v>
      </c>
      <c r="J4" s="78">
        <f>P4+T4+X4+AB4</f>
        <v>0</v>
      </c>
      <c r="K4" s="78">
        <f t="shared" si="8"/>
        <v>0</v>
      </c>
      <c r="L4" s="78">
        <f t="shared" si="9"/>
        <v>2170.3218670000001</v>
      </c>
      <c r="M4" s="78">
        <f t="shared" ref="M4:M66" si="33">L4</f>
        <v>2170.3218670000001</v>
      </c>
      <c r="N4" s="78">
        <f t="shared" si="0"/>
        <v>-2170.3218670000001</v>
      </c>
      <c r="O4" s="165">
        <v>0</v>
      </c>
      <c r="P4" s="166">
        <f t="shared" si="10"/>
        <v>0</v>
      </c>
      <c r="Q4" s="119">
        <f t="shared" si="1"/>
        <v>6700</v>
      </c>
      <c r="R4" s="167">
        <f t="shared" si="11"/>
        <v>469.00000000000006</v>
      </c>
      <c r="S4" s="165">
        <v>0</v>
      </c>
      <c r="T4" s="166">
        <f t="shared" si="12"/>
        <v>0</v>
      </c>
      <c r="U4" s="33">
        <f t="shared" si="13"/>
        <v>7369</v>
      </c>
      <c r="V4" s="167">
        <f t="shared" si="14"/>
        <v>515.83000000000004</v>
      </c>
      <c r="W4" s="165">
        <v>0</v>
      </c>
      <c r="X4" s="166">
        <f t="shared" si="15"/>
        <v>0</v>
      </c>
      <c r="Y4" s="33">
        <f t="shared" si="16"/>
        <v>8084.83</v>
      </c>
      <c r="Z4" s="167">
        <f t="shared" si="17"/>
        <v>565.93810000000008</v>
      </c>
      <c r="AA4" s="165">
        <v>0</v>
      </c>
      <c r="AB4" s="166">
        <f t="shared" si="18"/>
        <v>0</v>
      </c>
      <c r="AC4" s="33">
        <f t="shared" si="19"/>
        <v>8850.7680999999993</v>
      </c>
      <c r="AD4" s="167">
        <f t="shared" si="20"/>
        <v>619.55376699999999</v>
      </c>
      <c r="AE4" s="220">
        <v>0</v>
      </c>
      <c r="AF4" s="221">
        <f t="shared" si="21"/>
        <v>0</v>
      </c>
      <c r="AG4" s="123">
        <f t="shared" si="22"/>
        <v>9670.3218669999987</v>
      </c>
      <c r="AH4" s="222">
        <f t="shared" si="23"/>
        <v>676.92253069000003</v>
      </c>
      <c r="AI4" s="220">
        <v>0</v>
      </c>
      <c r="AJ4" s="221">
        <f t="shared" si="24"/>
        <v>0</v>
      </c>
      <c r="AK4" s="123">
        <f t="shared" si="25"/>
        <v>10547.244397689999</v>
      </c>
      <c r="AL4" s="222">
        <f t="shared" si="26"/>
        <v>738.3071078383</v>
      </c>
      <c r="AM4" s="220">
        <v>0</v>
      </c>
      <c r="AN4" s="221">
        <f t="shared" si="27"/>
        <v>0</v>
      </c>
      <c r="AO4" s="123">
        <f t="shared" si="28"/>
        <v>11485.551505528299</v>
      </c>
      <c r="AP4" s="222">
        <f t="shared" si="29"/>
        <v>803.98860538698102</v>
      </c>
      <c r="AQ4" s="220">
        <v>0</v>
      </c>
      <c r="AR4" s="221">
        <f t="shared" si="30"/>
        <v>0</v>
      </c>
      <c r="AS4" s="123">
        <f t="shared" si="2"/>
        <v>12489.540110915281</v>
      </c>
      <c r="AT4" s="222">
        <f t="shared" si="31"/>
        <v>874.26780776406974</v>
      </c>
      <c r="AU4" s="231">
        <f t="shared" ref="AU4:AU66" si="34">O4+S4+W4+AA4+AE4+AM4+AQ4+AI4</f>
        <v>0</v>
      </c>
      <c r="AV4" s="33">
        <f>' 2018-2019'!H4+'2019-2020 New'!H4+'2020-2021 New'!H4+'2021-2022 (A) New'!I4+'2021-2022 (B)'!G4+AY4</f>
        <v>1500</v>
      </c>
      <c r="AW4" s="233">
        <v>1500</v>
      </c>
      <c r="AX4" s="33">
        <f t="shared" si="32"/>
        <v>0</v>
      </c>
      <c r="AY4" s="10">
        <v>0</v>
      </c>
    </row>
    <row r="5" spans="1:51">
      <c r="A5" s="10" t="s">
        <v>576</v>
      </c>
      <c r="B5" s="121" t="s">
        <v>109</v>
      </c>
      <c r="C5" s="80">
        <v>0</v>
      </c>
      <c r="D5" s="79">
        <f t="shared" si="3"/>
        <v>1600</v>
      </c>
      <c r="E5" s="79">
        <f>' 2018-2019'!I5+'2019-2020 New'!I5+'2020-2021 New'!I5+'2021-2022 (A) New'!J5</f>
        <v>7800</v>
      </c>
      <c r="F5" s="78">
        <f t="shared" si="4"/>
        <v>1600</v>
      </c>
      <c r="G5" s="159">
        <f t="shared" si="5"/>
        <v>0</v>
      </c>
      <c r="H5" s="78">
        <f t="shared" si="6"/>
        <v>1600</v>
      </c>
      <c r="I5" s="78">
        <f t="shared" si="7"/>
        <v>11974.356680000001</v>
      </c>
      <c r="J5" s="59"/>
      <c r="K5" s="78">
        <f t="shared" si="8"/>
        <v>0</v>
      </c>
      <c r="L5" s="78">
        <f t="shared" si="9"/>
        <v>2574.3566800000003</v>
      </c>
      <c r="M5" s="78">
        <f t="shared" si="33"/>
        <v>2574.3566800000003</v>
      </c>
      <c r="N5" s="78">
        <f t="shared" si="0"/>
        <v>-2574.3566800000003</v>
      </c>
      <c r="O5" s="165">
        <v>0</v>
      </c>
      <c r="P5" s="166">
        <f t="shared" si="10"/>
        <v>0</v>
      </c>
      <c r="Q5" s="119">
        <f t="shared" si="1"/>
        <v>8000</v>
      </c>
      <c r="R5" s="167">
        <f t="shared" si="11"/>
        <v>560</v>
      </c>
      <c r="S5" s="165">
        <v>0</v>
      </c>
      <c r="T5" s="166">
        <f t="shared" si="12"/>
        <v>0</v>
      </c>
      <c r="U5" s="33">
        <f t="shared" si="13"/>
        <v>8760</v>
      </c>
      <c r="V5" s="167">
        <f t="shared" si="14"/>
        <v>613.20000000000005</v>
      </c>
      <c r="W5" s="165">
        <v>0</v>
      </c>
      <c r="X5" s="166">
        <f t="shared" si="15"/>
        <v>0</v>
      </c>
      <c r="Y5" s="33">
        <f t="shared" si="16"/>
        <v>9573.2000000000007</v>
      </c>
      <c r="Z5" s="167">
        <f t="shared" si="17"/>
        <v>670.12400000000014</v>
      </c>
      <c r="AA5" s="165">
        <v>0</v>
      </c>
      <c r="AB5" s="166">
        <f t="shared" si="18"/>
        <v>0</v>
      </c>
      <c r="AC5" s="33">
        <f t="shared" si="19"/>
        <v>10443.324000000001</v>
      </c>
      <c r="AD5" s="167">
        <f t="shared" si="20"/>
        <v>731.03268000000014</v>
      </c>
      <c r="AE5" s="220">
        <v>0</v>
      </c>
      <c r="AF5" s="221">
        <f t="shared" si="21"/>
        <v>0</v>
      </c>
      <c r="AG5" s="123">
        <f t="shared" si="22"/>
        <v>11374.356680000001</v>
      </c>
      <c r="AH5" s="222">
        <f t="shared" si="23"/>
        <v>796.20496760000015</v>
      </c>
      <c r="AI5" s="220">
        <v>0</v>
      </c>
      <c r="AJ5" s="221">
        <f t="shared" si="24"/>
        <v>0</v>
      </c>
      <c r="AK5" s="123">
        <f t="shared" si="25"/>
        <v>12370.561647600001</v>
      </c>
      <c r="AL5" s="222">
        <f t="shared" si="26"/>
        <v>865.93931533200021</v>
      </c>
      <c r="AM5" s="220">
        <v>0</v>
      </c>
      <c r="AN5" s="221">
        <f t="shared" si="27"/>
        <v>0</v>
      </c>
      <c r="AO5" s="123">
        <f t="shared" si="28"/>
        <v>13436.500962932001</v>
      </c>
      <c r="AP5" s="222">
        <f t="shared" si="29"/>
        <v>940.55506740524015</v>
      </c>
      <c r="AQ5" s="220">
        <v>0</v>
      </c>
      <c r="AR5" s="221">
        <f t="shared" si="30"/>
        <v>0</v>
      </c>
      <c r="AS5" s="123">
        <f t="shared" si="2"/>
        <v>14577.05603033724</v>
      </c>
      <c r="AT5" s="222">
        <f t="shared" si="31"/>
        <v>1020.3939221236069</v>
      </c>
      <c r="AU5" s="231">
        <f t="shared" si="34"/>
        <v>0</v>
      </c>
      <c r="AV5" s="33">
        <f>' 2018-2019'!H5+'2019-2020 New'!H5+'2020-2021 New'!H5+'2021-2022 (A) New'!I5+'2021-2022 (B)'!G5+AY5</f>
        <v>200</v>
      </c>
      <c r="AW5" s="233">
        <v>200</v>
      </c>
      <c r="AX5" s="33">
        <f t="shared" si="32"/>
        <v>0</v>
      </c>
      <c r="AY5" s="10">
        <v>0</v>
      </c>
    </row>
    <row r="6" spans="1:51" s="41" customFormat="1">
      <c r="A6" s="10" t="s">
        <v>577</v>
      </c>
      <c r="B6" s="121" t="s">
        <v>110</v>
      </c>
      <c r="C6" s="80">
        <v>0</v>
      </c>
      <c r="D6" s="79">
        <f t="shared" si="3"/>
        <v>1600</v>
      </c>
      <c r="E6" s="79">
        <f>' 2018-2019'!I6+'2019-2020 New'!I6+'2020-2021 New'!I6+'2021-2022 (A) New'!J6</f>
        <v>2561.33</v>
      </c>
      <c r="F6" s="78">
        <f t="shared" si="4"/>
        <v>1600</v>
      </c>
      <c r="G6" s="159">
        <f t="shared" si="5"/>
        <v>0</v>
      </c>
      <c r="H6" s="78">
        <f t="shared" si="6"/>
        <v>1600</v>
      </c>
      <c r="I6" s="78">
        <f t="shared" si="7"/>
        <v>5107.5289462932997</v>
      </c>
      <c r="J6" s="78">
        <f t="shared" ref="J6:J37" si="35">P6+T6+X6+AB6</f>
        <v>0</v>
      </c>
      <c r="K6" s="78">
        <f t="shared" si="8"/>
        <v>0</v>
      </c>
      <c r="L6" s="78">
        <f t="shared" si="9"/>
        <v>946.19894629329997</v>
      </c>
      <c r="M6" s="78">
        <f t="shared" si="33"/>
        <v>946.19894629329997</v>
      </c>
      <c r="N6" s="78">
        <f t="shared" si="0"/>
        <v>-946.19894629329997</v>
      </c>
      <c r="O6" s="165">
        <v>0</v>
      </c>
      <c r="P6" s="166">
        <f t="shared" si="10"/>
        <v>0</v>
      </c>
      <c r="Q6" s="119">
        <f t="shared" si="1"/>
        <v>2761.33</v>
      </c>
      <c r="R6" s="167">
        <f t="shared" si="11"/>
        <v>193.29310000000001</v>
      </c>
      <c r="S6" s="165">
        <v>0</v>
      </c>
      <c r="T6" s="166">
        <f t="shared" si="12"/>
        <v>0</v>
      </c>
      <c r="U6" s="33">
        <f t="shared" si="13"/>
        <v>3154.6230999999998</v>
      </c>
      <c r="V6" s="167">
        <f t="shared" si="14"/>
        <v>220.82361700000001</v>
      </c>
      <c r="W6" s="165">
        <v>0</v>
      </c>
      <c r="X6" s="166">
        <f t="shared" si="15"/>
        <v>0</v>
      </c>
      <c r="Y6" s="33">
        <f t="shared" si="16"/>
        <v>3575.4467169999998</v>
      </c>
      <c r="Z6" s="167">
        <f t="shared" si="17"/>
        <v>250.28127019000001</v>
      </c>
      <c r="AA6" s="165">
        <v>0</v>
      </c>
      <c r="AB6" s="166">
        <f t="shared" si="18"/>
        <v>0</v>
      </c>
      <c r="AC6" s="33">
        <f t="shared" si="19"/>
        <v>4025.72798719</v>
      </c>
      <c r="AD6" s="167">
        <f t="shared" si="20"/>
        <v>281.80095910330004</v>
      </c>
      <c r="AE6" s="220">
        <v>0</v>
      </c>
      <c r="AF6" s="221">
        <f t="shared" si="21"/>
        <v>0</v>
      </c>
      <c r="AG6" s="123">
        <f t="shared" si="22"/>
        <v>4507.5289462932997</v>
      </c>
      <c r="AH6" s="222">
        <f t="shared" si="23"/>
        <v>315.52702624053103</v>
      </c>
      <c r="AI6" s="220">
        <v>0</v>
      </c>
      <c r="AJ6" s="221">
        <f t="shared" si="24"/>
        <v>0</v>
      </c>
      <c r="AK6" s="123">
        <f t="shared" si="25"/>
        <v>5023.0559725338308</v>
      </c>
      <c r="AL6" s="222">
        <f t="shared" si="26"/>
        <v>351.61391807736817</v>
      </c>
      <c r="AM6" s="220">
        <v>0</v>
      </c>
      <c r="AN6" s="221">
        <f t="shared" si="27"/>
        <v>0</v>
      </c>
      <c r="AO6" s="123">
        <f t="shared" si="28"/>
        <v>5574.6698906111988</v>
      </c>
      <c r="AP6" s="222">
        <f t="shared" si="29"/>
        <v>390.22689234278397</v>
      </c>
      <c r="AQ6" s="220">
        <v>0</v>
      </c>
      <c r="AR6" s="221">
        <f t="shared" si="30"/>
        <v>0</v>
      </c>
      <c r="AS6" s="123">
        <f t="shared" si="2"/>
        <v>6164.8967829539824</v>
      </c>
      <c r="AT6" s="222">
        <f t="shared" si="31"/>
        <v>431.54277480677882</v>
      </c>
      <c r="AU6" s="231">
        <f t="shared" si="34"/>
        <v>0</v>
      </c>
      <c r="AV6" s="33">
        <f>' 2018-2019'!H6+'2019-2020 New'!H6+'2020-2021 New'!H6+'2021-2022 (A) New'!I6+'2021-2022 (B)'!G6+AY6</f>
        <v>5438.67</v>
      </c>
      <c r="AW6" s="233" t="s">
        <v>485</v>
      </c>
      <c r="AX6" s="33">
        <v>0</v>
      </c>
      <c r="AY6" s="44">
        <v>0</v>
      </c>
    </row>
    <row r="7" spans="1:51">
      <c r="A7" s="10" t="s">
        <v>578</v>
      </c>
      <c r="B7" s="121" t="s">
        <v>137</v>
      </c>
      <c r="C7" s="80">
        <v>0</v>
      </c>
      <c r="D7" s="79">
        <f t="shared" si="3"/>
        <v>1600</v>
      </c>
      <c r="E7" s="79">
        <f>' 2018-2019'!I7+'2019-2020 New'!I7+'2020-2021 New'!I7+'2021-2022 (A) New'!J7</f>
        <v>3000</v>
      </c>
      <c r="F7" s="78">
        <f t="shared" si="4"/>
        <v>1600</v>
      </c>
      <c r="G7" s="159">
        <f t="shared" si="5"/>
        <v>500</v>
      </c>
      <c r="H7" s="78">
        <f t="shared" si="6"/>
        <v>1100</v>
      </c>
      <c r="I7" s="78">
        <f t="shared" si="7"/>
        <v>5029.9428320000006</v>
      </c>
      <c r="J7" s="78">
        <f t="shared" si="35"/>
        <v>5.5000000000000009</v>
      </c>
      <c r="K7" s="78">
        <f t="shared" si="8"/>
        <v>27.197500000000002</v>
      </c>
      <c r="L7" s="78">
        <f t="shared" si="9"/>
        <v>929.94283200000007</v>
      </c>
      <c r="M7" s="78">
        <f t="shared" si="33"/>
        <v>929.94283200000007</v>
      </c>
      <c r="N7" s="78">
        <f t="shared" si="0"/>
        <v>-408.24533200000008</v>
      </c>
      <c r="O7" s="165">
        <v>0</v>
      </c>
      <c r="P7" s="166">
        <f t="shared" si="10"/>
        <v>0</v>
      </c>
      <c r="Q7" s="119">
        <f t="shared" si="1"/>
        <v>3200</v>
      </c>
      <c r="R7" s="167">
        <f t="shared" si="11"/>
        <v>224.00000000000003</v>
      </c>
      <c r="S7" s="165">
        <v>500</v>
      </c>
      <c r="T7" s="166">
        <f t="shared" si="12"/>
        <v>5.5000000000000009</v>
      </c>
      <c r="U7" s="33">
        <f t="shared" si="13"/>
        <v>3124</v>
      </c>
      <c r="V7" s="167">
        <f t="shared" si="14"/>
        <v>183.68</v>
      </c>
      <c r="W7" s="165">
        <v>0</v>
      </c>
      <c r="X7" s="166">
        <f t="shared" si="15"/>
        <v>0</v>
      </c>
      <c r="Y7" s="33">
        <f t="shared" si="16"/>
        <v>3507.68</v>
      </c>
      <c r="Z7" s="167">
        <f t="shared" si="17"/>
        <v>245.53760000000003</v>
      </c>
      <c r="AA7" s="165">
        <v>0</v>
      </c>
      <c r="AB7" s="166">
        <f t="shared" si="18"/>
        <v>0</v>
      </c>
      <c r="AC7" s="33">
        <f t="shared" si="19"/>
        <v>3953.2175999999999</v>
      </c>
      <c r="AD7" s="167">
        <f t="shared" si="20"/>
        <v>276.72523200000001</v>
      </c>
      <c r="AE7" s="220">
        <v>0</v>
      </c>
      <c r="AF7" s="221">
        <f t="shared" si="21"/>
        <v>0</v>
      </c>
      <c r="AG7" s="123">
        <f t="shared" si="22"/>
        <v>4429.9428319999997</v>
      </c>
      <c r="AH7" s="222">
        <f t="shared" si="23"/>
        <v>310.09599824000003</v>
      </c>
      <c r="AI7" s="220">
        <v>0</v>
      </c>
      <c r="AJ7" s="221">
        <f t="shared" si="24"/>
        <v>0</v>
      </c>
      <c r="AK7" s="123">
        <f t="shared" si="25"/>
        <v>4940.0388302399997</v>
      </c>
      <c r="AL7" s="222">
        <f t="shared" si="26"/>
        <v>345.80271811680001</v>
      </c>
      <c r="AM7" s="220">
        <v>0</v>
      </c>
      <c r="AN7" s="221">
        <f t="shared" si="27"/>
        <v>0</v>
      </c>
      <c r="AO7" s="123">
        <f t="shared" si="28"/>
        <v>5485.8415483567996</v>
      </c>
      <c r="AP7" s="222">
        <f t="shared" si="29"/>
        <v>384.008908384976</v>
      </c>
      <c r="AQ7" s="220">
        <v>0</v>
      </c>
      <c r="AR7" s="221">
        <f t="shared" si="30"/>
        <v>0</v>
      </c>
      <c r="AS7" s="123">
        <f t="shared" si="2"/>
        <v>6069.8504567417758</v>
      </c>
      <c r="AT7" s="222">
        <f t="shared" si="31"/>
        <v>424.88953197192433</v>
      </c>
      <c r="AU7" s="231">
        <f t="shared" si="34"/>
        <v>500</v>
      </c>
      <c r="AV7" s="33">
        <f>' 2018-2019'!H7+'2019-2020 New'!H7+'2020-2021 New'!H7+'2021-2022 (A) New'!I7+'2021-2022 (B)'!G7+AY7</f>
        <v>5600</v>
      </c>
      <c r="AW7" s="233">
        <v>5600</v>
      </c>
      <c r="AX7" s="33">
        <f t="shared" si="32"/>
        <v>0</v>
      </c>
      <c r="AY7" s="10">
        <v>0</v>
      </c>
    </row>
    <row r="8" spans="1:51" s="41" customFormat="1">
      <c r="A8" s="10" t="s">
        <v>579</v>
      </c>
      <c r="B8" s="10" t="s">
        <v>175</v>
      </c>
      <c r="C8" s="79">
        <v>100</v>
      </c>
      <c r="D8" s="79">
        <f>200*8</f>
        <v>1600</v>
      </c>
      <c r="E8" s="79">
        <f>' 2018-2019'!I8+'2019-2020 New'!I8+'2020-2021 New'!I8+'2021-2022 (A) New'!J8</f>
        <v>8000</v>
      </c>
      <c r="F8" s="78">
        <f>C8+D8</f>
        <v>1700</v>
      </c>
      <c r="G8" s="159">
        <f>AU8</f>
        <v>0</v>
      </c>
      <c r="H8" s="78">
        <f>F8-G8-C8</f>
        <v>1600</v>
      </c>
      <c r="I8" s="78">
        <f t="shared" si="7"/>
        <v>9781.2274030000008</v>
      </c>
      <c r="J8" s="78">
        <f t="shared" si="35"/>
        <v>0</v>
      </c>
      <c r="K8" s="78">
        <f>(G8-J8-C8)*5.5%</f>
        <v>-5.5</v>
      </c>
      <c r="L8" s="78">
        <f>R8+V8+Z8+AD8</f>
        <v>181.22740300000004</v>
      </c>
      <c r="M8" s="78">
        <f t="shared" si="33"/>
        <v>181.22740300000004</v>
      </c>
      <c r="N8" s="78">
        <f t="shared" si="0"/>
        <v>-186.72740300000004</v>
      </c>
      <c r="O8" s="165">
        <v>0</v>
      </c>
      <c r="P8" s="166">
        <f>O8*1.1%</f>
        <v>0</v>
      </c>
      <c r="Q8" s="229">
        <f>C8+200</f>
        <v>300</v>
      </c>
      <c r="R8" s="167">
        <f>(Q8-O8)*0.07</f>
        <v>21.000000000000004</v>
      </c>
      <c r="S8" s="165">
        <v>0</v>
      </c>
      <c r="T8" s="166">
        <f>S8*1.1%</f>
        <v>0</v>
      </c>
      <c r="U8" s="33">
        <f>Q8-S8+200+R8</f>
        <v>521</v>
      </c>
      <c r="V8" s="167">
        <f>(U8-S8)*0.07</f>
        <v>36.470000000000006</v>
      </c>
      <c r="W8" s="165">
        <v>0</v>
      </c>
      <c r="X8" s="166">
        <f>W8*1.1%</f>
        <v>0</v>
      </c>
      <c r="Y8" s="33">
        <f>U8-W8+200+V8</f>
        <v>757.47</v>
      </c>
      <c r="Z8" s="167">
        <f>(Y8-W8)*0.07</f>
        <v>53.022900000000007</v>
      </c>
      <c r="AA8" s="165">
        <v>0</v>
      </c>
      <c r="AB8" s="166">
        <f>AA8*1.1%</f>
        <v>0</v>
      </c>
      <c r="AC8" s="33">
        <f>Y8-AA8+200+Z8</f>
        <v>1010.4929000000001</v>
      </c>
      <c r="AD8" s="167">
        <f>(AC8-AA8)*0.07</f>
        <v>70.734503000000018</v>
      </c>
      <c r="AE8" s="220">
        <v>0</v>
      </c>
      <c r="AF8" s="221">
        <f>AE8*1.1%</f>
        <v>0</v>
      </c>
      <c r="AG8" s="123">
        <f>AC8-AE8+200+AD8</f>
        <v>1281.2274030000003</v>
      </c>
      <c r="AH8" s="222">
        <f>(AG8-AE8)*0.07</f>
        <v>89.685918210000025</v>
      </c>
      <c r="AI8" s="220">
        <v>0</v>
      </c>
      <c r="AJ8" s="221">
        <f t="shared" si="24"/>
        <v>0</v>
      </c>
      <c r="AK8" s="123">
        <f>AG8-AI8+200+AH8</f>
        <v>1570.9133212100003</v>
      </c>
      <c r="AL8" s="222">
        <f>(AK8-AI8)*0.07</f>
        <v>109.96393248470002</v>
      </c>
      <c r="AM8" s="220">
        <v>0</v>
      </c>
      <c r="AN8" s="221">
        <f t="shared" si="27"/>
        <v>0</v>
      </c>
      <c r="AO8" s="123">
        <f>AK8-AM8+200+AL8</f>
        <v>1880.8772536947004</v>
      </c>
      <c r="AP8" s="222">
        <f>(AO8-AM8)*0.07</f>
        <v>131.66140775862903</v>
      </c>
      <c r="AQ8" s="220">
        <v>0</v>
      </c>
      <c r="AR8" s="221">
        <f t="shared" si="30"/>
        <v>0</v>
      </c>
      <c r="AS8" s="123">
        <f t="shared" si="2"/>
        <v>2212.5386614533295</v>
      </c>
      <c r="AT8" s="222">
        <f t="shared" si="31"/>
        <v>154.87770630173307</v>
      </c>
      <c r="AU8" s="231">
        <f t="shared" si="34"/>
        <v>0</v>
      </c>
      <c r="AV8" s="33">
        <f>' 2018-2019'!H8+'2019-2020 New'!H8+'2020-2021 New'!H8+'2021-2022 (A) New'!I8+'2021-2022 (B)'!G8+AY8</f>
        <v>0</v>
      </c>
      <c r="AW8" s="233" t="s">
        <v>485</v>
      </c>
      <c r="AX8" s="33">
        <v>0</v>
      </c>
      <c r="AY8" s="44">
        <v>0</v>
      </c>
    </row>
    <row r="9" spans="1:51">
      <c r="A9" s="10" t="s">
        <v>580</v>
      </c>
      <c r="B9" s="10" t="s">
        <v>111</v>
      </c>
      <c r="C9" s="80">
        <v>0</v>
      </c>
      <c r="D9" s="79">
        <f t="shared" si="3"/>
        <v>1600</v>
      </c>
      <c r="E9" s="79">
        <f>' 2018-2019'!I9+'2019-2020 New'!I9+'2020-2021 New'!I9+'2021-2022 (A) New'!J9</f>
        <v>5900</v>
      </c>
      <c r="F9" s="78">
        <f t="shared" si="4"/>
        <v>1600</v>
      </c>
      <c r="G9" s="159">
        <f t="shared" si="5"/>
        <v>200</v>
      </c>
      <c r="H9" s="78">
        <f t="shared" si="6"/>
        <v>1400</v>
      </c>
      <c r="I9" s="78">
        <f t="shared" si="7"/>
        <v>9266.6936590000005</v>
      </c>
      <c r="J9" s="78">
        <f t="shared" si="35"/>
        <v>2.2000000000000002</v>
      </c>
      <c r="K9" s="78">
        <f t="shared" si="8"/>
        <v>10.879000000000001</v>
      </c>
      <c r="L9" s="78">
        <f t="shared" si="9"/>
        <v>1966.6936590000005</v>
      </c>
      <c r="M9" s="78">
        <f t="shared" si="33"/>
        <v>1966.6936590000005</v>
      </c>
      <c r="N9" s="78">
        <f t="shared" si="0"/>
        <v>-1758.0146590000006</v>
      </c>
      <c r="O9" s="165">
        <v>200</v>
      </c>
      <c r="P9" s="166">
        <f t="shared" si="10"/>
        <v>2.2000000000000002</v>
      </c>
      <c r="Q9" s="119">
        <f t="shared" si="1"/>
        <v>6100</v>
      </c>
      <c r="R9" s="167">
        <f t="shared" si="11"/>
        <v>413.00000000000006</v>
      </c>
      <c r="S9" s="165">
        <v>0</v>
      </c>
      <c r="T9" s="166">
        <f t="shared" si="12"/>
        <v>0</v>
      </c>
      <c r="U9" s="33">
        <f t="shared" si="13"/>
        <v>6713</v>
      </c>
      <c r="V9" s="167">
        <f t="shared" si="14"/>
        <v>469.91</v>
      </c>
      <c r="W9" s="165">
        <v>0</v>
      </c>
      <c r="X9" s="166">
        <f t="shared" si="15"/>
        <v>0</v>
      </c>
      <c r="Y9" s="33">
        <f t="shared" si="16"/>
        <v>7382.91</v>
      </c>
      <c r="Z9" s="167">
        <f t="shared" si="17"/>
        <v>516.80370000000005</v>
      </c>
      <c r="AA9" s="165">
        <v>0</v>
      </c>
      <c r="AB9" s="166">
        <f t="shared" si="18"/>
        <v>0</v>
      </c>
      <c r="AC9" s="33">
        <f t="shared" si="19"/>
        <v>8099.7137000000002</v>
      </c>
      <c r="AD9" s="167">
        <f t="shared" si="20"/>
        <v>566.97995900000012</v>
      </c>
      <c r="AE9" s="220">
        <v>0</v>
      </c>
      <c r="AF9" s="221">
        <f t="shared" si="21"/>
        <v>0</v>
      </c>
      <c r="AG9" s="123">
        <f t="shared" si="22"/>
        <v>8866.6936590000005</v>
      </c>
      <c r="AH9" s="222">
        <f t="shared" si="23"/>
        <v>620.66855613000007</v>
      </c>
      <c r="AI9" s="220">
        <v>0</v>
      </c>
      <c r="AJ9" s="221">
        <f t="shared" si="24"/>
        <v>0</v>
      </c>
      <c r="AK9" s="123">
        <f t="shared" si="25"/>
        <v>9687.3622151300005</v>
      </c>
      <c r="AL9" s="222">
        <f t="shared" si="26"/>
        <v>678.11535505910012</v>
      </c>
      <c r="AM9" s="220">
        <v>0</v>
      </c>
      <c r="AN9" s="221">
        <f t="shared" si="27"/>
        <v>0</v>
      </c>
      <c r="AO9" s="123">
        <f t="shared" si="28"/>
        <v>10565.477570189101</v>
      </c>
      <c r="AP9" s="222">
        <f t="shared" si="29"/>
        <v>739.58342991323718</v>
      </c>
      <c r="AQ9" s="220">
        <v>0</v>
      </c>
      <c r="AR9" s="221">
        <f t="shared" si="30"/>
        <v>0</v>
      </c>
      <c r="AS9" s="123">
        <f t="shared" ref="AS9:AS73" si="36">AO9-AQ9+200+AP9</f>
        <v>11505.061000102338</v>
      </c>
      <c r="AT9" s="222">
        <f t="shared" si="31"/>
        <v>805.35427000716368</v>
      </c>
      <c r="AU9" s="231">
        <f t="shared" si="34"/>
        <v>200</v>
      </c>
      <c r="AV9" s="33">
        <f>' 2018-2019'!H9+'2019-2020 New'!H9+'2020-2021 New'!H9+'2021-2022 (A) New'!I9+'2021-2022 (B)'!G9+AY9</f>
        <v>2300</v>
      </c>
      <c r="AW9" s="233">
        <v>2300</v>
      </c>
      <c r="AX9" s="33">
        <f t="shared" si="32"/>
        <v>0</v>
      </c>
      <c r="AY9" s="10">
        <v>0</v>
      </c>
    </row>
    <row r="10" spans="1:51">
      <c r="A10" s="10" t="s">
        <v>581</v>
      </c>
      <c r="B10" s="10" t="s">
        <v>112</v>
      </c>
      <c r="C10" s="80">
        <v>0</v>
      </c>
      <c r="D10" s="79">
        <f t="shared" si="3"/>
        <v>1600</v>
      </c>
      <c r="E10" s="79">
        <f>' 2018-2019'!I10+'2019-2020 New'!I10+'2020-2021 New'!I10+'2021-2022 (A) New'!J10</f>
        <v>2900</v>
      </c>
      <c r="F10" s="78">
        <f t="shared" si="4"/>
        <v>1600</v>
      </c>
      <c r="G10" s="159">
        <f t="shared" si="5"/>
        <v>0</v>
      </c>
      <c r="H10" s="78">
        <f t="shared" si="6"/>
        <v>1600</v>
      </c>
      <c r="I10" s="78">
        <f t="shared" si="7"/>
        <v>5551.4562310000001</v>
      </c>
      <c r="J10" s="78">
        <f t="shared" si="35"/>
        <v>0</v>
      </c>
      <c r="K10" s="78">
        <f t="shared" si="8"/>
        <v>0</v>
      </c>
      <c r="L10" s="78">
        <f t="shared" si="9"/>
        <v>1051.4562310000001</v>
      </c>
      <c r="M10" s="78">
        <f t="shared" si="33"/>
        <v>1051.4562310000001</v>
      </c>
      <c r="N10" s="78">
        <f t="shared" si="0"/>
        <v>-1051.4562310000001</v>
      </c>
      <c r="O10" s="165">
        <v>0</v>
      </c>
      <c r="P10" s="166">
        <f t="shared" si="10"/>
        <v>0</v>
      </c>
      <c r="Q10" s="119">
        <f t="shared" si="1"/>
        <v>3100</v>
      </c>
      <c r="R10" s="167">
        <f t="shared" si="11"/>
        <v>217.00000000000003</v>
      </c>
      <c r="S10" s="165">
        <v>0</v>
      </c>
      <c r="T10" s="166">
        <f t="shared" si="12"/>
        <v>0</v>
      </c>
      <c r="U10" s="33">
        <f t="shared" si="13"/>
        <v>3517</v>
      </c>
      <c r="V10" s="167">
        <f t="shared" si="14"/>
        <v>246.19000000000003</v>
      </c>
      <c r="W10" s="165">
        <v>0</v>
      </c>
      <c r="X10" s="166">
        <f t="shared" si="15"/>
        <v>0</v>
      </c>
      <c r="Y10" s="33">
        <f t="shared" si="16"/>
        <v>3963.19</v>
      </c>
      <c r="Z10" s="167">
        <f t="shared" si="17"/>
        <v>277.42330000000004</v>
      </c>
      <c r="AA10" s="165">
        <v>0</v>
      </c>
      <c r="AB10" s="166">
        <f t="shared" si="18"/>
        <v>0</v>
      </c>
      <c r="AC10" s="33">
        <f t="shared" si="19"/>
        <v>4440.6133000000009</v>
      </c>
      <c r="AD10" s="167">
        <f t="shared" si="20"/>
        <v>310.84293100000008</v>
      </c>
      <c r="AE10" s="220">
        <v>0</v>
      </c>
      <c r="AF10" s="221">
        <f t="shared" si="21"/>
        <v>0</v>
      </c>
      <c r="AG10" s="123">
        <f t="shared" si="22"/>
        <v>4951.456231000001</v>
      </c>
      <c r="AH10" s="222">
        <f t="shared" si="23"/>
        <v>346.6019361700001</v>
      </c>
      <c r="AI10" s="220">
        <v>0</v>
      </c>
      <c r="AJ10" s="221">
        <f t="shared" si="24"/>
        <v>0</v>
      </c>
      <c r="AK10" s="123">
        <f t="shared" si="25"/>
        <v>5498.0581671700011</v>
      </c>
      <c r="AL10" s="222">
        <f t="shared" si="26"/>
        <v>384.86407170190012</v>
      </c>
      <c r="AM10" s="220">
        <v>0</v>
      </c>
      <c r="AN10" s="221">
        <f t="shared" si="27"/>
        <v>0</v>
      </c>
      <c r="AO10" s="123">
        <f t="shared" si="28"/>
        <v>6082.9222388719008</v>
      </c>
      <c r="AP10" s="222">
        <f t="shared" si="29"/>
        <v>425.80455672103312</v>
      </c>
      <c r="AQ10" s="220">
        <v>0</v>
      </c>
      <c r="AR10" s="221">
        <f t="shared" si="30"/>
        <v>0</v>
      </c>
      <c r="AS10" s="123">
        <f t="shared" si="36"/>
        <v>6708.7267955929337</v>
      </c>
      <c r="AT10" s="222">
        <f t="shared" si="31"/>
        <v>469.61087569150538</v>
      </c>
      <c r="AU10" s="231">
        <f t="shared" si="34"/>
        <v>0</v>
      </c>
      <c r="AV10" s="33">
        <f>' 2018-2019'!H10+'2019-2020 New'!H10+'2020-2021 New'!H10+'2021-2022 (A) New'!I10+'2021-2022 (B)'!G10+AY10</f>
        <v>5100</v>
      </c>
      <c r="AW10" s="233">
        <v>5100</v>
      </c>
      <c r="AX10" s="33">
        <f t="shared" si="32"/>
        <v>0</v>
      </c>
      <c r="AY10" s="10">
        <v>0</v>
      </c>
    </row>
    <row r="11" spans="1:51">
      <c r="A11" s="10" t="s">
        <v>582</v>
      </c>
      <c r="B11" s="10" t="s">
        <v>138</v>
      </c>
      <c r="C11" s="80">
        <v>0</v>
      </c>
      <c r="D11" s="79">
        <f t="shared" si="3"/>
        <v>1600</v>
      </c>
      <c r="E11" s="79">
        <f>' 2018-2019'!I11+'2019-2020 New'!I11+'2020-2021 New'!I11+'2021-2022 (A) New'!J11</f>
        <v>6500</v>
      </c>
      <c r="F11" s="78">
        <f t="shared" si="4"/>
        <v>1600</v>
      </c>
      <c r="G11" s="159">
        <f t="shared" si="5"/>
        <v>500</v>
      </c>
      <c r="H11" s="78">
        <f t="shared" si="6"/>
        <v>1100</v>
      </c>
      <c r="I11" s="78">
        <f t="shared" si="7"/>
        <v>9727.4453620000004</v>
      </c>
      <c r="J11" s="78">
        <f t="shared" si="35"/>
        <v>5.5000000000000009</v>
      </c>
      <c r="K11" s="78">
        <f t="shared" si="8"/>
        <v>27.197500000000002</v>
      </c>
      <c r="L11" s="78">
        <f t="shared" si="9"/>
        <v>2127.4453620000004</v>
      </c>
      <c r="M11" s="78">
        <f t="shared" si="33"/>
        <v>2127.4453620000004</v>
      </c>
      <c r="N11" s="78">
        <f t="shared" si="0"/>
        <v>-1605.7478620000004</v>
      </c>
      <c r="O11" s="165">
        <v>500</v>
      </c>
      <c r="P11" s="166">
        <f t="shared" si="10"/>
        <v>5.5000000000000009</v>
      </c>
      <c r="Q11" s="119">
        <f t="shared" si="1"/>
        <v>6700</v>
      </c>
      <c r="R11" s="167">
        <f t="shared" si="11"/>
        <v>434.00000000000006</v>
      </c>
      <c r="S11" s="165">
        <v>0</v>
      </c>
      <c r="T11" s="166">
        <f t="shared" si="12"/>
        <v>0</v>
      </c>
      <c r="U11" s="33">
        <f t="shared" si="13"/>
        <v>7334</v>
      </c>
      <c r="V11" s="167">
        <f t="shared" si="14"/>
        <v>513.38</v>
      </c>
      <c r="W11" s="165">
        <v>0</v>
      </c>
      <c r="X11" s="166">
        <f t="shared" si="15"/>
        <v>0</v>
      </c>
      <c r="Y11" s="33">
        <f t="shared" si="16"/>
        <v>8047.38</v>
      </c>
      <c r="Z11" s="167">
        <f t="shared" si="17"/>
        <v>563.31660000000011</v>
      </c>
      <c r="AA11" s="165">
        <v>0</v>
      </c>
      <c r="AB11" s="166">
        <f t="shared" si="18"/>
        <v>0</v>
      </c>
      <c r="AC11" s="33">
        <f t="shared" si="19"/>
        <v>8810.6966000000011</v>
      </c>
      <c r="AD11" s="167">
        <f t="shared" si="20"/>
        <v>616.74876200000017</v>
      </c>
      <c r="AE11" s="220">
        <v>0</v>
      </c>
      <c r="AF11" s="221">
        <f t="shared" si="21"/>
        <v>0</v>
      </c>
      <c r="AG11" s="123">
        <f t="shared" si="22"/>
        <v>9627.4453620000022</v>
      </c>
      <c r="AH11" s="222">
        <f t="shared" si="23"/>
        <v>673.92117534000022</v>
      </c>
      <c r="AI11" s="220">
        <v>0</v>
      </c>
      <c r="AJ11" s="221">
        <f t="shared" si="24"/>
        <v>0</v>
      </c>
      <c r="AK11" s="123">
        <f t="shared" si="25"/>
        <v>10501.366537340002</v>
      </c>
      <c r="AL11" s="222">
        <f t="shared" si="26"/>
        <v>735.0956576138002</v>
      </c>
      <c r="AM11" s="220">
        <v>0</v>
      </c>
      <c r="AN11" s="221">
        <f t="shared" si="27"/>
        <v>0</v>
      </c>
      <c r="AO11" s="123">
        <f t="shared" si="28"/>
        <v>11436.462194953801</v>
      </c>
      <c r="AP11" s="222">
        <f t="shared" si="29"/>
        <v>800.55235364676616</v>
      </c>
      <c r="AQ11" s="220">
        <v>0</v>
      </c>
      <c r="AR11" s="221">
        <f t="shared" si="30"/>
        <v>0</v>
      </c>
      <c r="AS11" s="123">
        <f t="shared" si="36"/>
        <v>12437.014548600568</v>
      </c>
      <c r="AT11" s="222">
        <f t="shared" si="31"/>
        <v>870.59101840203982</v>
      </c>
      <c r="AU11" s="231">
        <f t="shared" si="34"/>
        <v>500</v>
      </c>
      <c r="AV11" s="33">
        <f>' 2018-2019'!H11+'2019-2020 New'!H11+'2020-2021 New'!H11+'2021-2022 (A) New'!I11+'2021-2022 (B)'!G11+AY11</f>
        <v>2600</v>
      </c>
      <c r="AW11" s="233">
        <v>2600</v>
      </c>
      <c r="AX11" s="33">
        <f t="shared" si="32"/>
        <v>0</v>
      </c>
      <c r="AY11" s="10">
        <v>600</v>
      </c>
    </row>
    <row r="12" spans="1:51">
      <c r="A12" s="10" t="s">
        <v>583</v>
      </c>
      <c r="B12" s="10" t="s">
        <v>113</v>
      </c>
      <c r="C12" s="80">
        <v>0</v>
      </c>
      <c r="D12" s="79">
        <f t="shared" si="3"/>
        <v>1600</v>
      </c>
      <c r="E12" s="79">
        <f>' 2018-2019'!I12+'2019-2020 New'!I12+'2020-2021 New'!I12+'2021-2022 (A) New'!J12</f>
        <v>1750</v>
      </c>
      <c r="F12" s="78">
        <f t="shared" si="4"/>
        <v>1600</v>
      </c>
      <c r="G12" s="159">
        <f t="shared" si="5"/>
        <v>0</v>
      </c>
      <c r="H12" s="78">
        <f t="shared" si="6"/>
        <v>1600</v>
      </c>
      <c r="I12" s="78">
        <f t="shared" si="7"/>
        <v>4044.0408195</v>
      </c>
      <c r="J12" s="78">
        <f t="shared" si="35"/>
        <v>0</v>
      </c>
      <c r="K12" s="78">
        <f t="shared" si="8"/>
        <v>0</v>
      </c>
      <c r="L12" s="78">
        <f t="shared" si="9"/>
        <v>694.0408195</v>
      </c>
      <c r="M12" s="78">
        <f t="shared" si="33"/>
        <v>694.0408195</v>
      </c>
      <c r="N12" s="78">
        <f t="shared" si="0"/>
        <v>-694.0408195</v>
      </c>
      <c r="O12" s="165">
        <v>0</v>
      </c>
      <c r="P12" s="166">
        <f t="shared" si="10"/>
        <v>0</v>
      </c>
      <c r="Q12" s="119">
        <f t="shared" si="1"/>
        <v>1950</v>
      </c>
      <c r="R12" s="167">
        <f t="shared" si="11"/>
        <v>136.5</v>
      </c>
      <c r="S12" s="165">
        <v>0</v>
      </c>
      <c r="T12" s="166">
        <f t="shared" si="12"/>
        <v>0</v>
      </c>
      <c r="U12" s="33">
        <f t="shared" si="13"/>
        <v>2286.5</v>
      </c>
      <c r="V12" s="167">
        <f t="shared" si="14"/>
        <v>160.05500000000001</v>
      </c>
      <c r="W12" s="165">
        <v>0</v>
      </c>
      <c r="X12" s="166">
        <f t="shared" si="15"/>
        <v>0</v>
      </c>
      <c r="Y12" s="33">
        <f t="shared" si="16"/>
        <v>2646.5549999999998</v>
      </c>
      <c r="Z12" s="167">
        <f t="shared" si="17"/>
        <v>185.25885</v>
      </c>
      <c r="AA12" s="165">
        <v>0</v>
      </c>
      <c r="AB12" s="166">
        <f t="shared" si="18"/>
        <v>0</v>
      </c>
      <c r="AC12" s="33">
        <f t="shared" si="19"/>
        <v>3031.81385</v>
      </c>
      <c r="AD12" s="167">
        <f t="shared" si="20"/>
        <v>212.22696950000002</v>
      </c>
      <c r="AE12" s="220">
        <v>0</v>
      </c>
      <c r="AF12" s="221">
        <f t="shared" si="21"/>
        <v>0</v>
      </c>
      <c r="AG12" s="123">
        <f t="shared" si="22"/>
        <v>3444.0408195</v>
      </c>
      <c r="AH12" s="222">
        <f t="shared" si="23"/>
        <v>241.08285736500002</v>
      </c>
      <c r="AI12" s="220">
        <v>0</v>
      </c>
      <c r="AJ12" s="221">
        <f t="shared" si="24"/>
        <v>0</v>
      </c>
      <c r="AK12" s="123">
        <f t="shared" si="25"/>
        <v>3885.1236768650001</v>
      </c>
      <c r="AL12" s="222">
        <f t="shared" si="26"/>
        <v>271.95865738055005</v>
      </c>
      <c r="AM12" s="220">
        <v>0</v>
      </c>
      <c r="AN12" s="221">
        <f t="shared" si="27"/>
        <v>0</v>
      </c>
      <c r="AO12" s="123">
        <f t="shared" si="28"/>
        <v>4357.0823342455506</v>
      </c>
      <c r="AP12" s="222">
        <f t="shared" si="29"/>
        <v>304.99576339718857</v>
      </c>
      <c r="AQ12" s="220">
        <v>0</v>
      </c>
      <c r="AR12" s="221">
        <f t="shared" si="30"/>
        <v>0</v>
      </c>
      <c r="AS12" s="123">
        <f t="shared" si="36"/>
        <v>4862.0780976427395</v>
      </c>
      <c r="AT12" s="222">
        <f t="shared" si="31"/>
        <v>340.34546683499178</v>
      </c>
      <c r="AU12" s="231">
        <f t="shared" si="34"/>
        <v>0</v>
      </c>
      <c r="AV12" s="33">
        <f>' 2018-2019'!H12+'2019-2020 New'!H12+'2020-2021 New'!H12+'2021-2022 (A) New'!I12+'2021-2022 (B)'!G12+AY12</f>
        <v>6350</v>
      </c>
      <c r="AW12" s="233">
        <v>6350</v>
      </c>
      <c r="AX12" s="33">
        <f t="shared" si="32"/>
        <v>0</v>
      </c>
      <c r="AY12" s="10">
        <v>0</v>
      </c>
    </row>
    <row r="13" spans="1:51">
      <c r="A13" s="10" t="s">
        <v>584</v>
      </c>
      <c r="B13" s="10" t="s">
        <v>114</v>
      </c>
      <c r="C13" s="80">
        <v>0</v>
      </c>
      <c r="D13" s="79">
        <f t="shared" si="3"/>
        <v>1600</v>
      </c>
      <c r="E13" s="79">
        <f>' 2018-2019'!I13+'2019-2020 New'!I13+'2020-2021 New'!I13+'2021-2022 (A) New'!J13</f>
        <v>150</v>
      </c>
      <c r="F13" s="78">
        <f t="shared" si="4"/>
        <v>1600</v>
      </c>
      <c r="G13" s="159">
        <f t="shared" si="5"/>
        <v>1300</v>
      </c>
      <c r="H13" s="78">
        <f t="shared" si="6"/>
        <v>300</v>
      </c>
      <c r="I13" s="78">
        <f t="shared" si="7"/>
        <v>502.84720349999998</v>
      </c>
      <c r="J13" s="78">
        <f t="shared" si="35"/>
        <v>8.8000000000000007</v>
      </c>
      <c r="K13" s="78">
        <f t="shared" si="8"/>
        <v>71.016000000000005</v>
      </c>
      <c r="L13" s="78">
        <f t="shared" si="9"/>
        <v>52.847203500000006</v>
      </c>
      <c r="M13" s="78">
        <f t="shared" si="33"/>
        <v>52.847203500000006</v>
      </c>
      <c r="N13" s="78">
        <f t="shared" si="0"/>
        <v>1309.3687965000001</v>
      </c>
      <c r="O13" s="165">
        <v>0</v>
      </c>
      <c r="P13" s="166">
        <f t="shared" si="10"/>
        <v>0</v>
      </c>
      <c r="Q13" s="119">
        <f t="shared" si="1"/>
        <v>350</v>
      </c>
      <c r="R13" s="167">
        <f t="shared" si="11"/>
        <v>24.500000000000004</v>
      </c>
      <c r="S13" s="165">
        <v>0</v>
      </c>
      <c r="T13" s="166">
        <f t="shared" si="12"/>
        <v>0</v>
      </c>
      <c r="U13" s="33">
        <f t="shared" si="13"/>
        <v>574.5</v>
      </c>
      <c r="V13" s="167">
        <f t="shared" si="14"/>
        <v>40.215000000000003</v>
      </c>
      <c r="W13" s="165">
        <v>400</v>
      </c>
      <c r="X13" s="166">
        <f t="shared" si="15"/>
        <v>4.4000000000000004</v>
      </c>
      <c r="Y13" s="33">
        <f t="shared" si="16"/>
        <v>414.71500000000003</v>
      </c>
      <c r="Z13" s="167">
        <f t="shared" si="17"/>
        <v>1.0300500000000024</v>
      </c>
      <c r="AA13" s="165">
        <v>400</v>
      </c>
      <c r="AB13" s="166">
        <f t="shared" si="18"/>
        <v>4.4000000000000004</v>
      </c>
      <c r="AC13" s="33">
        <f t="shared" si="19"/>
        <v>215.74505000000002</v>
      </c>
      <c r="AD13" s="167">
        <f t="shared" si="20"/>
        <v>-12.8978465</v>
      </c>
      <c r="AE13" s="220">
        <v>200</v>
      </c>
      <c r="AF13" s="221">
        <f t="shared" si="21"/>
        <v>2.2000000000000002</v>
      </c>
      <c r="AG13" s="123">
        <f t="shared" si="22"/>
        <v>202.84720350000003</v>
      </c>
      <c r="AH13" s="222">
        <f t="shared" si="23"/>
        <v>0.19930424500000243</v>
      </c>
      <c r="AI13" s="220">
        <v>0</v>
      </c>
      <c r="AJ13" s="221">
        <f t="shared" si="24"/>
        <v>0</v>
      </c>
      <c r="AK13" s="123">
        <f t="shared" si="25"/>
        <v>403.04650774500004</v>
      </c>
      <c r="AL13" s="222">
        <f t="shared" si="26"/>
        <v>28.213255542150005</v>
      </c>
      <c r="AM13" s="220">
        <v>0</v>
      </c>
      <c r="AN13" s="221">
        <f t="shared" si="27"/>
        <v>0</v>
      </c>
      <c r="AO13" s="123">
        <f t="shared" si="28"/>
        <v>631.25976328715012</v>
      </c>
      <c r="AP13" s="222">
        <f t="shared" si="29"/>
        <v>44.188183430100516</v>
      </c>
      <c r="AQ13" s="220">
        <v>300</v>
      </c>
      <c r="AR13" s="221">
        <f t="shared" si="30"/>
        <v>0</v>
      </c>
      <c r="AS13" s="123">
        <f t="shared" si="36"/>
        <v>575.4479467172506</v>
      </c>
      <c r="AT13" s="222">
        <f t="shared" si="31"/>
        <v>19.281356270207542</v>
      </c>
      <c r="AU13" s="231">
        <f t="shared" si="34"/>
        <v>1300</v>
      </c>
      <c r="AV13" s="33">
        <f>' 2018-2019'!H13+'2019-2020 New'!H13+'2020-2021 New'!H13+'2021-2022 (A) New'!I13+'2021-2022 (B)'!G13+AY13</f>
        <v>9150</v>
      </c>
      <c r="AW13" s="233">
        <v>9150</v>
      </c>
      <c r="AX13" s="33">
        <f t="shared" si="32"/>
        <v>0</v>
      </c>
      <c r="AY13" s="10">
        <v>0</v>
      </c>
    </row>
    <row r="14" spans="1:51">
      <c r="A14" s="10" t="s">
        <v>585</v>
      </c>
      <c r="B14" s="10" t="s">
        <v>115</v>
      </c>
      <c r="C14" s="80">
        <v>0</v>
      </c>
      <c r="D14" s="79">
        <f t="shared" si="3"/>
        <v>1600</v>
      </c>
      <c r="E14" s="79">
        <f>' 2018-2019'!I14+'2019-2020 New'!I14+'2020-2021 New'!I14+'2021-2022 (A) New'!J14</f>
        <v>1300</v>
      </c>
      <c r="F14" s="78">
        <f t="shared" si="4"/>
        <v>1600</v>
      </c>
      <c r="G14" s="159">
        <f t="shared" si="5"/>
        <v>0</v>
      </c>
      <c r="H14" s="78">
        <f t="shared" si="6"/>
        <v>1600</v>
      </c>
      <c r="I14" s="78">
        <f t="shared" si="7"/>
        <v>3454.1826150000002</v>
      </c>
      <c r="J14" s="78">
        <f t="shared" si="35"/>
        <v>0</v>
      </c>
      <c r="K14" s="78">
        <f t="shared" si="8"/>
        <v>0</v>
      </c>
      <c r="L14" s="78">
        <f t="shared" si="9"/>
        <v>554.18261500000006</v>
      </c>
      <c r="M14" s="78">
        <f t="shared" si="33"/>
        <v>554.18261500000006</v>
      </c>
      <c r="N14" s="78">
        <f t="shared" si="0"/>
        <v>-554.18261500000006</v>
      </c>
      <c r="O14" s="165">
        <v>0</v>
      </c>
      <c r="P14" s="166">
        <f t="shared" si="10"/>
        <v>0</v>
      </c>
      <c r="Q14" s="119">
        <f t="shared" si="1"/>
        <v>1500</v>
      </c>
      <c r="R14" s="167">
        <f t="shared" si="11"/>
        <v>105.00000000000001</v>
      </c>
      <c r="S14" s="165">
        <v>0</v>
      </c>
      <c r="T14" s="166">
        <f t="shared" si="12"/>
        <v>0</v>
      </c>
      <c r="U14" s="33">
        <f t="shared" si="13"/>
        <v>1805</v>
      </c>
      <c r="V14" s="167">
        <f t="shared" si="14"/>
        <v>126.35000000000001</v>
      </c>
      <c r="W14" s="165">
        <v>0</v>
      </c>
      <c r="X14" s="166">
        <f t="shared" si="15"/>
        <v>0</v>
      </c>
      <c r="Y14" s="33">
        <f t="shared" si="16"/>
        <v>2131.35</v>
      </c>
      <c r="Z14" s="167">
        <f t="shared" si="17"/>
        <v>149.19450000000001</v>
      </c>
      <c r="AA14" s="165">
        <v>0</v>
      </c>
      <c r="AB14" s="166">
        <f t="shared" si="18"/>
        <v>0</v>
      </c>
      <c r="AC14" s="33">
        <f t="shared" si="19"/>
        <v>2480.5445</v>
      </c>
      <c r="AD14" s="167">
        <f t="shared" si="20"/>
        <v>173.63811500000003</v>
      </c>
      <c r="AE14" s="220">
        <v>0</v>
      </c>
      <c r="AF14" s="221">
        <f t="shared" si="21"/>
        <v>0</v>
      </c>
      <c r="AG14" s="123">
        <f t="shared" si="22"/>
        <v>2854.1826150000002</v>
      </c>
      <c r="AH14" s="222">
        <f t="shared" si="23"/>
        <v>199.79278305000003</v>
      </c>
      <c r="AI14" s="220">
        <v>0</v>
      </c>
      <c r="AJ14" s="221">
        <f t="shared" si="24"/>
        <v>0</v>
      </c>
      <c r="AK14" s="123">
        <f t="shared" si="25"/>
        <v>3253.97539805</v>
      </c>
      <c r="AL14" s="222">
        <f t="shared" si="26"/>
        <v>227.77827786350002</v>
      </c>
      <c r="AM14" s="220">
        <v>0</v>
      </c>
      <c r="AN14" s="221">
        <f t="shared" si="27"/>
        <v>0</v>
      </c>
      <c r="AO14" s="123">
        <f t="shared" si="28"/>
        <v>3681.7536759135</v>
      </c>
      <c r="AP14" s="222">
        <f t="shared" si="29"/>
        <v>257.72275731394501</v>
      </c>
      <c r="AQ14" s="220">
        <v>0</v>
      </c>
      <c r="AR14" s="221">
        <f t="shared" si="30"/>
        <v>0</v>
      </c>
      <c r="AS14" s="123">
        <f t="shared" si="36"/>
        <v>4139.4764332274453</v>
      </c>
      <c r="AT14" s="222">
        <f t="shared" si="31"/>
        <v>289.76335032592118</v>
      </c>
      <c r="AU14" s="231">
        <f t="shared" si="34"/>
        <v>0</v>
      </c>
      <c r="AV14" s="33">
        <f>' 2018-2019'!H14+'2019-2020 New'!H14+'2020-2021 New'!H14+'2021-2022 (A) New'!I14+'2021-2022 (B)'!G14+AY14</f>
        <v>6700</v>
      </c>
      <c r="AW14" s="233">
        <v>6700</v>
      </c>
      <c r="AX14" s="33">
        <f t="shared" si="32"/>
        <v>0</v>
      </c>
      <c r="AY14" s="10">
        <v>0</v>
      </c>
    </row>
    <row r="15" spans="1:51">
      <c r="A15" s="10" t="s">
        <v>586</v>
      </c>
      <c r="B15" s="10" t="s">
        <v>116</v>
      </c>
      <c r="C15" s="80">
        <v>0</v>
      </c>
      <c r="D15" s="79">
        <f t="shared" si="3"/>
        <v>1600</v>
      </c>
      <c r="E15" s="79">
        <f>' 2018-2019'!I15+'2019-2020 New'!I15+'2020-2021 New'!I15+'2021-2022 (A) New'!J15</f>
        <v>7900</v>
      </c>
      <c r="F15" s="78">
        <f t="shared" si="4"/>
        <v>1600</v>
      </c>
      <c r="G15" s="159">
        <f t="shared" si="5"/>
        <v>1200</v>
      </c>
      <c r="H15" s="78">
        <f t="shared" si="6"/>
        <v>400</v>
      </c>
      <c r="I15" s="78">
        <f t="shared" si="7"/>
        <v>10905.436281</v>
      </c>
      <c r="J15" s="78">
        <f t="shared" si="35"/>
        <v>0</v>
      </c>
      <c r="K15" s="78">
        <f t="shared" si="8"/>
        <v>66</v>
      </c>
      <c r="L15" s="78">
        <f t="shared" si="9"/>
        <v>2605.4362810000002</v>
      </c>
      <c r="M15" s="78">
        <f t="shared" si="33"/>
        <v>2605.4362810000002</v>
      </c>
      <c r="N15" s="78">
        <f t="shared" si="0"/>
        <v>-1339.4362810000002</v>
      </c>
      <c r="O15" s="165">
        <v>0</v>
      </c>
      <c r="P15" s="166">
        <f t="shared" si="10"/>
        <v>0</v>
      </c>
      <c r="Q15" s="119">
        <f t="shared" si="1"/>
        <v>8100</v>
      </c>
      <c r="R15" s="167">
        <f t="shared" si="11"/>
        <v>567</v>
      </c>
      <c r="S15" s="165">
        <v>0</v>
      </c>
      <c r="T15" s="166">
        <f t="shared" si="12"/>
        <v>0</v>
      </c>
      <c r="U15" s="33">
        <f t="shared" si="13"/>
        <v>8867</v>
      </c>
      <c r="V15" s="167">
        <f t="shared" si="14"/>
        <v>620.69000000000005</v>
      </c>
      <c r="W15" s="165">
        <v>0</v>
      </c>
      <c r="X15" s="166">
        <f t="shared" si="15"/>
        <v>0</v>
      </c>
      <c r="Y15" s="33">
        <f t="shared" si="16"/>
        <v>9687.69</v>
      </c>
      <c r="Z15" s="167">
        <f t="shared" si="17"/>
        <v>678.13830000000007</v>
      </c>
      <c r="AA15" s="165">
        <v>0</v>
      </c>
      <c r="AB15" s="166">
        <f t="shared" si="18"/>
        <v>0</v>
      </c>
      <c r="AC15" s="33">
        <f t="shared" si="19"/>
        <v>10565.828300000001</v>
      </c>
      <c r="AD15" s="167">
        <f t="shared" si="20"/>
        <v>739.60798100000011</v>
      </c>
      <c r="AE15" s="220">
        <v>0</v>
      </c>
      <c r="AF15" s="221">
        <f t="shared" si="21"/>
        <v>0</v>
      </c>
      <c r="AG15" s="123">
        <f t="shared" si="22"/>
        <v>11505.436281000002</v>
      </c>
      <c r="AH15" s="222">
        <f t="shared" si="23"/>
        <v>805.38053967000019</v>
      </c>
      <c r="AI15" s="220">
        <f>200+600</f>
        <v>800</v>
      </c>
      <c r="AJ15" s="221">
        <f t="shared" si="24"/>
        <v>0</v>
      </c>
      <c r="AK15" s="123">
        <f t="shared" si="25"/>
        <v>11710.816820670003</v>
      </c>
      <c r="AL15" s="222">
        <f t="shared" si="26"/>
        <v>763.7571774469003</v>
      </c>
      <c r="AM15" s="220">
        <v>400</v>
      </c>
      <c r="AN15" s="221">
        <f t="shared" si="27"/>
        <v>0</v>
      </c>
      <c r="AO15" s="123">
        <f t="shared" si="28"/>
        <v>12274.573998116903</v>
      </c>
      <c r="AP15" s="222">
        <f t="shared" si="29"/>
        <v>831.22017986818321</v>
      </c>
      <c r="AQ15" s="220">
        <v>0</v>
      </c>
      <c r="AR15" s="221">
        <f t="shared" si="30"/>
        <v>0</v>
      </c>
      <c r="AS15" s="123">
        <f t="shared" si="36"/>
        <v>13305.794177985086</v>
      </c>
      <c r="AT15" s="222">
        <f t="shared" si="31"/>
        <v>931.40559245895611</v>
      </c>
      <c r="AU15" s="231">
        <f t="shared" si="34"/>
        <v>1200</v>
      </c>
      <c r="AV15" s="33">
        <f>' 2018-2019'!H15+'2019-2020 New'!H15+'2020-2021 New'!H15+'2021-2022 (A) New'!I15+'2021-2022 (B)'!G15+AY15</f>
        <v>1300</v>
      </c>
      <c r="AW15" s="233">
        <v>1300</v>
      </c>
      <c r="AX15" s="33">
        <f t="shared" si="32"/>
        <v>0</v>
      </c>
      <c r="AY15" s="10">
        <v>0</v>
      </c>
    </row>
    <row r="16" spans="1:51">
      <c r="A16" s="10" t="s">
        <v>587</v>
      </c>
      <c r="B16" s="10"/>
      <c r="C16" s="80">
        <v>0</v>
      </c>
      <c r="D16" s="79">
        <f t="shared" si="3"/>
        <v>1600</v>
      </c>
      <c r="E16" s="79">
        <f>' 2018-2019'!I16+'2019-2020 New'!I16+'2020-2021 New'!I16+'2021-2022 (A) New'!J16</f>
        <v>5900</v>
      </c>
      <c r="F16" s="78">
        <f t="shared" si="4"/>
        <v>1600</v>
      </c>
      <c r="G16" s="159">
        <f t="shared" si="5"/>
        <v>0</v>
      </c>
      <c r="H16" s="78">
        <f t="shared" si="6"/>
        <v>1600</v>
      </c>
      <c r="I16" s="78">
        <f t="shared" si="7"/>
        <v>9483.8442610000002</v>
      </c>
      <c r="J16" s="78">
        <f t="shared" si="35"/>
        <v>0</v>
      </c>
      <c r="K16" s="78">
        <f t="shared" si="8"/>
        <v>0</v>
      </c>
      <c r="L16" s="78">
        <f t="shared" si="9"/>
        <v>1983.8442610000004</v>
      </c>
      <c r="M16" s="78">
        <f t="shared" si="33"/>
        <v>1983.8442610000004</v>
      </c>
      <c r="N16" s="78">
        <f t="shared" si="0"/>
        <v>-1983.8442610000004</v>
      </c>
      <c r="O16" s="165">
        <v>0</v>
      </c>
      <c r="P16" s="166">
        <f t="shared" si="10"/>
        <v>0</v>
      </c>
      <c r="Q16" s="119">
        <f t="shared" si="1"/>
        <v>6100</v>
      </c>
      <c r="R16" s="167">
        <f t="shared" si="11"/>
        <v>427.00000000000006</v>
      </c>
      <c r="S16" s="165">
        <v>0</v>
      </c>
      <c r="T16" s="166">
        <f t="shared" si="12"/>
        <v>0</v>
      </c>
      <c r="U16" s="33">
        <f t="shared" si="13"/>
        <v>6727</v>
      </c>
      <c r="V16" s="167">
        <f t="shared" si="14"/>
        <v>470.89000000000004</v>
      </c>
      <c r="W16" s="165">
        <v>0</v>
      </c>
      <c r="X16" s="166">
        <f t="shared" si="15"/>
        <v>0</v>
      </c>
      <c r="Y16" s="33">
        <f t="shared" si="16"/>
        <v>7397.89</v>
      </c>
      <c r="Z16" s="167">
        <f t="shared" si="17"/>
        <v>517.85230000000013</v>
      </c>
      <c r="AA16" s="165">
        <v>0</v>
      </c>
      <c r="AB16" s="166">
        <f t="shared" si="18"/>
        <v>0</v>
      </c>
      <c r="AC16" s="33">
        <f t="shared" si="19"/>
        <v>8115.7423000000008</v>
      </c>
      <c r="AD16" s="167">
        <f t="shared" si="20"/>
        <v>568.10196100000007</v>
      </c>
      <c r="AE16" s="220">
        <v>0</v>
      </c>
      <c r="AF16" s="221">
        <f t="shared" si="21"/>
        <v>0</v>
      </c>
      <c r="AG16" s="123">
        <f t="shared" si="22"/>
        <v>8883.844261000002</v>
      </c>
      <c r="AH16" s="222">
        <f t="shared" si="23"/>
        <v>621.86909827000022</v>
      </c>
      <c r="AI16" s="220">
        <v>0</v>
      </c>
      <c r="AJ16" s="221">
        <f t="shared" si="24"/>
        <v>0</v>
      </c>
      <c r="AK16" s="123">
        <f t="shared" si="25"/>
        <v>9705.7133592700029</v>
      </c>
      <c r="AL16" s="222">
        <f t="shared" si="26"/>
        <v>679.39993514890023</v>
      </c>
      <c r="AM16" s="220">
        <v>0</v>
      </c>
      <c r="AN16" s="221">
        <f t="shared" si="27"/>
        <v>0</v>
      </c>
      <c r="AO16" s="123">
        <f t="shared" si="28"/>
        <v>10585.113294418903</v>
      </c>
      <c r="AP16" s="222">
        <f t="shared" si="29"/>
        <v>740.95793060932328</v>
      </c>
      <c r="AQ16" s="220">
        <v>0</v>
      </c>
      <c r="AR16" s="221">
        <f t="shared" si="30"/>
        <v>0</v>
      </c>
      <c r="AS16" s="123">
        <f t="shared" si="36"/>
        <v>11526.071225028227</v>
      </c>
      <c r="AT16" s="222">
        <f t="shared" si="31"/>
        <v>806.82498575197599</v>
      </c>
      <c r="AU16" s="231">
        <f t="shared" si="34"/>
        <v>0</v>
      </c>
      <c r="AV16" s="33">
        <f>' 2018-2019'!H16+'2019-2020 New'!H16+'2020-2021 New'!H16+'2021-2022 (A) New'!I16+'2021-2022 (B)'!G16+AY16</f>
        <v>2100</v>
      </c>
      <c r="AW16" s="233" t="s">
        <v>484</v>
      </c>
      <c r="AX16" s="33">
        <v>0</v>
      </c>
      <c r="AY16" s="10">
        <v>0</v>
      </c>
    </row>
    <row r="17" spans="1:53">
      <c r="A17" s="10" t="s">
        <v>588</v>
      </c>
      <c r="B17" s="10" t="s">
        <v>115</v>
      </c>
      <c r="C17" s="80">
        <v>0</v>
      </c>
      <c r="D17" s="79">
        <f t="shared" si="3"/>
        <v>1600</v>
      </c>
      <c r="E17" s="79">
        <f>' 2018-2019'!I17+'2019-2020 New'!I17+'2020-2021 New'!I17+'2021-2022 (A) New'!J17</f>
        <v>6700</v>
      </c>
      <c r="F17" s="78">
        <f t="shared" si="4"/>
        <v>1600</v>
      </c>
      <c r="G17" s="159">
        <f t="shared" si="5"/>
        <v>0</v>
      </c>
      <c r="H17" s="78">
        <f t="shared" si="6"/>
        <v>1600</v>
      </c>
      <c r="I17" s="78">
        <f t="shared" si="7"/>
        <v>10532.481069000001</v>
      </c>
      <c r="J17" s="78">
        <f t="shared" si="35"/>
        <v>0</v>
      </c>
      <c r="K17" s="78">
        <f t="shared" si="8"/>
        <v>0</v>
      </c>
      <c r="L17" s="78">
        <f t="shared" si="9"/>
        <v>2232.4810690000004</v>
      </c>
      <c r="M17" s="78">
        <f t="shared" si="33"/>
        <v>2232.4810690000004</v>
      </c>
      <c r="N17" s="78">
        <f t="shared" si="0"/>
        <v>-2232.4810690000004</v>
      </c>
      <c r="O17" s="165">
        <v>0</v>
      </c>
      <c r="P17" s="166">
        <f t="shared" si="10"/>
        <v>0</v>
      </c>
      <c r="Q17" s="119">
        <f t="shared" si="1"/>
        <v>6900</v>
      </c>
      <c r="R17" s="167">
        <f t="shared" si="11"/>
        <v>483.00000000000006</v>
      </c>
      <c r="S17" s="165">
        <v>0</v>
      </c>
      <c r="T17" s="166">
        <f t="shared" si="12"/>
        <v>0</v>
      </c>
      <c r="U17" s="33">
        <f t="shared" si="13"/>
        <v>7583</v>
      </c>
      <c r="V17" s="167">
        <f t="shared" si="14"/>
        <v>530.81000000000006</v>
      </c>
      <c r="W17" s="165">
        <v>0</v>
      </c>
      <c r="X17" s="166">
        <f t="shared" si="15"/>
        <v>0</v>
      </c>
      <c r="Y17" s="33">
        <f t="shared" si="16"/>
        <v>8313.81</v>
      </c>
      <c r="Z17" s="167">
        <f t="shared" si="17"/>
        <v>581.96670000000006</v>
      </c>
      <c r="AA17" s="165">
        <v>0</v>
      </c>
      <c r="AB17" s="166">
        <f t="shared" si="18"/>
        <v>0</v>
      </c>
      <c r="AC17" s="33">
        <f t="shared" si="19"/>
        <v>9095.7767000000003</v>
      </c>
      <c r="AD17" s="167">
        <f t="shared" si="20"/>
        <v>636.70436900000004</v>
      </c>
      <c r="AE17" s="220">
        <v>0</v>
      </c>
      <c r="AF17" s="221">
        <f t="shared" si="21"/>
        <v>0</v>
      </c>
      <c r="AG17" s="123">
        <f t="shared" si="22"/>
        <v>9932.4810690000013</v>
      </c>
      <c r="AH17" s="222">
        <f t="shared" si="23"/>
        <v>695.27367483000012</v>
      </c>
      <c r="AI17" s="220">
        <v>0</v>
      </c>
      <c r="AJ17" s="221">
        <f t="shared" si="24"/>
        <v>0</v>
      </c>
      <c r="AK17" s="123">
        <f t="shared" si="25"/>
        <v>10827.754743830001</v>
      </c>
      <c r="AL17" s="222">
        <f t="shared" si="26"/>
        <v>757.94283206810007</v>
      </c>
      <c r="AM17" s="220">
        <v>0</v>
      </c>
      <c r="AN17" s="221">
        <f t="shared" si="27"/>
        <v>0</v>
      </c>
      <c r="AO17" s="123">
        <f t="shared" si="28"/>
        <v>11785.697575898101</v>
      </c>
      <c r="AP17" s="222">
        <f t="shared" si="29"/>
        <v>824.99883031286709</v>
      </c>
      <c r="AQ17" s="220">
        <v>0</v>
      </c>
      <c r="AR17" s="221">
        <f t="shared" si="30"/>
        <v>0</v>
      </c>
      <c r="AS17" s="123">
        <f t="shared" si="36"/>
        <v>12810.696406210967</v>
      </c>
      <c r="AT17" s="222">
        <f t="shared" si="31"/>
        <v>896.74874843476778</v>
      </c>
      <c r="AU17" s="231">
        <f t="shared" si="34"/>
        <v>0</v>
      </c>
      <c r="AV17" s="33">
        <f>' 2018-2019'!H17+'2019-2020 New'!H17+'2020-2021 New'!H17+'2021-2022 (A) New'!I17+'2021-2022 (B)'!G17+AY17</f>
        <v>1300</v>
      </c>
      <c r="AW17" s="233">
        <v>1300</v>
      </c>
      <c r="AX17" s="33">
        <f t="shared" si="32"/>
        <v>0</v>
      </c>
      <c r="AY17" s="10">
        <v>0</v>
      </c>
    </row>
    <row r="18" spans="1:53">
      <c r="A18" s="10" t="s">
        <v>589</v>
      </c>
      <c r="B18" s="10" t="s">
        <v>139</v>
      </c>
      <c r="C18" s="80">
        <v>0</v>
      </c>
      <c r="D18" s="79">
        <f t="shared" si="3"/>
        <v>1600</v>
      </c>
      <c r="E18" s="79">
        <f>' 2018-2019'!I18+'2019-2020 New'!I18+'2020-2021 New'!I18+'2021-2022 (A) New'!J18</f>
        <v>-3200</v>
      </c>
      <c r="F18" s="78">
        <f t="shared" si="4"/>
        <v>1600</v>
      </c>
      <c r="G18" s="159">
        <f t="shared" si="5"/>
        <v>2500</v>
      </c>
      <c r="H18" s="78">
        <f t="shared" si="6"/>
        <v>-900</v>
      </c>
      <c r="I18" s="78">
        <f t="shared" si="7"/>
        <v>-4944.3994300000004</v>
      </c>
      <c r="J18" s="78">
        <f t="shared" si="35"/>
        <v>0</v>
      </c>
      <c r="K18" s="78">
        <f t="shared" si="8"/>
        <v>137.5</v>
      </c>
      <c r="L18" s="78">
        <f t="shared" si="9"/>
        <v>-844.39943000000017</v>
      </c>
      <c r="M18" s="78">
        <f t="shared" si="33"/>
        <v>-844.39943000000017</v>
      </c>
      <c r="N18" s="78">
        <f t="shared" si="0"/>
        <v>3481.8994300000004</v>
      </c>
      <c r="O18" s="165">
        <v>0</v>
      </c>
      <c r="P18" s="166">
        <f t="shared" si="10"/>
        <v>0</v>
      </c>
      <c r="Q18" s="119">
        <f t="shared" si="1"/>
        <v>-3000</v>
      </c>
      <c r="R18" s="167">
        <f t="shared" si="11"/>
        <v>-210.00000000000003</v>
      </c>
      <c r="S18" s="165">
        <v>0</v>
      </c>
      <c r="T18" s="166">
        <f t="shared" si="12"/>
        <v>0</v>
      </c>
      <c r="U18" s="33">
        <f t="shared" si="13"/>
        <v>-3010</v>
      </c>
      <c r="V18" s="167">
        <f t="shared" si="14"/>
        <v>-210.70000000000002</v>
      </c>
      <c r="W18" s="165">
        <v>0</v>
      </c>
      <c r="X18" s="166">
        <f t="shared" si="15"/>
        <v>0</v>
      </c>
      <c r="Y18" s="33">
        <f t="shared" si="16"/>
        <v>-3020.7</v>
      </c>
      <c r="Z18" s="167">
        <f t="shared" si="17"/>
        <v>-211.44900000000001</v>
      </c>
      <c r="AA18" s="165">
        <v>0</v>
      </c>
      <c r="AB18" s="166">
        <f t="shared" si="18"/>
        <v>0</v>
      </c>
      <c r="AC18" s="33">
        <f t="shared" si="19"/>
        <v>-3032.1489999999999</v>
      </c>
      <c r="AD18" s="167">
        <f t="shared" si="20"/>
        <v>-212.25043000000002</v>
      </c>
      <c r="AE18" s="220">
        <v>500</v>
      </c>
      <c r="AF18" s="221">
        <f t="shared" si="21"/>
        <v>5.5000000000000009</v>
      </c>
      <c r="AG18" s="123">
        <f t="shared" si="22"/>
        <v>-3544.3994299999999</v>
      </c>
      <c r="AH18" s="222">
        <f t="shared" si="23"/>
        <v>-283.10796010000001</v>
      </c>
      <c r="AI18" s="220">
        <v>0</v>
      </c>
      <c r="AJ18" s="221">
        <f t="shared" si="24"/>
        <v>0</v>
      </c>
      <c r="AK18" s="123">
        <f t="shared" si="25"/>
        <v>-3627.5073901000001</v>
      </c>
      <c r="AL18" s="222">
        <f t="shared" si="26"/>
        <v>-253.92551730700004</v>
      </c>
      <c r="AM18" s="220">
        <v>1000</v>
      </c>
      <c r="AN18" s="221">
        <f t="shared" si="27"/>
        <v>0</v>
      </c>
      <c r="AO18" s="123">
        <f t="shared" si="28"/>
        <v>-4681.4329074069992</v>
      </c>
      <c r="AP18" s="222">
        <f t="shared" si="29"/>
        <v>-397.70030351848999</v>
      </c>
      <c r="AQ18" s="220">
        <v>1000</v>
      </c>
      <c r="AR18" s="221">
        <f t="shared" si="30"/>
        <v>0</v>
      </c>
      <c r="AS18" s="123">
        <f t="shared" si="36"/>
        <v>-5879.133210925489</v>
      </c>
      <c r="AT18" s="222">
        <f t="shared" si="31"/>
        <v>-481.53932476478428</v>
      </c>
      <c r="AU18" s="231">
        <f t="shared" si="34"/>
        <v>2500</v>
      </c>
      <c r="AV18" s="33">
        <f>' 2018-2019'!H18+'2019-2020 New'!H18+'2020-2021 New'!H18+'2021-2022 (A) New'!I18+'2021-2022 (B)'!G18+AY18</f>
        <v>13800</v>
      </c>
      <c r="AW18" s="233">
        <v>13800</v>
      </c>
      <c r="AX18" s="33">
        <f t="shared" si="32"/>
        <v>0</v>
      </c>
      <c r="AY18" s="10">
        <v>0</v>
      </c>
    </row>
    <row r="19" spans="1:53">
      <c r="A19" s="10" t="s">
        <v>590</v>
      </c>
      <c r="B19" s="10" t="s">
        <v>116</v>
      </c>
      <c r="C19" s="80">
        <v>0</v>
      </c>
      <c r="D19" s="79">
        <f t="shared" si="3"/>
        <v>1600</v>
      </c>
      <c r="E19" s="79">
        <f>' 2018-2019'!I19+'2019-2020 New'!I19+'2020-2021 New'!I19+'2021-2022 (A) New'!J19</f>
        <v>900</v>
      </c>
      <c r="F19" s="78">
        <f t="shared" si="4"/>
        <v>1600</v>
      </c>
      <c r="G19" s="159">
        <f t="shared" si="5"/>
        <v>1400</v>
      </c>
      <c r="H19" s="78">
        <f t="shared" si="6"/>
        <v>200</v>
      </c>
      <c r="I19" s="78">
        <f t="shared" si="7"/>
        <v>1321.0267079999999</v>
      </c>
      <c r="J19" s="78">
        <f t="shared" si="35"/>
        <v>9.9</v>
      </c>
      <c r="K19" s="78">
        <f t="shared" si="8"/>
        <v>76.455500000000001</v>
      </c>
      <c r="L19" s="78">
        <f t="shared" si="9"/>
        <v>221.02670800000001</v>
      </c>
      <c r="M19" s="78">
        <f t="shared" si="33"/>
        <v>221.02670800000001</v>
      </c>
      <c r="N19" s="78">
        <f t="shared" si="0"/>
        <v>1245.5287919999998</v>
      </c>
      <c r="O19" s="165">
        <v>300</v>
      </c>
      <c r="P19" s="166">
        <f t="shared" si="10"/>
        <v>3.3000000000000003</v>
      </c>
      <c r="Q19" s="119">
        <f t="shared" si="1"/>
        <v>1100</v>
      </c>
      <c r="R19" s="167">
        <f t="shared" si="11"/>
        <v>56.000000000000007</v>
      </c>
      <c r="S19" s="165">
        <f>200+400</f>
        <v>600</v>
      </c>
      <c r="T19" s="166">
        <f t="shared" si="12"/>
        <v>6.6000000000000005</v>
      </c>
      <c r="U19" s="33">
        <f t="shared" si="13"/>
        <v>756</v>
      </c>
      <c r="V19" s="167">
        <f t="shared" si="14"/>
        <v>10.920000000000002</v>
      </c>
      <c r="W19" s="165">
        <v>0</v>
      </c>
      <c r="X19" s="166">
        <f t="shared" si="15"/>
        <v>0</v>
      </c>
      <c r="Y19" s="33">
        <f t="shared" si="16"/>
        <v>966.92</v>
      </c>
      <c r="Z19" s="167">
        <f t="shared" si="17"/>
        <v>67.684399999999997</v>
      </c>
      <c r="AA19" s="165">
        <v>0</v>
      </c>
      <c r="AB19" s="166">
        <f t="shared" si="18"/>
        <v>0</v>
      </c>
      <c r="AC19" s="33">
        <f t="shared" si="19"/>
        <v>1234.6044000000002</v>
      </c>
      <c r="AD19" s="167">
        <f t="shared" si="20"/>
        <v>86.422308000000015</v>
      </c>
      <c r="AE19" s="220">
        <v>500</v>
      </c>
      <c r="AF19" s="221">
        <f t="shared" si="21"/>
        <v>5.5000000000000009</v>
      </c>
      <c r="AG19" s="123">
        <f t="shared" si="22"/>
        <v>1021.0267080000002</v>
      </c>
      <c r="AH19" s="222">
        <f t="shared" si="23"/>
        <v>36.471869560000016</v>
      </c>
      <c r="AI19" s="220">
        <v>0</v>
      </c>
      <c r="AJ19" s="221">
        <f t="shared" si="24"/>
        <v>0</v>
      </c>
      <c r="AK19" s="123">
        <f t="shared" si="25"/>
        <v>1257.4985775600003</v>
      </c>
      <c r="AL19" s="222">
        <f t="shared" si="26"/>
        <v>88.024900429200031</v>
      </c>
      <c r="AM19" s="220">
        <v>0</v>
      </c>
      <c r="AN19" s="221">
        <f t="shared" si="27"/>
        <v>0</v>
      </c>
      <c r="AO19" s="123">
        <f t="shared" si="28"/>
        <v>1545.5234779892003</v>
      </c>
      <c r="AP19" s="222">
        <f t="shared" si="29"/>
        <v>108.18664345924402</v>
      </c>
      <c r="AQ19" s="220">
        <v>0</v>
      </c>
      <c r="AR19" s="221">
        <f t="shared" si="30"/>
        <v>0</v>
      </c>
      <c r="AS19" s="123">
        <f t="shared" si="36"/>
        <v>1853.7101214484444</v>
      </c>
      <c r="AT19" s="222">
        <f t="shared" si="31"/>
        <v>129.75970850139112</v>
      </c>
      <c r="AU19" s="231">
        <f t="shared" si="34"/>
        <v>1400</v>
      </c>
      <c r="AV19" s="33">
        <f>' 2018-2019'!H19+'2019-2020 New'!H19+'2020-2021 New'!H19+'2021-2022 (A) New'!I19+'2021-2022 (B)'!G19+AY19</f>
        <v>8800</v>
      </c>
      <c r="AW19" s="233">
        <v>8800</v>
      </c>
      <c r="AX19" s="33">
        <f t="shared" si="32"/>
        <v>0</v>
      </c>
      <c r="AY19" s="10">
        <v>300</v>
      </c>
    </row>
    <row r="20" spans="1:53">
      <c r="A20" s="10" t="s">
        <v>591</v>
      </c>
      <c r="B20" s="10" t="s">
        <v>140</v>
      </c>
      <c r="C20" s="80">
        <v>0</v>
      </c>
      <c r="D20" s="79">
        <f t="shared" si="3"/>
        <v>1600</v>
      </c>
      <c r="E20" s="79">
        <f>' 2018-2019'!I20+'2019-2020 New'!I20+'2020-2021 New'!I20+'2021-2022 (A) New'!J20</f>
        <v>7500</v>
      </c>
      <c r="F20" s="78">
        <f t="shared" si="4"/>
        <v>1600</v>
      </c>
      <c r="G20" s="159">
        <f t="shared" si="5"/>
        <v>0</v>
      </c>
      <c r="H20" s="78">
        <f t="shared" si="6"/>
        <v>1600</v>
      </c>
      <c r="I20" s="78">
        <f t="shared" si="7"/>
        <v>11581.117877000001</v>
      </c>
      <c r="J20" s="78">
        <f t="shared" si="35"/>
        <v>0</v>
      </c>
      <c r="K20" s="78">
        <f t="shared" si="8"/>
        <v>0</v>
      </c>
      <c r="L20" s="78">
        <f t="shared" si="9"/>
        <v>2481.1178769999997</v>
      </c>
      <c r="M20" s="78">
        <f t="shared" si="33"/>
        <v>2481.1178769999997</v>
      </c>
      <c r="N20" s="78">
        <f t="shared" si="0"/>
        <v>-2481.1178769999997</v>
      </c>
      <c r="O20" s="165">
        <v>0</v>
      </c>
      <c r="P20" s="166">
        <f t="shared" si="10"/>
        <v>0</v>
      </c>
      <c r="Q20" s="119">
        <f t="shared" si="1"/>
        <v>7700</v>
      </c>
      <c r="R20" s="167">
        <f t="shared" si="11"/>
        <v>539</v>
      </c>
      <c r="S20" s="165">
        <v>0</v>
      </c>
      <c r="T20" s="166">
        <f t="shared" si="12"/>
        <v>0</v>
      </c>
      <c r="U20" s="33">
        <f t="shared" si="13"/>
        <v>8439</v>
      </c>
      <c r="V20" s="167">
        <f t="shared" si="14"/>
        <v>590.73</v>
      </c>
      <c r="W20" s="165">
        <v>0</v>
      </c>
      <c r="X20" s="166">
        <f t="shared" si="15"/>
        <v>0</v>
      </c>
      <c r="Y20" s="33">
        <f t="shared" si="16"/>
        <v>9229.73</v>
      </c>
      <c r="Z20" s="167">
        <f t="shared" si="17"/>
        <v>646.08109999999999</v>
      </c>
      <c r="AA20" s="165">
        <v>0</v>
      </c>
      <c r="AB20" s="166">
        <f t="shared" si="18"/>
        <v>0</v>
      </c>
      <c r="AC20" s="33">
        <f t="shared" si="19"/>
        <v>10075.811099999999</v>
      </c>
      <c r="AD20" s="167">
        <f t="shared" si="20"/>
        <v>705.30677700000001</v>
      </c>
      <c r="AE20" s="220">
        <v>0</v>
      </c>
      <c r="AF20" s="221">
        <f t="shared" si="21"/>
        <v>0</v>
      </c>
      <c r="AG20" s="123">
        <f t="shared" si="22"/>
        <v>10981.117876999999</v>
      </c>
      <c r="AH20" s="222">
        <f t="shared" si="23"/>
        <v>768.67825139000001</v>
      </c>
      <c r="AI20" s="220">
        <v>0</v>
      </c>
      <c r="AJ20" s="221">
        <f t="shared" si="24"/>
        <v>0</v>
      </c>
      <c r="AK20" s="123">
        <f t="shared" si="25"/>
        <v>11949.796128389999</v>
      </c>
      <c r="AL20" s="222">
        <f t="shared" si="26"/>
        <v>836.48572898730004</v>
      </c>
      <c r="AM20" s="220">
        <v>0</v>
      </c>
      <c r="AN20" s="221">
        <f t="shared" si="27"/>
        <v>0</v>
      </c>
      <c r="AO20" s="123">
        <f t="shared" si="28"/>
        <v>12986.281857377298</v>
      </c>
      <c r="AP20" s="222">
        <f t="shared" si="29"/>
        <v>909.039730016411</v>
      </c>
      <c r="AQ20" s="220">
        <v>0</v>
      </c>
      <c r="AR20" s="221">
        <f t="shared" si="30"/>
        <v>0</v>
      </c>
      <c r="AS20" s="123">
        <f t="shared" si="36"/>
        <v>14095.32158739371</v>
      </c>
      <c r="AT20" s="222">
        <f t="shared" si="31"/>
        <v>986.67251111755979</v>
      </c>
      <c r="AU20" s="231">
        <f t="shared" si="34"/>
        <v>0</v>
      </c>
      <c r="AV20" s="33">
        <f>' 2018-2019'!H20+'2019-2020 New'!H20+'2020-2021 New'!H20+'2021-2022 (A) New'!I20+'2021-2022 (B)'!G20+AY20</f>
        <v>500</v>
      </c>
      <c r="AW20" s="233">
        <v>500</v>
      </c>
      <c r="AX20" s="33">
        <f t="shared" si="32"/>
        <v>0</v>
      </c>
      <c r="AY20" s="10">
        <v>0</v>
      </c>
    </row>
    <row r="21" spans="1:53">
      <c r="A21" s="10" t="s">
        <v>592</v>
      </c>
      <c r="B21" s="10" t="s">
        <v>117</v>
      </c>
      <c r="C21" s="80">
        <v>0</v>
      </c>
      <c r="D21" s="79">
        <f t="shared" si="3"/>
        <v>1600</v>
      </c>
      <c r="E21" s="79">
        <f>' 2018-2019'!I21+'2019-2020 New'!I21+'2020-2021 New'!I21+'2021-2022 (A) New'!J21</f>
        <v>1230</v>
      </c>
      <c r="F21" s="78">
        <f t="shared" si="4"/>
        <v>1600</v>
      </c>
      <c r="G21" s="159">
        <f t="shared" si="5"/>
        <v>200</v>
      </c>
      <c r="H21" s="78">
        <f t="shared" si="6"/>
        <v>1400</v>
      </c>
      <c r="I21" s="78">
        <f t="shared" si="7"/>
        <v>3145.2762923</v>
      </c>
      <c r="J21" s="78">
        <f t="shared" si="35"/>
        <v>2.2000000000000002</v>
      </c>
      <c r="K21" s="78">
        <f t="shared" si="8"/>
        <v>10.879000000000001</v>
      </c>
      <c r="L21" s="78">
        <f t="shared" si="9"/>
        <v>515.27629230000002</v>
      </c>
      <c r="M21" s="78">
        <f t="shared" si="33"/>
        <v>515.27629230000002</v>
      </c>
      <c r="N21" s="78">
        <f t="shared" si="0"/>
        <v>-306.59729229999999</v>
      </c>
      <c r="O21" s="165">
        <v>200</v>
      </c>
      <c r="P21" s="166">
        <f t="shared" si="10"/>
        <v>2.2000000000000002</v>
      </c>
      <c r="Q21" s="119">
        <f t="shared" si="1"/>
        <v>1430</v>
      </c>
      <c r="R21" s="167">
        <f t="shared" si="11"/>
        <v>86.100000000000009</v>
      </c>
      <c r="S21" s="165">
        <v>0</v>
      </c>
      <c r="T21" s="166">
        <f t="shared" si="12"/>
        <v>0</v>
      </c>
      <c r="U21" s="33">
        <f t="shared" si="13"/>
        <v>1716.1</v>
      </c>
      <c r="V21" s="167">
        <f t="shared" si="14"/>
        <v>120.12700000000001</v>
      </c>
      <c r="W21" s="165">
        <v>0</v>
      </c>
      <c r="X21" s="166">
        <f t="shared" si="15"/>
        <v>0</v>
      </c>
      <c r="Y21" s="33">
        <f t="shared" si="16"/>
        <v>2036.2269999999999</v>
      </c>
      <c r="Z21" s="167">
        <f t="shared" si="17"/>
        <v>142.53588999999999</v>
      </c>
      <c r="AA21" s="165">
        <v>0</v>
      </c>
      <c r="AB21" s="166">
        <f t="shared" si="18"/>
        <v>0</v>
      </c>
      <c r="AC21" s="33">
        <f t="shared" si="19"/>
        <v>2378.76289</v>
      </c>
      <c r="AD21" s="167">
        <f t="shared" si="20"/>
        <v>166.51340230000002</v>
      </c>
      <c r="AE21" s="220">
        <v>0</v>
      </c>
      <c r="AF21" s="221">
        <f t="shared" si="21"/>
        <v>0</v>
      </c>
      <c r="AG21" s="123">
        <f t="shared" si="22"/>
        <v>2745.2762923</v>
      </c>
      <c r="AH21" s="222">
        <f t="shared" si="23"/>
        <v>192.16934046100002</v>
      </c>
      <c r="AI21" s="220">
        <v>0</v>
      </c>
      <c r="AJ21" s="221">
        <f t="shared" si="24"/>
        <v>0</v>
      </c>
      <c r="AK21" s="123">
        <f t="shared" si="25"/>
        <v>3137.4456327610001</v>
      </c>
      <c r="AL21" s="222">
        <f t="shared" si="26"/>
        <v>219.62119429327004</v>
      </c>
      <c r="AM21" s="220">
        <v>0</v>
      </c>
      <c r="AN21" s="221">
        <f t="shared" si="27"/>
        <v>0</v>
      </c>
      <c r="AO21" s="123">
        <f t="shared" si="28"/>
        <v>3557.0668270542701</v>
      </c>
      <c r="AP21" s="222">
        <f t="shared" si="29"/>
        <v>248.99467789379892</v>
      </c>
      <c r="AQ21" s="220">
        <v>0</v>
      </c>
      <c r="AR21" s="221">
        <f t="shared" si="30"/>
        <v>0</v>
      </c>
      <c r="AS21" s="123">
        <f t="shared" si="36"/>
        <v>4006.0615049480689</v>
      </c>
      <c r="AT21" s="222">
        <f t="shared" si="31"/>
        <v>280.42430534636486</v>
      </c>
      <c r="AU21" s="231">
        <f t="shared" si="34"/>
        <v>200</v>
      </c>
      <c r="AV21" s="33">
        <f>' 2018-2019'!H21+'2019-2020 New'!H21+'2020-2021 New'!H21+'2021-2022 (A) New'!I21+'2021-2022 (B)'!G21+AY21</f>
        <v>6970</v>
      </c>
      <c r="AW21" s="233">
        <v>6970</v>
      </c>
      <c r="AX21" s="33">
        <f t="shared" si="32"/>
        <v>0</v>
      </c>
      <c r="AY21" s="10">
        <v>0</v>
      </c>
    </row>
    <row r="22" spans="1:53">
      <c r="A22" s="10" t="s">
        <v>593</v>
      </c>
      <c r="B22" s="10" t="s">
        <v>118</v>
      </c>
      <c r="C22" s="80">
        <v>0</v>
      </c>
      <c r="D22" s="79">
        <f t="shared" si="3"/>
        <v>1600</v>
      </c>
      <c r="E22" s="79">
        <f>' 2018-2019'!I22+'2019-2020 New'!I22+'2020-2021 New'!I22+'2021-2022 (A) New'!J22</f>
        <v>6800</v>
      </c>
      <c r="F22" s="78">
        <f t="shared" si="4"/>
        <v>1600</v>
      </c>
      <c r="G22" s="159">
        <f t="shared" si="5"/>
        <v>0</v>
      </c>
      <c r="H22" s="78">
        <f t="shared" si="6"/>
        <v>1600</v>
      </c>
      <c r="I22" s="78">
        <f t="shared" si="7"/>
        <v>10663.560670000001</v>
      </c>
      <c r="J22" s="78">
        <f t="shared" si="35"/>
        <v>0</v>
      </c>
      <c r="K22" s="78">
        <f t="shared" si="8"/>
        <v>0</v>
      </c>
      <c r="L22" s="78">
        <f t="shared" si="9"/>
        <v>2263.5606700000003</v>
      </c>
      <c r="M22" s="78">
        <f t="shared" si="33"/>
        <v>2263.5606700000003</v>
      </c>
      <c r="N22" s="78">
        <f t="shared" si="0"/>
        <v>-2263.5606700000003</v>
      </c>
      <c r="O22" s="165">
        <v>0</v>
      </c>
      <c r="P22" s="166">
        <f t="shared" si="10"/>
        <v>0</v>
      </c>
      <c r="Q22" s="119">
        <f t="shared" si="1"/>
        <v>7000</v>
      </c>
      <c r="R22" s="167">
        <f t="shared" si="11"/>
        <v>490.00000000000006</v>
      </c>
      <c r="S22" s="165">
        <v>0</v>
      </c>
      <c r="T22" s="166">
        <f t="shared" si="12"/>
        <v>0</v>
      </c>
      <c r="U22" s="33">
        <f t="shared" si="13"/>
        <v>7690</v>
      </c>
      <c r="V22" s="167">
        <f t="shared" si="14"/>
        <v>538.30000000000007</v>
      </c>
      <c r="W22" s="165">
        <v>0</v>
      </c>
      <c r="X22" s="166">
        <f t="shared" si="15"/>
        <v>0</v>
      </c>
      <c r="Y22" s="33">
        <f t="shared" si="16"/>
        <v>8428.2999999999993</v>
      </c>
      <c r="Z22" s="167">
        <f t="shared" si="17"/>
        <v>589.98099999999999</v>
      </c>
      <c r="AA22" s="165">
        <v>0</v>
      </c>
      <c r="AB22" s="166">
        <f t="shared" si="18"/>
        <v>0</v>
      </c>
      <c r="AC22" s="33">
        <f t="shared" si="19"/>
        <v>9218.280999999999</v>
      </c>
      <c r="AD22" s="167">
        <f t="shared" si="20"/>
        <v>645.27967000000001</v>
      </c>
      <c r="AE22" s="220">
        <v>0</v>
      </c>
      <c r="AF22" s="221">
        <f t="shared" si="21"/>
        <v>0</v>
      </c>
      <c r="AG22" s="123">
        <f t="shared" si="22"/>
        <v>10063.560669999999</v>
      </c>
      <c r="AH22" s="222">
        <f t="shared" si="23"/>
        <v>704.44924690000005</v>
      </c>
      <c r="AI22" s="220">
        <v>0</v>
      </c>
      <c r="AJ22" s="221">
        <f t="shared" si="24"/>
        <v>0</v>
      </c>
      <c r="AK22" s="123">
        <f t="shared" si="25"/>
        <v>10968.009916899999</v>
      </c>
      <c r="AL22" s="222">
        <f t="shared" si="26"/>
        <v>767.76069418299994</v>
      </c>
      <c r="AM22" s="220">
        <v>0</v>
      </c>
      <c r="AN22" s="221">
        <f t="shared" si="27"/>
        <v>0</v>
      </c>
      <c r="AO22" s="123">
        <f t="shared" si="28"/>
        <v>11935.770611082999</v>
      </c>
      <c r="AP22" s="222">
        <f t="shared" si="29"/>
        <v>835.50394277580995</v>
      </c>
      <c r="AQ22" s="220">
        <v>0</v>
      </c>
      <c r="AR22" s="221">
        <f t="shared" si="30"/>
        <v>0</v>
      </c>
      <c r="AS22" s="123">
        <f t="shared" si="36"/>
        <v>12971.274553858808</v>
      </c>
      <c r="AT22" s="222">
        <f t="shared" si="31"/>
        <v>907.98921877011662</v>
      </c>
      <c r="AU22" s="231">
        <f t="shared" si="34"/>
        <v>0</v>
      </c>
      <c r="AV22" s="33">
        <f>' 2018-2019'!H22+'2019-2020 New'!H22+'2020-2021 New'!H22+'2021-2022 (A) New'!I22+'2021-2022 (B)'!G22+AY22</f>
        <v>1300</v>
      </c>
      <c r="AW22" s="233">
        <v>1300</v>
      </c>
      <c r="AX22" s="33">
        <f t="shared" si="32"/>
        <v>0</v>
      </c>
      <c r="AY22" s="10">
        <v>0</v>
      </c>
    </row>
    <row r="23" spans="1:53">
      <c r="A23" s="10" t="s">
        <v>594</v>
      </c>
      <c r="B23" s="10" t="s">
        <v>119</v>
      </c>
      <c r="C23" s="80">
        <v>0</v>
      </c>
      <c r="D23" s="79">
        <f t="shared" si="3"/>
        <v>1600</v>
      </c>
      <c r="E23" s="79">
        <f>' 2018-2019'!I23+'2019-2020 New'!I23+'2020-2021 New'!I23+'2021-2022 (A) New'!J23</f>
        <v>3600</v>
      </c>
      <c r="F23" s="78">
        <f t="shared" si="4"/>
        <v>1600</v>
      </c>
      <c r="G23" s="159">
        <f t="shared" si="5"/>
        <v>0</v>
      </c>
      <c r="H23" s="78">
        <f t="shared" si="6"/>
        <v>1600</v>
      </c>
      <c r="I23" s="78">
        <f t="shared" si="7"/>
        <v>6469.013438</v>
      </c>
      <c r="J23" s="78">
        <f t="shared" si="35"/>
        <v>0</v>
      </c>
      <c r="K23" s="78">
        <f t="shared" si="8"/>
        <v>0</v>
      </c>
      <c r="L23" s="78">
        <f t="shared" si="9"/>
        <v>1269.013438</v>
      </c>
      <c r="M23" s="78">
        <f t="shared" si="33"/>
        <v>1269.013438</v>
      </c>
      <c r="N23" s="78">
        <f t="shared" si="0"/>
        <v>-1269.013438</v>
      </c>
      <c r="O23" s="165">
        <v>0</v>
      </c>
      <c r="P23" s="166">
        <f t="shared" si="10"/>
        <v>0</v>
      </c>
      <c r="Q23" s="119">
        <f t="shared" si="1"/>
        <v>3800</v>
      </c>
      <c r="R23" s="167">
        <f t="shared" si="11"/>
        <v>266</v>
      </c>
      <c r="S23" s="165">
        <v>0</v>
      </c>
      <c r="T23" s="166">
        <f t="shared" si="12"/>
        <v>0</v>
      </c>
      <c r="U23" s="33">
        <f t="shared" si="13"/>
        <v>4266</v>
      </c>
      <c r="V23" s="167">
        <f t="shared" si="14"/>
        <v>298.62</v>
      </c>
      <c r="W23" s="165">
        <v>0</v>
      </c>
      <c r="X23" s="166">
        <f t="shared" si="15"/>
        <v>0</v>
      </c>
      <c r="Y23" s="33">
        <f t="shared" si="16"/>
        <v>4764.62</v>
      </c>
      <c r="Z23" s="167">
        <f t="shared" si="17"/>
        <v>333.52340000000004</v>
      </c>
      <c r="AA23" s="165">
        <v>0</v>
      </c>
      <c r="AB23" s="166">
        <f t="shared" si="18"/>
        <v>0</v>
      </c>
      <c r="AC23" s="33">
        <f t="shared" si="19"/>
        <v>5298.1433999999999</v>
      </c>
      <c r="AD23" s="167">
        <f t="shared" si="20"/>
        <v>370.87003800000002</v>
      </c>
      <c r="AE23" s="220">
        <v>0</v>
      </c>
      <c r="AF23" s="221">
        <f t="shared" si="21"/>
        <v>0</v>
      </c>
      <c r="AG23" s="123">
        <f t="shared" si="22"/>
        <v>5869.013438</v>
      </c>
      <c r="AH23" s="222">
        <f t="shared" si="23"/>
        <v>410.83094066000001</v>
      </c>
      <c r="AI23" s="220">
        <v>0</v>
      </c>
      <c r="AJ23" s="221">
        <f t="shared" si="24"/>
        <v>0</v>
      </c>
      <c r="AK23" s="123">
        <f t="shared" si="25"/>
        <v>6479.8443786600001</v>
      </c>
      <c r="AL23" s="222">
        <f t="shared" si="26"/>
        <v>453.58910650620004</v>
      </c>
      <c r="AM23" s="220">
        <v>0</v>
      </c>
      <c r="AN23" s="221">
        <f t="shared" si="27"/>
        <v>0</v>
      </c>
      <c r="AO23" s="123">
        <f t="shared" si="28"/>
        <v>7133.4334851661997</v>
      </c>
      <c r="AP23" s="222">
        <f t="shared" si="29"/>
        <v>499.34034396163401</v>
      </c>
      <c r="AQ23" s="220">
        <v>0</v>
      </c>
      <c r="AR23" s="221">
        <f t="shared" si="30"/>
        <v>0</v>
      </c>
      <c r="AS23" s="123">
        <f t="shared" si="36"/>
        <v>7832.7738291278338</v>
      </c>
      <c r="AT23" s="222">
        <f t="shared" si="31"/>
        <v>548.29416803894844</v>
      </c>
      <c r="AU23" s="231">
        <f t="shared" si="34"/>
        <v>0</v>
      </c>
      <c r="AV23" s="33">
        <f>' 2018-2019'!H23+'2019-2020 New'!H23+'2020-2021 New'!H23+'2021-2022 (A) New'!I23+'2021-2022 (B)'!G23+AY23</f>
        <v>4500</v>
      </c>
      <c r="AW23" s="233">
        <v>4500</v>
      </c>
      <c r="AX23" s="33">
        <f t="shared" si="32"/>
        <v>0</v>
      </c>
      <c r="AY23" s="10">
        <v>0</v>
      </c>
    </row>
    <row r="24" spans="1:53">
      <c r="A24" s="10" t="s">
        <v>595</v>
      </c>
      <c r="B24" s="10" t="s">
        <v>116</v>
      </c>
      <c r="C24" s="80">
        <v>0</v>
      </c>
      <c r="D24" s="79">
        <f t="shared" si="3"/>
        <v>1600</v>
      </c>
      <c r="E24" s="79">
        <f>' 2018-2019'!I24+'2019-2020 New'!I24+'2020-2021 New'!I24+'2021-2022 (A) New'!J24</f>
        <v>7500</v>
      </c>
      <c r="F24" s="78">
        <f t="shared" si="4"/>
        <v>1600</v>
      </c>
      <c r="G24" s="159">
        <f t="shared" si="5"/>
        <v>0</v>
      </c>
      <c r="H24" s="78">
        <f t="shared" si="6"/>
        <v>1600</v>
      </c>
      <c r="I24" s="78">
        <f t="shared" si="7"/>
        <v>11581.117877000001</v>
      </c>
      <c r="J24" s="78">
        <f t="shared" si="35"/>
        <v>0</v>
      </c>
      <c r="K24" s="78">
        <f t="shared" si="8"/>
        <v>0</v>
      </c>
      <c r="L24" s="78">
        <f t="shared" si="9"/>
        <v>2481.1178769999997</v>
      </c>
      <c r="M24" s="78">
        <f t="shared" si="33"/>
        <v>2481.1178769999997</v>
      </c>
      <c r="N24" s="78">
        <f t="shared" si="0"/>
        <v>-2481.1178769999997</v>
      </c>
      <c r="O24" s="165">
        <v>0</v>
      </c>
      <c r="P24" s="166">
        <f t="shared" si="10"/>
        <v>0</v>
      </c>
      <c r="Q24" s="119">
        <f t="shared" si="1"/>
        <v>7700</v>
      </c>
      <c r="R24" s="167">
        <f t="shared" si="11"/>
        <v>539</v>
      </c>
      <c r="S24" s="165">
        <v>0</v>
      </c>
      <c r="T24" s="166">
        <f t="shared" si="12"/>
        <v>0</v>
      </c>
      <c r="U24" s="33">
        <f t="shared" si="13"/>
        <v>8439</v>
      </c>
      <c r="V24" s="167">
        <f t="shared" si="14"/>
        <v>590.73</v>
      </c>
      <c r="W24" s="165">
        <v>0</v>
      </c>
      <c r="X24" s="166">
        <f t="shared" si="15"/>
        <v>0</v>
      </c>
      <c r="Y24" s="33">
        <f t="shared" si="16"/>
        <v>9229.73</v>
      </c>
      <c r="Z24" s="167">
        <f t="shared" si="17"/>
        <v>646.08109999999999</v>
      </c>
      <c r="AA24" s="165">
        <v>0</v>
      </c>
      <c r="AB24" s="166">
        <f t="shared" si="18"/>
        <v>0</v>
      </c>
      <c r="AC24" s="33">
        <f t="shared" si="19"/>
        <v>10075.811099999999</v>
      </c>
      <c r="AD24" s="167">
        <f t="shared" si="20"/>
        <v>705.30677700000001</v>
      </c>
      <c r="AE24" s="220">
        <v>0</v>
      </c>
      <c r="AF24" s="221">
        <f t="shared" si="21"/>
        <v>0</v>
      </c>
      <c r="AG24" s="123">
        <f t="shared" si="22"/>
        <v>10981.117876999999</v>
      </c>
      <c r="AH24" s="222">
        <f t="shared" si="23"/>
        <v>768.67825139000001</v>
      </c>
      <c r="AI24" s="220">
        <v>0</v>
      </c>
      <c r="AJ24" s="221">
        <f t="shared" si="24"/>
        <v>0</v>
      </c>
      <c r="AK24" s="123">
        <f t="shared" si="25"/>
        <v>11949.796128389999</v>
      </c>
      <c r="AL24" s="222">
        <f t="shared" si="26"/>
        <v>836.48572898730004</v>
      </c>
      <c r="AM24" s="220">
        <v>0</v>
      </c>
      <c r="AN24" s="221">
        <f t="shared" si="27"/>
        <v>0</v>
      </c>
      <c r="AO24" s="123">
        <f t="shared" si="28"/>
        <v>12986.281857377298</v>
      </c>
      <c r="AP24" s="222">
        <f t="shared" si="29"/>
        <v>909.039730016411</v>
      </c>
      <c r="AQ24" s="220">
        <v>0</v>
      </c>
      <c r="AR24" s="221">
        <f t="shared" si="30"/>
        <v>0</v>
      </c>
      <c r="AS24" s="123">
        <f t="shared" si="36"/>
        <v>14095.32158739371</v>
      </c>
      <c r="AT24" s="222">
        <f t="shared" si="31"/>
        <v>986.67251111755979</v>
      </c>
      <c r="AU24" s="231">
        <f t="shared" si="34"/>
        <v>0</v>
      </c>
      <c r="AV24" s="33">
        <f>' 2018-2019'!H24+'2019-2020 New'!H24+'2020-2021 New'!H24+'2021-2022 (A) New'!I24+'2021-2022 (B)'!G24+AY24</f>
        <v>500</v>
      </c>
      <c r="AW24" s="233">
        <v>500</v>
      </c>
      <c r="AX24" s="33">
        <f t="shared" si="32"/>
        <v>0</v>
      </c>
      <c r="AY24" s="10">
        <v>0</v>
      </c>
    </row>
    <row r="25" spans="1:53">
      <c r="A25" s="10" t="s">
        <v>596</v>
      </c>
      <c r="B25" s="10" t="s">
        <v>120</v>
      </c>
      <c r="C25" s="80">
        <v>0</v>
      </c>
      <c r="D25" s="79">
        <f t="shared" si="3"/>
        <v>1600</v>
      </c>
      <c r="E25" s="79">
        <f>' 2018-2019'!I25+'2019-2020 New'!I25+'2020-2021 New'!I25+'2021-2022 (A) New'!J25</f>
        <v>300</v>
      </c>
      <c r="F25" s="78">
        <f t="shared" si="4"/>
        <v>1600</v>
      </c>
      <c r="G25" s="159">
        <f t="shared" si="5"/>
        <v>2400</v>
      </c>
      <c r="H25" s="78">
        <f t="shared" si="6"/>
        <v>-800</v>
      </c>
      <c r="I25" s="78">
        <f t="shared" si="7"/>
        <v>-481.83509800000002</v>
      </c>
      <c r="J25" s="78">
        <f t="shared" si="35"/>
        <v>13.200000000000001</v>
      </c>
      <c r="K25" s="78">
        <f t="shared" si="8"/>
        <v>131.274</v>
      </c>
      <c r="L25" s="78">
        <f t="shared" si="9"/>
        <v>18.164902000000009</v>
      </c>
      <c r="M25" s="78">
        <f t="shared" si="33"/>
        <v>18.164902000000009</v>
      </c>
      <c r="N25" s="78">
        <f t="shared" si="0"/>
        <v>2499.9090980000001</v>
      </c>
      <c r="O25" s="165">
        <v>300</v>
      </c>
      <c r="P25" s="166">
        <f t="shared" si="10"/>
        <v>3.3000000000000003</v>
      </c>
      <c r="Q25" s="119">
        <f t="shared" si="1"/>
        <v>500</v>
      </c>
      <c r="R25" s="167">
        <f>(Q25-O25)*0.07</f>
        <v>14.000000000000002</v>
      </c>
      <c r="S25" s="165">
        <v>300</v>
      </c>
      <c r="T25" s="166">
        <f t="shared" si="12"/>
        <v>3.3000000000000003</v>
      </c>
      <c r="U25" s="33">
        <f t="shared" si="13"/>
        <v>414</v>
      </c>
      <c r="V25" s="167">
        <f>(U25-S25)*0.07</f>
        <v>7.98</v>
      </c>
      <c r="W25" s="165">
        <v>300</v>
      </c>
      <c r="X25" s="166">
        <f t="shared" si="15"/>
        <v>3.3000000000000003</v>
      </c>
      <c r="Y25" s="33">
        <f t="shared" si="16"/>
        <v>321.98</v>
      </c>
      <c r="Z25" s="167">
        <f t="shared" si="17"/>
        <v>1.5386000000000015</v>
      </c>
      <c r="AA25" s="165">
        <v>300</v>
      </c>
      <c r="AB25" s="166">
        <f t="shared" si="18"/>
        <v>3.3000000000000003</v>
      </c>
      <c r="AC25" s="33">
        <f t="shared" si="19"/>
        <v>223.51860000000002</v>
      </c>
      <c r="AD25" s="167">
        <f t="shared" si="20"/>
        <v>-5.3536979999999987</v>
      </c>
      <c r="AE25" s="220">
        <v>300</v>
      </c>
      <c r="AF25" s="221">
        <f t="shared" si="21"/>
        <v>3.3000000000000003</v>
      </c>
      <c r="AG25" s="123">
        <f t="shared" si="22"/>
        <v>118.16490200000003</v>
      </c>
      <c r="AH25" s="222">
        <f t="shared" si="23"/>
        <v>-12.728456859999998</v>
      </c>
      <c r="AI25" s="220">
        <v>300</v>
      </c>
      <c r="AJ25" s="221">
        <f t="shared" si="24"/>
        <v>0</v>
      </c>
      <c r="AK25" s="123">
        <f t="shared" si="25"/>
        <v>5.4364451400000426</v>
      </c>
      <c r="AL25" s="222">
        <f t="shared" si="26"/>
        <v>-20.6194488402</v>
      </c>
      <c r="AM25" s="220">
        <v>300</v>
      </c>
      <c r="AN25" s="221">
        <f t="shared" si="27"/>
        <v>0</v>
      </c>
      <c r="AO25" s="123">
        <f t="shared" si="28"/>
        <v>-115.18300370019995</v>
      </c>
      <c r="AP25" s="222">
        <f t="shared" si="29"/>
        <v>-29.062810259014</v>
      </c>
      <c r="AQ25" s="220">
        <v>300</v>
      </c>
      <c r="AR25" s="221">
        <f t="shared" si="30"/>
        <v>0</v>
      </c>
      <c r="AS25" s="123">
        <f t="shared" si="36"/>
        <v>-244.24581395921393</v>
      </c>
      <c r="AT25" s="222">
        <f t="shared" si="31"/>
        <v>-38.097206977144978</v>
      </c>
      <c r="AU25" s="231">
        <f t="shared" si="34"/>
        <v>2400</v>
      </c>
      <c r="AV25" s="33">
        <f>' 2018-2019'!H25+'2019-2020 New'!H25+'2020-2021 New'!H25+'2021-2022 (A) New'!I25+'2021-2022 (B)'!G25+AY25</f>
        <v>10500</v>
      </c>
      <c r="AW25" s="233">
        <v>10500</v>
      </c>
      <c r="AX25" s="33">
        <f t="shared" si="32"/>
        <v>0</v>
      </c>
      <c r="AY25" s="10">
        <v>300</v>
      </c>
    </row>
    <row r="26" spans="1:53">
      <c r="A26" s="10" t="s">
        <v>597</v>
      </c>
      <c r="B26" s="10" t="s">
        <v>121</v>
      </c>
      <c r="C26" s="80">
        <v>0</v>
      </c>
      <c r="D26" s="79">
        <f t="shared" si="3"/>
        <v>1600</v>
      </c>
      <c r="E26" s="79">
        <f>' 2018-2019'!I26+'2019-2020 New'!I26+'2020-2021 New'!I26+'2021-2022 (A) New'!J26</f>
        <v>3050</v>
      </c>
      <c r="F26" s="78">
        <f t="shared" si="4"/>
        <v>1600</v>
      </c>
      <c r="G26" s="159">
        <f t="shared" si="5"/>
        <v>1900</v>
      </c>
      <c r="H26" s="78">
        <f t="shared" si="6"/>
        <v>-300</v>
      </c>
      <c r="I26" s="78">
        <f t="shared" si="7"/>
        <v>3708.8506305000001</v>
      </c>
      <c r="J26" s="78">
        <f t="shared" si="35"/>
        <v>6.6000000000000005</v>
      </c>
      <c r="K26" s="78">
        <f t="shared" si="8"/>
        <v>104.137</v>
      </c>
      <c r="L26" s="78">
        <f t="shared" si="9"/>
        <v>958.85063050000008</v>
      </c>
      <c r="M26" s="78">
        <f t="shared" si="33"/>
        <v>958.85063050000008</v>
      </c>
      <c r="N26" s="78">
        <f t="shared" si="0"/>
        <v>1038.6863695</v>
      </c>
      <c r="O26" s="236">
        <f>200</f>
        <v>200</v>
      </c>
      <c r="P26" s="166">
        <f t="shared" si="10"/>
        <v>2.2000000000000002</v>
      </c>
      <c r="Q26" s="119">
        <f t="shared" si="1"/>
        <v>3250</v>
      </c>
      <c r="R26" s="167">
        <f t="shared" si="11"/>
        <v>213.50000000000003</v>
      </c>
      <c r="S26" s="236">
        <v>400</v>
      </c>
      <c r="T26" s="166">
        <f t="shared" si="12"/>
        <v>4.4000000000000004</v>
      </c>
      <c r="U26" s="33">
        <f t="shared" si="13"/>
        <v>3263.5</v>
      </c>
      <c r="V26" s="167">
        <f t="shared" si="14"/>
        <v>200.44500000000002</v>
      </c>
      <c r="W26" s="165">
        <v>0</v>
      </c>
      <c r="X26" s="166">
        <f t="shared" si="15"/>
        <v>0</v>
      </c>
      <c r="Y26" s="33">
        <f t="shared" si="16"/>
        <v>3663.9450000000002</v>
      </c>
      <c r="Z26" s="167">
        <f t="shared" si="17"/>
        <v>256.47615000000002</v>
      </c>
      <c r="AA26" s="165">
        <v>0</v>
      </c>
      <c r="AB26" s="166">
        <f t="shared" si="18"/>
        <v>0</v>
      </c>
      <c r="AC26" s="33">
        <f t="shared" si="19"/>
        <v>4120.4211500000001</v>
      </c>
      <c r="AD26" s="167">
        <f t="shared" si="20"/>
        <v>288.42948050000001</v>
      </c>
      <c r="AE26" s="237">
        <v>300</v>
      </c>
      <c r="AF26" s="221">
        <f t="shared" si="21"/>
        <v>3.3000000000000003</v>
      </c>
      <c r="AG26" s="123">
        <f t="shared" si="22"/>
        <v>4308.8506305000001</v>
      </c>
      <c r="AH26" s="222">
        <f t="shared" si="23"/>
        <v>280.61954413500001</v>
      </c>
      <c r="AI26" s="237">
        <v>1000</v>
      </c>
      <c r="AJ26" s="221">
        <f t="shared" si="24"/>
        <v>0</v>
      </c>
      <c r="AK26" s="123">
        <f t="shared" si="25"/>
        <v>3789.4701746350001</v>
      </c>
      <c r="AL26" s="222">
        <f t="shared" si="26"/>
        <v>195.26291222445002</v>
      </c>
      <c r="AM26" s="220">
        <v>0</v>
      </c>
      <c r="AN26" s="221">
        <f t="shared" si="27"/>
        <v>0</v>
      </c>
      <c r="AO26" s="123">
        <f t="shared" si="28"/>
        <v>4184.7330868594499</v>
      </c>
      <c r="AP26" s="222">
        <f t="shared" si="29"/>
        <v>292.93131608016154</v>
      </c>
      <c r="AQ26" s="220">
        <v>0</v>
      </c>
      <c r="AR26" s="221">
        <f t="shared" si="30"/>
        <v>0</v>
      </c>
      <c r="AS26" s="123">
        <f t="shared" si="36"/>
        <v>4677.6644029396111</v>
      </c>
      <c r="AT26" s="222">
        <f t="shared" si="31"/>
        <v>327.43650820577284</v>
      </c>
      <c r="AU26" s="231">
        <f t="shared" si="34"/>
        <v>1900</v>
      </c>
      <c r="AV26" s="33">
        <f>' 2018-2019'!H26+'2019-2020 New'!H26+'2020-2021 New'!H26+'2021-2022 (A) New'!I26+'2021-2022 (B)'!G26+AY26</f>
        <v>6850</v>
      </c>
      <c r="AW26" s="233">
        <v>6850</v>
      </c>
      <c r="AX26" s="33">
        <f t="shared" si="32"/>
        <v>0</v>
      </c>
      <c r="AY26" s="10">
        <v>0</v>
      </c>
    </row>
    <row r="27" spans="1:53">
      <c r="A27" s="10" t="s">
        <v>598</v>
      </c>
      <c r="B27" s="10" t="s">
        <v>110</v>
      </c>
      <c r="C27" s="80">
        <v>0</v>
      </c>
      <c r="D27" s="79">
        <f t="shared" si="3"/>
        <v>1600</v>
      </c>
      <c r="E27" s="79">
        <f>' 2018-2019'!I27+'2019-2020 New'!I27+'2020-2021 New'!I27+'2021-2022 (A) New'!J27</f>
        <v>5900</v>
      </c>
      <c r="F27" s="78">
        <f t="shared" si="4"/>
        <v>1600</v>
      </c>
      <c r="G27" s="159">
        <f t="shared" si="5"/>
        <v>0</v>
      </c>
      <c r="H27" s="78">
        <f t="shared" si="6"/>
        <v>1600</v>
      </c>
      <c r="I27" s="78">
        <f t="shared" si="7"/>
        <v>9483.8442610000002</v>
      </c>
      <c r="J27" s="78">
        <f t="shared" si="35"/>
        <v>0</v>
      </c>
      <c r="K27" s="78">
        <f t="shared" si="8"/>
        <v>0</v>
      </c>
      <c r="L27" s="78">
        <f t="shared" si="9"/>
        <v>1983.8442610000004</v>
      </c>
      <c r="M27" s="78">
        <f t="shared" si="33"/>
        <v>1983.8442610000004</v>
      </c>
      <c r="N27" s="78">
        <f t="shared" si="0"/>
        <v>-1983.8442610000004</v>
      </c>
      <c r="O27" s="165">
        <v>0</v>
      </c>
      <c r="P27" s="166">
        <f t="shared" si="10"/>
        <v>0</v>
      </c>
      <c r="Q27" s="119">
        <f t="shared" si="1"/>
        <v>6100</v>
      </c>
      <c r="R27" s="167">
        <f t="shared" si="11"/>
        <v>427.00000000000006</v>
      </c>
      <c r="S27" s="165">
        <v>0</v>
      </c>
      <c r="T27" s="166">
        <f t="shared" si="12"/>
        <v>0</v>
      </c>
      <c r="U27" s="33">
        <f t="shared" si="13"/>
        <v>6727</v>
      </c>
      <c r="V27" s="167">
        <f t="shared" si="14"/>
        <v>470.89000000000004</v>
      </c>
      <c r="W27" s="165">
        <v>0</v>
      </c>
      <c r="X27" s="166">
        <f t="shared" si="15"/>
        <v>0</v>
      </c>
      <c r="Y27" s="33">
        <f t="shared" si="16"/>
        <v>7397.89</v>
      </c>
      <c r="Z27" s="167">
        <f t="shared" si="17"/>
        <v>517.85230000000013</v>
      </c>
      <c r="AA27" s="165">
        <v>0</v>
      </c>
      <c r="AB27" s="166">
        <f t="shared" si="18"/>
        <v>0</v>
      </c>
      <c r="AC27" s="33">
        <f t="shared" si="19"/>
        <v>8115.7423000000008</v>
      </c>
      <c r="AD27" s="167">
        <f t="shared" si="20"/>
        <v>568.10196100000007</v>
      </c>
      <c r="AE27" s="220">
        <v>0</v>
      </c>
      <c r="AF27" s="221">
        <f t="shared" si="21"/>
        <v>0</v>
      </c>
      <c r="AG27" s="123">
        <f t="shared" si="22"/>
        <v>8883.844261000002</v>
      </c>
      <c r="AH27" s="222">
        <f t="shared" si="23"/>
        <v>621.86909827000022</v>
      </c>
      <c r="AI27" s="220">
        <v>0</v>
      </c>
      <c r="AJ27" s="221">
        <f t="shared" si="24"/>
        <v>0</v>
      </c>
      <c r="AK27" s="123">
        <f t="shared" si="25"/>
        <v>9705.7133592700029</v>
      </c>
      <c r="AL27" s="222">
        <f t="shared" si="26"/>
        <v>679.39993514890023</v>
      </c>
      <c r="AM27" s="220">
        <v>0</v>
      </c>
      <c r="AN27" s="221">
        <f t="shared" si="27"/>
        <v>0</v>
      </c>
      <c r="AO27" s="123">
        <f t="shared" si="28"/>
        <v>10585.113294418903</v>
      </c>
      <c r="AP27" s="222">
        <f t="shared" si="29"/>
        <v>740.95793060932328</v>
      </c>
      <c r="AQ27" s="220">
        <v>0</v>
      </c>
      <c r="AR27" s="221">
        <f t="shared" si="30"/>
        <v>0</v>
      </c>
      <c r="AS27" s="123">
        <f t="shared" si="36"/>
        <v>11526.071225028227</v>
      </c>
      <c r="AT27" s="222">
        <f t="shared" si="31"/>
        <v>806.82498575197599</v>
      </c>
      <c r="AU27" s="231">
        <f t="shared" si="34"/>
        <v>0</v>
      </c>
      <c r="AV27" s="33">
        <f>' 2018-2019'!H27+'2019-2020 New'!H27+'2020-2021 New'!H27+'2021-2022 (A) New'!I27+'2021-2022 (B)'!G27+AY27</f>
        <v>3100</v>
      </c>
      <c r="AW27" s="233">
        <v>3100</v>
      </c>
      <c r="AX27" s="33">
        <f t="shared" si="32"/>
        <v>0</v>
      </c>
      <c r="AY27" s="10">
        <v>1000</v>
      </c>
    </row>
    <row r="28" spans="1:53">
      <c r="A28" s="10" t="s">
        <v>599</v>
      </c>
      <c r="B28" s="10" t="s">
        <v>116</v>
      </c>
      <c r="C28" s="80">
        <v>0</v>
      </c>
      <c r="D28" s="79">
        <f t="shared" si="3"/>
        <v>1600</v>
      </c>
      <c r="E28" s="79">
        <f>' 2018-2019'!I28+'2019-2020 New'!I28+'2020-2021 New'!I28+'2021-2022 (A) New'!J28</f>
        <v>6900</v>
      </c>
      <c r="F28" s="78">
        <f t="shared" si="4"/>
        <v>1600</v>
      </c>
      <c r="G28" s="159">
        <f t="shared" si="5"/>
        <v>0</v>
      </c>
      <c r="H28" s="78">
        <f t="shared" si="6"/>
        <v>1600</v>
      </c>
      <c r="I28" s="78">
        <f t="shared" si="7"/>
        <v>10794.640271</v>
      </c>
      <c r="J28" s="78">
        <f t="shared" si="35"/>
        <v>0</v>
      </c>
      <c r="K28" s="78">
        <f t="shared" si="8"/>
        <v>0</v>
      </c>
      <c r="L28" s="78">
        <f t="shared" si="9"/>
        <v>2294.6402710000007</v>
      </c>
      <c r="M28" s="78">
        <f t="shared" si="33"/>
        <v>2294.6402710000007</v>
      </c>
      <c r="N28" s="78">
        <f t="shared" si="0"/>
        <v>-2294.6402710000007</v>
      </c>
      <c r="O28" s="165">
        <v>0</v>
      </c>
      <c r="P28" s="166">
        <f t="shared" si="10"/>
        <v>0</v>
      </c>
      <c r="Q28" s="119">
        <f t="shared" si="1"/>
        <v>7100</v>
      </c>
      <c r="R28" s="167">
        <f t="shared" si="11"/>
        <v>497.00000000000006</v>
      </c>
      <c r="S28" s="165">
        <v>0</v>
      </c>
      <c r="T28" s="166">
        <f t="shared" si="12"/>
        <v>0</v>
      </c>
      <c r="U28" s="33">
        <f t="shared" si="13"/>
        <v>7797</v>
      </c>
      <c r="V28" s="167">
        <f t="shared" si="14"/>
        <v>545.79000000000008</v>
      </c>
      <c r="W28" s="165">
        <v>0</v>
      </c>
      <c r="X28" s="166">
        <f t="shared" si="15"/>
        <v>0</v>
      </c>
      <c r="Y28" s="33">
        <f t="shared" si="16"/>
        <v>8542.7900000000009</v>
      </c>
      <c r="Z28" s="167">
        <f t="shared" si="17"/>
        <v>597.99530000000016</v>
      </c>
      <c r="AA28" s="165">
        <v>0</v>
      </c>
      <c r="AB28" s="166">
        <f t="shared" si="18"/>
        <v>0</v>
      </c>
      <c r="AC28" s="33">
        <f t="shared" si="19"/>
        <v>9340.7853000000014</v>
      </c>
      <c r="AD28" s="167">
        <f t="shared" si="20"/>
        <v>653.85497100000021</v>
      </c>
      <c r="AE28" s="220">
        <v>0</v>
      </c>
      <c r="AF28" s="221">
        <f t="shared" si="21"/>
        <v>0</v>
      </c>
      <c r="AG28" s="123">
        <f t="shared" si="22"/>
        <v>10194.640271000002</v>
      </c>
      <c r="AH28" s="222">
        <f t="shared" si="23"/>
        <v>713.62481897000021</v>
      </c>
      <c r="AI28" s="220">
        <v>0</v>
      </c>
      <c r="AJ28" s="221">
        <f t="shared" si="24"/>
        <v>0</v>
      </c>
      <c r="AK28" s="123">
        <f t="shared" si="25"/>
        <v>11108.265089970002</v>
      </c>
      <c r="AL28" s="222">
        <f t="shared" si="26"/>
        <v>777.57855629790026</v>
      </c>
      <c r="AM28" s="220">
        <v>0</v>
      </c>
      <c r="AN28" s="221">
        <f t="shared" si="27"/>
        <v>0</v>
      </c>
      <c r="AO28" s="123">
        <f t="shared" si="28"/>
        <v>12085.843646267902</v>
      </c>
      <c r="AP28" s="222">
        <f t="shared" si="29"/>
        <v>846.00905523875326</v>
      </c>
      <c r="AQ28" s="220">
        <v>0</v>
      </c>
      <c r="AR28" s="221">
        <f t="shared" si="30"/>
        <v>0</v>
      </c>
      <c r="AS28" s="123">
        <f t="shared" si="36"/>
        <v>13131.852701506656</v>
      </c>
      <c r="AT28" s="222">
        <f t="shared" si="31"/>
        <v>919.22968910546604</v>
      </c>
      <c r="AU28" s="231">
        <f t="shared" si="34"/>
        <v>0</v>
      </c>
      <c r="AV28" s="33">
        <f>' 2018-2019'!H28+'2019-2020 New'!H28+'2020-2021 New'!H28+'2021-2022 (A) New'!I28+'2021-2022 (B)'!G28+AY28</f>
        <v>1100</v>
      </c>
      <c r="AW28" s="233">
        <v>1100</v>
      </c>
      <c r="AX28" s="33">
        <f t="shared" si="32"/>
        <v>0</v>
      </c>
      <c r="AY28" s="10">
        <v>0</v>
      </c>
    </row>
    <row r="29" spans="1:53">
      <c r="A29" s="10" t="s">
        <v>600</v>
      </c>
      <c r="B29" s="10" t="s">
        <v>141</v>
      </c>
      <c r="C29" s="80">
        <v>0</v>
      </c>
      <c r="D29" s="79">
        <f t="shared" si="3"/>
        <v>1600</v>
      </c>
      <c r="E29" s="79">
        <f>' 2018-2019'!I29+'2019-2020 New'!I29+'2020-2021 New'!I29+'2021-2022 (A) New'!J29</f>
        <v>7500</v>
      </c>
      <c r="F29" s="78">
        <f t="shared" si="4"/>
        <v>1600</v>
      </c>
      <c r="G29" s="159">
        <f t="shared" si="5"/>
        <v>0</v>
      </c>
      <c r="H29" s="78">
        <f t="shared" si="6"/>
        <v>1600</v>
      </c>
      <c r="I29" s="78">
        <f t="shared" si="7"/>
        <v>11581.117877000001</v>
      </c>
      <c r="J29" s="78">
        <f t="shared" si="35"/>
        <v>0</v>
      </c>
      <c r="K29" s="78">
        <f t="shared" si="8"/>
        <v>0</v>
      </c>
      <c r="L29" s="78">
        <f t="shared" si="9"/>
        <v>2481.1178769999997</v>
      </c>
      <c r="M29" s="78">
        <f t="shared" si="33"/>
        <v>2481.1178769999997</v>
      </c>
      <c r="N29" s="78">
        <f t="shared" si="0"/>
        <v>-2481.1178769999997</v>
      </c>
      <c r="O29" s="165">
        <v>0</v>
      </c>
      <c r="P29" s="166">
        <f t="shared" si="10"/>
        <v>0</v>
      </c>
      <c r="Q29" s="119">
        <f t="shared" si="1"/>
        <v>7700</v>
      </c>
      <c r="R29" s="167">
        <f t="shared" si="11"/>
        <v>539</v>
      </c>
      <c r="S29" s="165">
        <v>0</v>
      </c>
      <c r="T29" s="166">
        <f t="shared" si="12"/>
        <v>0</v>
      </c>
      <c r="U29" s="33">
        <f t="shared" si="13"/>
        <v>8439</v>
      </c>
      <c r="V29" s="167">
        <f t="shared" si="14"/>
        <v>590.73</v>
      </c>
      <c r="W29" s="165">
        <v>0</v>
      </c>
      <c r="X29" s="166">
        <f t="shared" si="15"/>
        <v>0</v>
      </c>
      <c r="Y29" s="33">
        <f t="shared" si="16"/>
        <v>9229.73</v>
      </c>
      <c r="Z29" s="167">
        <f t="shared" si="17"/>
        <v>646.08109999999999</v>
      </c>
      <c r="AA29" s="165">
        <v>0</v>
      </c>
      <c r="AB29" s="166">
        <f t="shared" si="18"/>
        <v>0</v>
      </c>
      <c r="AC29" s="33">
        <f t="shared" si="19"/>
        <v>10075.811099999999</v>
      </c>
      <c r="AD29" s="167">
        <f t="shared" si="20"/>
        <v>705.30677700000001</v>
      </c>
      <c r="AE29" s="220">
        <v>0</v>
      </c>
      <c r="AF29" s="221">
        <f t="shared" si="21"/>
        <v>0</v>
      </c>
      <c r="AG29" s="123">
        <f t="shared" si="22"/>
        <v>10981.117876999999</v>
      </c>
      <c r="AH29" s="222">
        <f t="shared" si="23"/>
        <v>768.67825139000001</v>
      </c>
      <c r="AI29" s="220">
        <v>0</v>
      </c>
      <c r="AJ29" s="221">
        <f t="shared" si="24"/>
        <v>0</v>
      </c>
      <c r="AK29" s="123">
        <f t="shared" si="25"/>
        <v>11949.796128389999</v>
      </c>
      <c r="AL29" s="222">
        <f t="shared" si="26"/>
        <v>836.48572898730004</v>
      </c>
      <c r="AM29" s="220">
        <v>0</v>
      </c>
      <c r="AN29" s="221">
        <f t="shared" si="27"/>
        <v>0</v>
      </c>
      <c r="AO29" s="123">
        <f t="shared" si="28"/>
        <v>12986.281857377298</v>
      </c>
      <c r="AP29" s="222">
        <f t="shared" si="29"/>
        <v>909.039730016411</v>
      </c>
      <c r="AQ29" s="220">
        <v>0</v>
      </c>
      <c r="AR29" s="221">
        <f t="shared" si="30"/>
        <v>0</v>
      </c>
      <c r="AS29" s="123">
        <f t="shared" si="36"/>
        <v>14095.32158739371</v>
      </c>
      <c r="AT29" s="222">
        <f t="shared" si="31"/>
        <v>986.67251111755979</v>
      </c>
      <c r="AU29" s="231">
        <f t="shared" si="34"/>
        <v>0</v>
      </c>
      <c r="AV29" s="33">
        <f>' 2018-2019'!H29+'2019-2020 New'!H29+'2020-2021 New'!H29+'2021-2022 (A) New'!I29+'2021-2022 (B)'!G29+AY29</f>
        <v>500</v>
      </c>
      <c r="AW29" s="233">
        <v>500</v>
      </c>
      <c r="AX29" s="33">
        <f t="shared" si="32"/>
        <v>0</v>
      </c>
      <c r="AY29" s="10">
        <v>0</v>
      </c>
    </row>
    <row r="30" spans="1:53">
      <c r="A30" s="10" t="s">
        <v>601</v>
      </c>
      <c r="B30" s="10" t="s">
        <v>122</v>
      </c>
      <c r="C30" s="80">
        <v>0</v>
      </c>
      <c r="D30" s="79">
        <f t="shared" si="3"/>
        <v>1600</v>
      </c>
      <c r="E30" s="79">
        <f>' 2018-2019'!I30+'2019-2020 New'!I30+'2020-2021 New'!I30+'2021-2022 (A) New'!J30</f>
        <v>2500</v>
      </c>
      <c r="F30" s="78">
        <f t="shared" si="4"/>
        <v>1600</v>
      </c>
      <c r="G30" s="159">
        <f t="shared" si="5"/>
        <v>0</v>
      </c>
      <c r="H30" s="78">
        <f t="shared" si="6"/>
        <v>1600</v>
      </c>
      <c r="I30" s="78">
        <f t="shared" si="7"/>
        <v>5027.1378270000005</v>
      </c>
      <c r="J30" s="78">
        <f t="shared" si="35"/>
        <v>0</v>
      </c>
      <c r="K30" s="78">
        <f t="shared" si="8"/>
        <v>0</v>
      </c>
      <c r="L30" s="78">
        <f t="shared" si="9"/>
        <v>927.13782700000002</v>
      </c>
      <c r="M30" s="78">
        <f t="shared" si="33"/>
        <v>927.13782700000002</v>
      </c>
      <c r="N30" s="78">
        <f t="shared" si="0"/>
        <v>-927.13782700000002</v>
      </c>
      <c r="O30" s="165">
        <v>0</v>
      </c>
      <c r="P30" s="166">
        <f t="shared" si="10"/>
        <v>0</v>
      </c>
      <c r="Q30" s="119">
        <f t="shared" si="1"/>
        <v>2700</v>
      </c>
      <c r="R30" s="167">
        <f t="shared" si="11"/>
        <v>189.00000000000003</v>
      </c>
      <c r="S30" s="165">
        <v>0</v>
      </c>
      <c r="T30" s="166">
        <f t="shared" si="12"/>
        <v>0</v>
      </c>
      <c r="U30" s="33">
        <f t="shared" si="13"/>
        <v>3089</v>
      </c>
      <c r="V30" s="167">
        <f t="shared" si="14"/>
        <v>216.23000000000002</v>
      </c>
      <c r="W30" s="165">
        <v>0</v>
      </c>
      <c r="X30" s="166">
        <f t="shared" si="15"/>
        <v>0</v>
      </c>
      <c r="Y30" s="33">
        <f t="shared" si="16"/>
        <v>3505.23</v>
      </c>
      <c r="Z30" s="167">
        <f t="shared" si="17"/>
        <v>245.36610000000002</v>
      </c>
      <c r="AA30" s="165">
        <v>0</v>
      </c>
      <c r="AB30" s="166">
        <f t="shared" si="18"/>
        <v>0</v>
      </c>
      <c r="AC30" s="33">
        <f t="shared" si="19"/>
        <v>3950.5961000000002</v>
      </c>
      <c r="AD30" s="167">
        <f t="shared" si="20"/>
        <v>276.54172700000004</v>
      </c>
      <c r="AE30" s="220">
        <v>0</v>
      </c>
      <c r="AF30" s="221">
        <f t="shared" si="21"/>
        <v>0</v>
      </c>
      <c r="AG30" s="123">
        <f t="shared" si="22"/>
        <v>4427.1378270000005</v>
      </c>
      <c r="AH30" s="222">
        <f t="shared" si="23"/>
        <v>309.89964789000004</v>
      </c>
      <c r="AI30" s="220">
        <v>0</v>
      </c>
      <c r="AJ30" s="221">
        <f t="shared" si="24"/>
        <v>0</v>
      </c>
      <c r="AK30" s="123">
        <f t="shared" si="25"/>
        <v>4937.0374748900003</v>
      </c>
      <c r="AL30" s="222">
        <f t="shared" si="26"/>
        <v>345.59262324230008</v>
      </c>
      <c r="AM30" s="220">
        <v>0</v>
      </c>
      <c r="AN30" s="221">
        <f t="shared" si="27"/>
        <v>0</v>
      </c>
      <c r="AO30" s="123">
        <f t="shared" si="28"/>
        <v>5482.6300981323002</v>
      </c>
      <c r="AP30" s="222">
        <f t="shared" si="29"/>
        <v>383.78410686926105</v>
      </c>
      <c r="AQ30" s="220">
        <v>0</v>
      </c>
      <c r="AR30" s="221">
        <f t="shared" si="30"/>
        <v>0</v>
      </c>
      <c r="AS30" s="123">
        <f t="shared" si="36"/>
        <v>6066.4142050015616</v>
      </c>
      <c r="AT30" s="222">
        <f t="shared" si="31"/>
        <v>424.64899435010938</v>
      </c>
      <c r="AU30" s="231">
        <f t="shared" si="34"/>
        <v>0</v>
      </c>
      <c r="AV30" s="33">
        <f>' 2018-2019'!H30+'2019-2020 New'!H30+'2020-2021 New'!H30+'2021-2022 (A) New'!I30+'2021-2022 (B)'!G30+AY30</f>
        <v>5600</v>
      </c>
      <c r="AW30" s="233">
        <v>4500</v>
      </c>
      <c r="AX30" s="166">
        <f t="shared" si="32"/>
        <v>-1100</v>
      </c>
      <c r="AY30" s="10">
        <v>0</v>
      </c>
      <c r="AZ30" s="41" t="s">
        <v>488</v>
      </c>
      <c r="BA30" s="17">
        <f>2200+1300</f>
        <v>3500</v>
      </c>
    </row>
    <row r="31" spans="1:53">
      <c r="A31" s="10" t="s">
        <v>602</v>
      </c>
      <c r="B31" s="10" t="s">
        <v>116</v>
      </c>
      <c r="C31" s="80">
        <v>0</v>
      </c>
      <c r="D31" s="79">
        <f t="shared" si="3"/>
        <v>1600</v>
      </c>
      <c r="E31" s="79">
        <f>' 2018-2019'!I31+'2019-2020 New'!I31+'2020-2021 New'!I31+'2021-2022 (A) New'!J31</f>
        <v>500</v>
      </c>
      <c r="F31" s="78">
        <f t="shared" si="4"/>
        <v>1600</v>
      </c>
      <c r="G31" s="159">
        <f t="shared" si="5"/>
        <v>1400</v>
      </c>
      <c r="H31" s="78">
        <f t="shared" si="6"/>
        <v>200</v>
      </c>
      <c r="I31" s="78">
        <f t="shared" si="7"/>
        <v>883.471407</v>
      </c>
      <c r="J31" s="78">
        <f t="shared" si="35"/>
        <v>4.4000000000000004</v>
      </c>
      <c r="K31" s="78">
        <f t="shared" si="8"/>
        <v>76.757999999999996</v>
      </c>
      <c r="L31" s="78">
        <f t="shared" si="9"/>
        <v>183.471407</v>
      </c>
      <c r="M31" s="78">
        <f t="shared" si="33"/>
        <v>183.471407</v>
      </c>
      <c r="N31" s="78">
        <f t="shared" si="0"/>
        <v>1288.8865929999999</v>
      </c>
      <c r="O31" s="165">
        <v>0</v>
      </c>
      <c r="P31" s="166">
        <f t="shared" si="10"/>
        <v>0</v>
      </c>
      <c r="Q31" s="119">
        <f t="shared" si="1"/>
        <v>700</v>
      </c>
      <c r="R31" s="167">
        <f t="shared" si="11"/>
        <v>49.000000000000007</v>
      </c>
      <c r="S31" s="236">
        <v>400</v>
      </c>
      <c r="T31" s="166">
        <f t="shared" si="12"/>
        <v>4.4000000000000004</v>
      </c>
      <c r="U31" s="33">
        <f t="shared" si="13"/>
        <v>549</v>
      </c>
      <c r="V31" s="167">
        <f t="shared" si="14"/>
        <v>10.430000000000001</v>
      </c>
      <c r="W31" s="165">
        <v>0</v>
      </c>
      <c r="X31" s="166">
        <f t="shared" si="15"/>
        <v>0</v>
      </c>
      <c r="Y31" s="33">
        <f t="shared" si="16"/>
        <v>759.43</v>
      </c>
      <c r="Z31" s="167">
        <f t="shared" si="17"/>
        <v>53.1601</v>
      </c>
      <c r="AA31" s="165">
        <v>0</v>
      </c>
      <c r="AB31" s="166">
        <f t="shared" si="18"/>
        <v>0</v>
      </c>
      <c r="AC31" s="33">
        <f t="shared" si="19"/>
        <v>1012.5900999999999</v>
      </c>
      <c r="AD31" s="167">
        <f t="shared" si="20"/>
        <v>70.881306999999993</v>
      </c>
      <c r="AE31" s="237">
        <v>400</v>
      </c>
      <c r="AF31" s="221">
        <f t="shared" si="21"/>
        <v>4.4000000000000004</v>
      </c>
      <c r="AG31" s="123">
        <f t="shared" si="22"/>
        <v>883.47140699999989</v>
      </c>
      <c r="AH31" s="222">
        <f t="shared" si="23"/>
        <v>33.842998489999992</v>
      </c>
      <c r="AI31" s="237">
        <v>600</v>
      </c>
      <c r="AJ31" s="221">
        <f t="shared" si="24"/>
        <v>0</v>
      </c>
      <c r="AK31" s="123">
        <f t="shared" si="25"/>
        <v>517.3144054899999</v>
      </c>
      <c r="AL31" s="222">
        <f t="shared" si="26"/>
        <v>-5.7879916157000073</v>
      </c>
      <c r="AM31" s="220">
        <v>0</v>
      </c>
      <c r="AN31" s="221">
        <f t="shared" si="27"/>
        <v>0</v>
      </c>
      <c r="AO31" s="123">
        <f t="shared" si="28"/>
        <v>711.52641387429992</v>
      </c>
      <c r="AP31" s="222">
        <f t="shared" si="29"/>
        <v>49.806848971200999</v>
      </c>
      <c r="AQ31" s="220">
        <v>0</v>
      </c>
      <c r="AR31" s="221">
        <f t="shared" si="30"/>
        <v>0</v>
      </c>
      <c r="AS31" s="123">
        <f t="shared" si="36"/>
        <v>961.33326284550094</v>
      </c>
      <c r="AT31" s="222">
        <f t="shared" si="31"/>
        <v>67.293328399185071</v>
      </c>
      <c r="AU31" s="231">
        <f t="shared" si="34"/>
        <v>1400</v>
      </c>
      <c r="AV31" s="33">
        <f>' 2018-2019'!H31+'2019-2020 New'!H31+'2020-2021 New'!H31+'2021-2022 (A) New'!I31+'2021-2022 (B)'!G31+AY31</f>
        <v>9500</v>
      </c>
      <c r="AW31" s="233">
        <v>9500</v>
      </c>
      <c r="AX31" s="33">
        <f t="shared" si="32"/>
        <v>0</v>
      </c>
      <c r="AY31" s="10">
        <v>600</v>
      </c>
    </row>
    <row r="32" spans="1:53">
      <c r="A32" s="10" t="s">
        <v>603</v>
      </c>
      <c r="B32" s="10" t="s">
        <v>115</v>
      </c>
      <c r="C32" s="80">
        <v>0</v>
      </c>
      <c r="D32" s="79">
        <f t="shared" si="3"/>
        <v>1600</v>
      </c>
      <c r="E32" s="79">
        <f>' 2018-2019'!I32+'2019-2020 New'!I32+'2020-2021 New'!I32+'2021-2022 (A) New'!J32</f>
        <v>0</v>
      </c>
      <c r="F32" s="78">
        <f t="shared" si="4"/>
        <v>1600</v>
      </c>
      <c r="G32" s="159">
        <f t="shared" si="5"/>
        <v>2000</v>
      </c>
      <c r="H32" s="78">
        <f t="shared" si="6"/>
        <v>-400</v>
      </c>
      <c r="I32" s="78">
        <f t="shared" si="7"/>
        <v>-444.55530099999999</v>
      </c>
      <c r="J32" s="78">
        <f t="shared" si="35"/>
        <v>12.100000000000001</v>
      </c>
      <c r="K32" s="78">
        <f t="shared" si="8"/>
        <v>109.33450000000001</v>
      </c>
      <c r="L32" s="78">
        <f t="shared" si="9"/>
        <v>-44.555301</v>
      </c>
      <c r="M32" s="78">
        <f t="shared" si="33"/>
        <v>-44.555301</v>
      </c>
      <c r="N32" s="78">
        <f t="shared" si="0"/>
        <v>2141.7898010000004</v>
      </c>
      <c r="O32" s="236">
        <v>300</v>
      </c>
      <c r="P32" s="166">
        <f t="shared" si="10"/>
        <v>3.3000000000000003</v>
      </c>
      <c r="Q32" s="119">
        <f t="shared" si="1"/>
        <v>200</v>
      </c>
      <c r="R32" s="167">
        <f t="shared" si="11"/>
        <v>-7.0000000000000009</v>
      </c>
      <c r="S32" s="236">
        <v>200</v>
      </c>
      <c r="T32" s="166">
        <f t="shared" si="12"/>
        <v>2.2000000000000002</v>
      </c>
      <c r="U32" s="33">
        <f t="shared" si="13"/>
        <v>193</v>
      </c>
      <c r="V32" s="167">
        <f t="shared" si="14"/>
        <v>-0.49000000000000005</v>
      </c>
      <c r="W32" s="236">
        <v>300</v>
      </c>
      <c r="X32" s="166">
        <f t="shared" si="15"/>
        <v>3.3000000000000003</v>
      </c>
      <c r="Y32" s="33">
        <f t="shared" si="16"/>
        <v>92.51</v>
      </c>
      <c r="Z32" s="167">
        <f t="shared" si="17"/>
        <v>-14.524300000000002</v>
      </c>
      <c r="AA32" s="236">
        <v>300</v>
      </c>
      <c r="AB32" s="166">
        <f t="shared" si="18"/>
        <v>3.3000000000000003</v>
      </c>
      <c r="AC32" s="33">
        <f t="shared" si="19"/>
        <v>-22.014300000000013</v>
      </c>
      <c r="AD32" s="167">
        <f t="shared" si="20"/>
        <v>-22.541001000000001</v>
      </c>
      <c r="AE32" s="220">
        <v>0</v>
      </c>
      <c r="AF32" s="221">
        <f t="shared" si="21"/>
        <v>0</v>
      </c>
      <c r="AG32" s="123">
        <f t="shared" si="22"/>
        <v>155.44469899999999</v>
      </c>
      <c r="AH32" s="222">
        <f t="shared" si="23"/>
        <v>10.881128930000001</v>
      </c>
      <c r="AI32" s="237">
        <v>300</v>
      </c>
      <c r="AJ32" s="221">
        <f t="shared" si="24"/>
        <v>0</v>
      </c>
      <c r="AK32" s="123">
        <f t="shared" si="25"/>
        <v>66.325827929999988</v>
      </c>
      <c r="AL32" s="222">
        <f t="shared" si="26"/>
        <v>-16.3571920449</v>
      </c>
      <c r="AM32" s="237">
        <v>300</v>
      </c>
      <c r="AN32" s="221">
        <f t="shared" si="27"/>
        <v>0</v>
      </c>
      <c r="AO32" s="123">
        <f t="shared" si="28"/>
        <v>-50.031364114900001</v>
      </c>
      <c r="AP32" s="222">
        <f t="shared" si="29"/>
        <v>-24.502195488043</v>
      </c>
      <c r="AQ32" s="237">
        <v>300</v>
      </c>
      <c r="AR32" s="221">
        <f t="shared" si="30"/>
        <v>0</v>
      </c>
      <c r="AS32" s="123">
        <f t="shared" si="36"/>
        <v>-174.533559602943</v>
      </c>
      <c r="AT32" s="222">
        <f t="shared" si="31"/>
        <v>-33.217349172206013</v>
      </c>
      <c r="AU32" s="231">
        <f t="shared" si="34"/>
        <v>2000</v>
      </c>
      <c r="AV32" s="33">
        <f>' 2018-2019'!H32+'2019-2020 New'!H32+'2020-2021 New'!H32+'2021-2022 (A) New'!I32+'2021-2022 (B)'!G32+AY32</f>
        <v>10500</v>
      </c>
      <c r="AW32" s="233">
        <v>10500</v>
      </c>
      <c r="AX32" s="33">
        <f t="shared" si="32"/>
        <v>0</v>
      </c>
      <c r="AY32" s="10">
        <v>500</v>
      </c>
    </row>
    <row r="33" spans="1:51">
      <c r="A33" s="10" t="s">
        <v>604</v>
      </c>
      <c r="B33" s="10" t="s">
        <v>123</v>
      </c>
      <c r="C33" s="80">
        <v>0</v>
      </c>
      <c r="D33" s="79">
        <f t="shared" si="3"/>
        <v>1600</v>
      </c>
      <c r="E33" s="79">
        <f>' 2018-2019'!I33+'2019-2020 New'!I33+'2020-2021 New'!I33+'2021-2022 (A) New'!J33</f>
        <v>6800</v>
      </c>
      <c r="F33" s="78">
        <f t="shared" si="4"/>
        <v>1600</v>
      </c>
      <c r="G33" s="159">
        <f t="shared" si="5"/>
        <v>0</v>
      </c>
      <c r="H33" s="78">
        <f t="shared" si="6"/>
        <v>1600</v>
      </c>
      <c r="I33" s="78">
        <f t="shared" si="7"/>
        <v>10663.560670000001</v>
      </c>
      <c r="J33" s="78">
        <f t="shared" si="35"/>
        <v>0</v>
      </c>
      <c r="K33" s="78">
        <f t="shared" si="8"/>
        <v>0</v>
      </c>
      <c r="L33" s="78">
        <f t="shared" si="9"/>
        <v>2263.5606700000003</v>
      </c>
      <c r="M33" s="78">
        <f t="shared" si="33"/>
        <v>2263.5606700000003</v>
      </c>
      <c r="N33" s="78">
        <f t="shared" si="0"/>
        <v>-2263.5606700000003</v>
      </c>
      <c r="O33" s="165">
        <v>0</v>
      </c>
      <c r="P33" s="166">
        <f t="shared" si="10"/>
        <v>0</v>
      </c>
      <c r="Q33" s="119">
        <f t="shared" si="1"/>
        <v>7000</v>
      </c>
      <c r="R33" s="167">
        <f t="shared" si="11"/>
        <v>490.00000000000006</v>
      </c>
      <c r="S33" s="165">
        <v>0</v>
      </c>
      <c r="T33" s="166">
        <f t="shared" si="12"/>
        <v>0</v>
      </c>
      <c r="U33" s="33">
        <f t="shared" si="13"/>
        <v>7690</v>
      </c>
      <c r="V33" s="167">
        <f t="shared" si="14"/>
        <v>538.30000000000007</v>
      </c>
      <c r="W33" s="165">
        <v>0</v>
      </c>
      <c r="X33" s="166">
        <f t="shared" si="15"/>
        <v>0</v>
      </c>
      <c r="Y33" s="33">
        <f t="shared" si="16"/>
        <v>8428.2999999999993</v>
      </c>
      <c r="Z33" s="167">
        <f t="shared" si="17"/>
        <v>589.98099999999999</v>
      </c>
      <c r="AA33" s="165">
        <v>0</v>
      </c>
      <c r="AB33" s="166">
        <f t="shared" si="18"/>
        <v>0</v>
      </c>
      <c r="AC33" s="33">
        <f t="shared" si="19"/>
        <v>9218.280999999999</v>
      </c>
      <c r="AD33" s="167">
        <f t="shared" si="20"/>
        <v>645.27967000000001</v>
      </c>
      <c r="AE33" s="220">
        <v>0</v>
      </c>
      <c r="AF33" s="221">
        <f t="shared" si="21"/>
        <v>0</v>
      </c>
      <c r="AG33" s="123">
        <f t="shared" si="22"/>
        <v>10063.560669999999</v>
      </c>
      <c r="AH33" s="222">
        <f t="shared" si="23"/>
        <v>704.44924690000005</v>
      </c>
      <c r="AI33" s="220">
        <v>0</v>
      </c>
      <c r="AJ33" s="221">
        <f t="shared" si="24"/>
        <v>0</v>
      </c>
      <c r="AK33" s="123">
        <f t="shared" si="25"/>
        <v>10968.009916899999</v>
      </c>
      <c r="AL33" s="222">
        <f t="shared" si="26"/>
        <v>767.76069418299994</v>
      </c>
      <c r="AM33" s="220">
        <v>0</v>
      </c>
      <c r="AN33" s="221">
        <f t="shared" si="27"/>
        <v>0</v>
      </c>
      <c r="AO33" s="123">
        <f t="shared" si="28"/>
        <v>11935.770611082999</v>
      </c>
      <c r="AP33" s="222">
        <f t="shared" si="29"/>
        <v>835.50394277580995</v>
      </c>
      <c r="AQ33" s="220">
        <v>0</v>
      </c>
      <c r="AR33" s="221">
        <f t="shared" si="30"/>
        <v>0</v>
      </c>
      <c r="AS33" s="123">
        <f t="shared" si="36"/>
        <v>12971.274553858808</v>
      </c>
      <c r="AT33" s="222">
        <f t="shared" si="31"/>
        <v>907.98921877011662</v>
      </c>
      <c r="AU33" s="231">
        <f t="shared" si="34"/>
        <v>0</v>
      </c>
      <c r="AV33" s="33">
        <f>' 2018-2019'!H33+'2019-2020 New'!H33+'2020-2021 New'!H33+'2021-2022 (A) New'!I33+'2021-2022 (B)'!G33+AY33</f>
        <v>1300</v>
      </c>
      <c r="AW33" s="233">
        <v>1300</v>
      </c>
      <c r="AX33" s="33">
        <f t="shared" si="32"/>
        <v>0</v>
      </c>
      <c r="AY33" s="10">
        <v>0</v>
      </c>
    </row>
    <row r="34" spans="1:51">
      <c r="A34" s="10" t="s">
        <v>605</v>
      </c>
      <c r="B34" s="10"/>
      <c r="C34" s="80">
        <v>0</v>
      </c>
      <c r="D34" s="79">
        <f t="shared" si="3"/>
        <v>1600</v>
      </c>
      <c r="E34" s="79">
        <f>' 2018-2019'!I34+'2019-2020 New'!I34+'2020-2021 New'!I34+'2021-2022 (A) New'!J34</f>
        <v>7700</v>
      </c>
      <c r="F34" s="78">
        <f t="shared" si="4"/>
        <v>1600</v>
      </c>
      <c r="G34" s="159">
        <f t="shared" si="5"/>
        <v>200</v>
      </c>
      <c r="H34" s="78">
        <f t="shared" si="6"/>
        <v>1400</v>
      </c>
      <c r="I34" s="78">
        <f t="shared" si="7"/>
        <v>11626.126477</v>
      </c>
      <c r="J34" s="78">
        <f t="shared" si="35"/>
        <v>2.2000000000000002</v>
      </c>
      <c r="K34" s="78">
        <f t="shared" si="8"/>
        <v>10.879000000000001</v>
      </c>
      <c r="L34" s="78">
        <f t="shared" si="9"/>
        <v>2526.1264769999998</v>
      </c>
      <c r="M34" s="78">
        <f t="shared" si="33"/>
        <v>2526.1264769999998</v>
      </c>
      <c r="N34" s="78">
        <f t="shared" ref="N34:N65" si="37">G34-J34-L34+K34</f>
        <v>-2317.4474769999997</v>
      </c>
      <c r="O34" s="165">
        <v>200</v>
      </c>
      <c r="P34" s="166">
        <f t="shared" si="10"/>
        <v>2.2000000000000002</v>
      </c>
      <c r="Q34" s="119">
        <f t="shared" ref="Q34:Q65" si="38">E34+200</f>
        <v>7900</v>
      </c>
      <c r="R34" s="167">
        <f t="shared" si="11"/>
        <v>539</v>
      </c>
      <c r="S34" s="165">
        <v>0</v>
      </c>
      <c r="T34" s="166">
        <f t="shared" si="12"/>
        <v>0</v>
      </c>
      <c r="U34" s="33">
        <f t="shared" si="13"/>
        <v>8639</v>
      </c>
      <c r="V34" s="167">
        <f t="shared" si="14"/>
        <v>604.73</v>
      </c>
      <c r="W34" s="165">
        <v>0</v>
      </c>
      <c r="X34" s="166">
        <f t="shared" si="15"/>
        <v>0</v>
      </c>
      <c r="Y34" s="33">
        <f t="shared" si="16"/>
        <v>9443.73</v>
      </c>
      <c r="Z34" s="167">
        <f t="shared" si="17"/>
        <v>661.06110000000001</v>
      </c>
      <c r="AA34" s="165">
        <v>0</v>
      </c>
      <c r="AB34" s="166">
        <f t="shared" si="18"/>
        <v>0</v>
      </c>
      <c r="AC34" s="33">
        <f t="shared" si="19"/>
        <v>10304.7911</v>
      </c>
      <c r="AD34" s="167">
        <f t="shared" si="20"/>
        <v>721.33537700000011</v>
      </c>
      <c r="AE34" s="220">
        <v>0</v>
      </c>
      <c r="AF34" s="221">
        <f t="shared" si="21"/>
        <v>0</v>
      </c>
      <c r="AG34" s="123">
        <f t="shared" si="22"/>
        <v>11226.126477</v>
      </c>
      <c r="AH34" s="222">
        <f t="shared" si="23"/>
        <v>785.82885339000006</v>
      </c>
      <c r="AI34" s="220">
        <v>0</v>
      </c>
      <c r="AJ34" s="221">
        <f t="shared" si="24"/>
        <v>0</v>
      </c>
      <c r="AK34" s="123">
        <f t="shared" si="25"/>
        <v>12211.955330389999</v>
      </c>
      <c r="AL34" s="222">
        <f t="shared" si="26"/>
        <v>854.83687312730001</v>
      </c>
      <c r="AM34" s="220">
        <v>0</v>
      </c>
      <c r="AN34" s="221">
        <f t="shared" si="27"/>
        <v>0</v>
      </c>
      <c r="AO34" s="123">
        <f t="shared" si="28"/>
        <v>13266.7922035173</v>
      </c>
      <c r="AP34" s="222">
        <f t="shared" si="29"/>
        <v>928.67545424621107</v>
      </c>
      <c r="AQ34" s="220">
        <v>0</v>
      </c>
      <c r="AR34" s="221">
        <f t="shared" si="30"/>
        <v>0</v>
      </c>
      <c r="AS34" s="123">
        <f t="shared" si="36"/>
        <v>14395.467657763511</v>
      </c>
      <c r="AT34" s="222">
        <f t="shared" si="31"/>
        <v>1007.6827360434459</v>
      </c>
      <c r="AU34" s="231">
        <f t="shared" si="34"/>
        <v>200</v>
      </c>
      <c r="AV34" s="33">
        <f>' 2018-2019'!H34+'2019-2020 New'!H34+'2020-2021 New'!H34+'2021-2022 (A) New'!I34+'2021-2022 (B)'!G34+AY34</f>
        <v>500</v>
      </c>
      <c r="AW34" s="233">
        <v>500</v>
      </c>
      <c r="AX34" s="33">
        <f t="shared" si="32"/>
        <v>0</v>
      </c>
      <c r="AY34" s="10">
        <v>0</v>
      </c>
    </row>
    <row r="35" spans="1:51">
      <c r="A35" s="10" t="s">
        <v>606</v>
      </c>
      <c r="B35" s="10" t="s">
        <v>113</v>
      </c>
      <c r="C35" s="80">
        <v>0</v>
      </c>
      <c r="D35" s="79">
        <f t="shared" si="3"/>
        <v>1600</v>
      </c>
      <c r="E35" s="79">
        <f>' 2018-2019'!I35+'2019-2020 New'!I35+'2020-2021 New'!I35+'2021-2022 (A) New'!J35</f>
        <v>7600</v>
      </c>
      <c r="F35" s="78">
        <f t="shared" si="4"/>
        <v>1600</v>
      </c>
      <c r="G35" s="159">
        <f t="shared" si="5"/>
        <v>0</v>
      </c>
      <c r="H35" s="78">
        <f t="shared" si="6"/>
        <v>1600</v>
      </c>
      <c r="I35" s="78">
        <f t="shared" si="7"/>
        <v>11712.197478</v>
      </c>
      <c r="J35" s="78">
        <f t="shared" si="35"/>
        <v>0</v>
      </c>
      <c r="K35" s="78">
        <f t="shared" si="8"/>
        <v>0</v>
      </c>
      <c r="L35" s="78">
        <f t="shared" si="9"/>
        <v>2512.197478</v>
      </c>
      <c r="M35" s="78">
        <f t="shared" si="33"/>
        <v>2512.197478</v>
      </c>
      <c r="N35" s="78">
        <f t="shared" si="37"/>
        <v>-2512.197478</v>
      </c>
      <c r="O35" s="165">
        <v>0</v>
      </c>
      <c r="P35" s="166">
        <f t="shared" si="10"/>
        <v>0</v>
      </c>
      <c r="Q35" s="119">
        <f t="shared" si="38"/>
        <v>7800</v>
      </c>
      <c r="R35" s="167">
        <f t="shared" si="11"/>
        <v>546</v>
      </c>
      <c r="S35" s="165">
        <v>0</v>
      </c>
      <c r="T35" s="166">
        <f t="shared" si="12"/>
        <v>0</v>
      </c>
      <c r="U35" s="33">
        <f t="shared" si="13"/>
        <v>8546</v>
      </c>
      <c r="V35" s="167">
        <f t="shared" si="14"/>
        <v>598.22</v>
      </c>
      <c r="W35" s="165">
        <v>0</v>
      </c>
      <c r="X35" s="166">
        <f t="shared" si="15"/>
        <v>0</v>
      </c>
      <c r="Y35" s="33">
        <f t="shared" si="16"/>
        <v>9344.2199999999993</v>
      </c>
      <c r="Z35" s="167">
        <f t="shared" si="17"/>
        <v>654.09540000000004</v>
      </c>
      <c r="AA35" s="165">
        <v>0</v>
      </c>
      <c r="AB35" s="166">
        <f t="shared" si="18"/>
        <v>0</v>
      </c>
      <c r="AC35" s="33">
        <f t="shared" si="19"/>
        <v>10198.315399999999</v>
      </c>
      <c r="AD35" s="167">
        <f t="shared" si="20"/>
        <v>713.88207799999998</v>
      </c>
      <c r="AE35" s="220">
        <v>0</v>
      </c>
      <c r="AF35" s="221">
        <f t="shared" si="21"/>
        <v>0</v>
      </c>
      <c r="AG35" s="123">
        <f t="shared" si="22"/>
        <v>11112.197478</v>
      </c>
      <c r="AH35" s="222">
        <f t="shared" si="23"/>
        <v>777.85382346000006</v>
      </c>
      <c r="AI35" s="220">
        <v>0</v>
      </c>
      <c r="AJ35" s="221">
        <f t="shared" si="24"/>
        <v>0</v>
      </c>
      <c r="AK35" s="123">
        <f t="shared" si="25"/>
        <v>12090.05130146</v>
      </c>
      <c r="AL35" s="222">
        <f t="shared" si="26"/>
        <v>846.30359110220013</v>
      </c>
      <c r="AM35" s="220">
        <v>0</v>
      </c>
      <c r="AN35" s="221">
        <f t="shared" si="27"/>
        <v>0</v>
      </c>
      <c r="AO35" s="123">
        <f t="shared" si="28"/>
        <v>13136.3548925622</v>
      </c>
      <c r="AP35" s="222">
        <f t="shared" si="29"/>
        <v>919.54484247935409</v>
      </c>
      <c r="AQ35" s="220">
        <v>0</v>
      </c>
      <c r="AR35" s="221">
        <f t="shared" si="30"/>
        <v>0</v>
      </c>
      <c r="AS35" s="123">
        <f t="shared" si="36"/>
        <v>14255.899735041554</v>
      </c>
      <c r="AT35" s="222">
        <f t="shared" si="31"/>
        <v>997.91298145290887</v>
      </c>
      <c r="AU35" s="231">
        <f t="shared" si="34"/>
        <v>0</v>
      </c>
      <c r="AV35" s="33">
        <f>' 2018-2019'!H35+'2019-2020 New'!H35+'2020-2021 New'!H35+'2021-2022 (A) New'!I35+'2021-2022 (B)'!G35+AY35</f>
        <v>500</v>
      </c>
      <c r="AW35" s="233">
        <v>500</v>
      </c>
      <c r="AX35" s="33">
        <f t="shared" si="32"/>
        <v>0</v>
      </c>
      <c r="AY35" s="10">
        <v>0</v>
      </c>
    </row>
    <row r="36" spans="1:51">
      <c r="A36" s="10" t="s">
        <v>607</v>
      </c>
      <c r="B36" s="10"/>
      <c r="C36" s="80">
        <v>0</v>
      </c>
      <c r="D36" s="79">
        <f t="shared" si="3"/>
        <v>1600</v>
      </c>
      <c r="E36" s="79">
        <f>' 2018-2019'!I36+'2019-2020 New'!I36+'2020-2021 New'!I36+'2021-2022 (A) New'!J36</f>
        <v>8000</v>
      </c>
      <c r="F36" s="78">
        <f t="shared" si="4"/>
        <v>1600</v>
      </c>
      <c r="G36" s="159">
        <f t="shared" si="5"/>
        <v>1700</v>
      </c>
      <c r="H36" s="78">
        <f t="shared" si="6"/>
        <v>-100</v>
      </c>
      <c r="I36" s="78">
        <f t="shared" si="7"/>
        <v>10243.504282</v>
      </c>
      <c r="J36" s="78">
        <f t="shared" si="35"/>
        <v>12.100000000000001</v>
      </c>
      <c r="K36" s="78">
        <f t="shared" si="8"/>
        <v>92.834500000000006</v>
      </c>
      <c r="L36" s="78">
        <f t="shared" si="9"/>
        <v>2343.5042820000003</v>
      </c>
      <c r="M36" s="78">
        <f t="shared" si="33"/>
        <v>2343.5042820000003</v>
      </c>
      <c r="N36" s="78">
        <f t="shared" si="37"/>
        <v>-562.76978200000019</v>
      </c>
      <c r="O36" s="165">
        <v>0</v>
      </c>
      <c r="P36" s="166">
        <f t="shared" si="10"/>
        <v>0</v>
      </c>
      <c r="Q36" s="119">
        <f t="shared" si="38"/>
        <v>8200</v>
      </c>
      <c r="R36" s="167">
        <f t="shared" si="11"/>
        <v>574</v>
      </c>
      <c r="S36" s="165">
        <v>600</v>
      </c>
      <c r="T36" s="166">
        <f t="shared" si="12"/>
        <v>6.6000000000000005</v>
      </c>
      <c r="U36" s="33">
        <f t="shared" si="13"/>
        <v>8374</v>
      </c>
      <c r="V36" s="167">
        <f t="shared" si="14"/>
        <v>544.18000000000006</v>
      </c>
      <c r="W36" s="165">
        <v>500</v>
      </c>
      <c r="X36" s="166">
        <f t="shared" si="15"/>
        <v>5.5000000000000009</v>
      </c>
      <c r="Y36" s="33">
        <f t="shared" si="16"/>
        <v>8618.18</v>
      </c>
      <c r="Z36" s="167">
        <f t="shared" si="17"/>
        <v>568.27260000000012</v>
      </c>
      <c r="AA36" s="165">
        <v>0</v>
      </c>
      <c r="AB36" s="166">
        <f t="shared" si="18"/>
        <v>0</v>
      </c>
      <c r="AC36" s="33">
        <f t="shared" si="19"/>
        <v>9386.4526000000005</v>
      </c>
      <c r="AD36" s="167">
        <f t="shared" si="20"/>
        <v>657.05168200000014</v>
      </c>
      <c r="AE36" s="220">
        <v>0</v>
      </c>
      <c r="AF36" s="221">
        <f t="shared" si="21"/>
        <v>0</v>
      </c>
      <c r="AG36" s="123">
        <f t="shared" si="22"/>
        <v>10243.504282</v>
      </c>
      <c r="AH36" s="222">
        <f t="shared" si="23"/>
        <v>717.04529974000002</v>
      </c>
      <c r="AI36" s="220">
        <v>0</v>
      </c>
      <c r="AJ36" s="221">
        <f t="shared" si="24"/>
        <v>0</v>
      </c>
      <c r="AK36" s="123">
        <f t="shared" si="25"/>
        <v>11160.549581740001</v>
      </c>
      <c r="AL36" s="222">
        <f t="shared" si="26"/>
        <v>781.23847072180013</v>
      </c>
      <c r="AM36" s="220">
        <v>400</v>
      </c>
      <c r="AN36" s="221">
        <f t="shared" si="27"/>
        <v>0</v>
      </c>
      <c r="AO36" s="123">
        <f t="shared" si="28"/>
        <v>11741.788052461801</v>
      </c>
      <c r="AP36" s="222">
        <f t="shared" si="29"/>
        <v>793.92516367232622</v>
      </c>
      <c r="AQ36" s="220">
        <v>200</v>
      </c>
      <c r="AR36" s="221">
        <f t="shared" si="30"/>
        <v>0</v>
      </c>
      <c r="AS36" s="123">
        <f t="shared" si="36"/>
        <v>12535.713216134127</v>
      </c>
      <c r="AT36" s="222">
        <f t="shared" si="31"/>
        <v>863.499925129389</v>
      </c>
      <c r="AU36" s="231">
        <f t="shared" si="34"/>
        <v>1700</v>
      </c>
      <c r="AV36" s="33">
        <f>' 2018-2019'!H36+'2019-2020 New'!H36+'2020-2021 New'!H36+'2021-2022 (A) New'!I36+'2021-2022 (B)'!G36+AY36</f>
        <v>1900</v>
      </c>
      <c r="AW36" s="233">
        <v>1900</v>
      </c>
      <c r="AX36" s="33">
        <f t="shared" si="32"/>
        <v>0</v>
      </c>
      <c r="AY36" s="10">
        <v>200</v>
      </c>
    </row>
    <row r="37" spans="1:51">
      <c r="A37" s="10" t="s">
        <v>608</v>
      </c>
      <c r="B37" s="10" t="s">
        <v>142</v>
      </c>
      <c r="C37" s="80">
        <v>0</v>
      </c>
      <c r="D37" s="79">
        <f t="shared" si="3"/>
        <v>1600</v>
      </c>
      <c r="E37" s="79">
        <f>' 2018-2019'!I37+'2019-2020 New'!I37+'2020-2021 New'!I37+'2021-2022 (A) New'!J37</f>
        <v>4700</v>
      </c>
      <c r="F37" s="78">
        <f t="shared" si="4"/>
        <v>1600</v>
      </c>
      <c r="G37" s="159">
        <f t="shared" si="5"/>
        <v>0</v>
      </c>
      <c r="H37" s="78">
        <f t="shared" si="6"/>
        <v>1600</v>
      </c>
      <c r="I37" s="78">
        <f t="shared" si="7"/>
        <v>7910.8890490000003</v>
      </c>
      <c r="J37" s="78">
        <f t="shared" si="35"/>
        <v>0</v>
      </c>
      <c r="K37" s="78">
        <f t="shared" si="8"/>
        <v>0</v>
      </c>
      <c r="L37" s="78">
        <f t="shared" si="9"/>
        <v>1610.8890490000001</v>
      </c>
      <c r="M37" s="78">
        <f t="shared" si="33"/>
        <v>1610.8890490000001</v>
      </c>
      <c r="N37" s="78">
        <f t="shared" si="37"/>
        <v>-1610.8890490000001</v>
      </c>
      <c r="O37" s="165">
        <v>0</v>
      </c>
      <c r="P37" s="166">
        <f t="shared" si="10"/>
        <v>0</v>
      </c>
      <c r="Q37" s="119">
        <f t="shared" si="38"/>
        <v>4900</v>
      </c>
      <c r="R37" s="167">
        <f t="shared" si="11"/>
        <v>343.00000000000006</v>
      </c>
      <c r="S37" s="165">
        <v>0</v>
      </c>
      <c r="T37" s="166">
        <f t="shared" si="12"/>
        <v>0</v>
      </c>
      <c r="U37" s="33">
        <f t="shared" si="13"/>
        <v>5443</v>
      </c>
      <c r="V37" s="167">
        <f t="shared" si="14"/>
        <v>381.01000000000005</v>
      </c>
      <c r="W37" s="165">
        <v>0</v>
      </c>
      <c r="X37" s="166">
        <f t="shared" si="15"/>
        <v>0</v>
      </c>
      <c r="Y37" s="33">
        <f t="shared" si="16"/>
        <v>6024.01</v>
      </c>
      <c r="Z37" s="167">
        <f t="shared" si="17"/>
        <v>421.68070000000006</v>
      </c>
      <c r="AA37" s="165">
        <v>0</v>
      </c>
      <c r="AB37" s="166">
        <f t="shared" si="18"/>
        <v>0</v>
      </c>
      <c r="AC37" s="33">
        <f t="shared" si="19"/>
        <v>6645.6907000000001</v>
      </c>
      <c r="AD37" s="167">
        <f t="shared" si="20"/>
        <v>465.19834900000006</v>
      </c>
      <c r="AE37" s="220">
        <v>0</v>
      </c>
      <c r="AF37" s="221">
        <f t="shared" si="21"/>
        <v>0</v>
      </c>
      <c r="AG37" s="123">
        <f t="shared" si="22"/>
        <v>7310.8890490000003</v>
      </c>
      <c r="AH37" s="222">
        <f t="shared" si="23"/>
        <v>511.76223343000009</v>
      </c>
      <c r="AI37" s="220">
        <v>0</v>
      </c>
      <c r="AJ37" s="221">
        <f t="shared" si="24"/>
        <v>0</v>
      </c>
      <c r="AK37" s="123">
        <f t="shared" si="25"/>
        <v>8022.6512824300007</v>
      </c>
      <c r="AL37" s="222">
        <f t="shared" si="26"/>
        <v>561.58558977010011</v>
      </c>
      <c r="AM37" s="220">
        <v>0</v>
      </c>
      <c r="AN37" s="221">
        <f t="shared" si="27"/>
        <v>0</v>
      </c>
      <c r="AO37" s="123">
        <f t="shared" si="28"/>
        <v>8784.2368722001011</v>
      </c>
      <c r="AP37" s="222">
        <f t="shared" si="29"/>
        <v>614.89658105400713</v>
      </c>
      <c r="AQ37" s="220">
        <v>0</v>
      </c>
      <c r="AR37" s="221">
        <f t="shared" si="30"/>
        <v>0</v>
      </c>
      <c r="AS37" s="123">
        <f t="shared" si="36"/>
        <v>9599.1334532541077</v>
      </c>
      <c r="AT37" s="222">
        <f t="shared" si="31"/>
        <v>671.93934172778756</v>
      </c>
      <c r="AU37" s="231">
        <f t="shared" si="34"/>
        <v>0</v>
      </c>
      <c r="AV37" s="33">
        <f>' 2018-2019'!H37+'2019-2020 New'!H37+'2020-2021 New'!H37+'2021-2022 (A) New'!I37+'2021-2022 (B)'!G37+AY37</f>
        <v>3300</v>
      </c>
      <c r="AW37" s="233">
        <v>3300</v>
      </c>
      <c r="AX37" s="33">
        <f t="shared" si="32"/>
        <v>0</v>
      </c>
      <c r="AY37" s="10">
        <v>0</v>
      </c>
    </row>
    <row r="38" spans="1:51">
      <c r="A38" s="10" t="s">
        <v>609</v>
      </c>
      <c r="B38" s="10" t="s">
        <v>124</v>
      </c>
      <c r="C38" s="80">
        <v>0</v>
      </c>
      <c r="D38" s="79">
        <f t="shared" si="3"/>
        <v>1600</v>
      </c>
      <c r="E38" s="79">
        <f>' 2018-2019'!I38+'2019-2020 New'!I38+'2020-2021 New'!I38+'2021-2022 (A) New'!J38</f>
        <v>4650</v>
      </c>
      <c r="F38" s="78">
        <f t="shared" si="4"/>
        <v>1600</v>
      </c>
      <c r="G38" s="159">
        <f t="shared" si="5"/>
        <v>400</v>
      </c>
      <c r="H38" s="78">
        <f t="shared" si="6"/>
        <v>1200</v>
      </c>
      <c r="I38" s="78">
        <f t="shared" si="7"/>
        <v>7367.1614465000002</v>
      </c>
      <c r="J38" s="78">
        <f t="shared" ref="J38:J67" si="39">P38+T38+X38+AB38</f>
        <v>4.4000000000000004</v>
      </c>
      <c r="K38" s="78">
        <f t="shared" si="8"/>
        <v>21.758000000000003</v>
      </c>
      <c r="L38" s="78">
        <f t="shared" si="9"/>
        <v>1517.1614465000002</v>
      </c>
      <c r="M38" s="78">
        <f t="shared" si="33"/>
        <v>1517.1614465000002</v>
      </c>
      <c r="N38" s="78">
        <f t="shared" si="37"/>
        <v>-1099.8034465000003</v>
      </c>
      <c r="O38" s="165">
        <v>200</v>
      </c>
      <c r="P38" s="166">
        <f t="shared" si="10"/>
        <v>2.2000000000000002</v>
      </c>
      <c r="Q38" s="119">
        <f t="shared" si="38"/>
        <v>4850</v>
      </c>
      <c r="R38" s="167">
        <f t="shared" si="11"/>
        <v>325.50000000000006</v>
      </c>
      <c r="S38" s="165">
        <v>200</v>
      </c>
      <c r="T38" s="166">
        <f t="shared" si="12"/>
        <v>2.2000000000000002</v>
      </c>
      <c r="U38" s="33">
        <f t="shared" si="13"/>
        <v>5175.5</v>
      </c>
      <c r="V38" s="167">
        <f t="shared" si="14"/>
        <v>348.28500000000003</v>
      </c>
      <c r="W38" s="165">
        <v>0</v>
      </c>
      <c r="X38" s="166">
        <f t="shared" si="15"/>
        <v>0</v>
      </c>
      <c r="Y38" s="33">
        <f t="shared" si="16"/>
        <v>5723.7849999999999</v>
      </c>
      <c r="Z38" s="167">
        <f t="shared" si="17"/>
        <v>400.66495000000003</v>
      </c>
      <c r="AA38" s="165">
        <v>0</v>
      </c>
      <c r="AB38" s="166">
        <f t="shared" si="18"/>
        <v>0</v>
      </c>
      <c r="AC38" s="33">
        <f t="shared" si="19"/>
        <v>6324.4499500000002</v>
      </c>
      <c r="AD38" s="167">
        <f t="shared" si="20"/>
        <v>442.71149650000007</v>
      </c>
      <c r="AE38" s="220">
        <v>0</v>
      </c>
      <c r="AF38" s="221">
        <f t="shared" si="21"/>
        <v>0</v>
      </c>
      <c r="AG38" s="123">
        <f t="shared" si="22"/>
        <v>6967.1614465000002</v>
      </c>
      <c r="AH38" s="222">
        <f t="shared" si="23"/>
        <v>487.70130125500009</v>
      </c>
      <c r="AI38" s="220">
        <v>0</v>
      </c>
      <c r="AJ38" s="221">
        <f t="shared" si="24"/>
        <v>0</v>
      </c>
      <c r="AK38" s="123">
        <f t="shared" si="25"/>
        <v>7654.8627477549999</v>
      </c>
      <c r="AL38" s="222">
        <f t="shared" si="26"/>
        <v>535.84039234285001</v>
      </c>
      <c r="AM38" s="220">
        <v>0</v>
      </c>
      <c r="AN38" s="221">
        <f t="shared" si="27"/>
        <v>0</v>
      </c>
      <c r="AO38" s="123">
        <f t="shared" si="28"/>
        <v>8390.7031400978503</v>
      </c>
      <c r="AP38" s="222">
        <f t="shared" si="29"/>
        <v>587.34921980684953</v>
      </c>
      <c r="AQ38" s="220">
        <v>0</v>
      </c>
      <c r="AR38" s="221">
        <f t="shared" si="30"/>
        <v>0</v>
      </c>
      <c r="AS38" s="123">
        <f t="shared" si="36"/>
        <v>9178.0523599046992</v>
      </c>
      <c r="AT38" s="222">
        <f t="shared" si="31"/>
        <v>642.46366519332901</v>
      </c>
      <c r="AU38" s="231">
        <f t="shared" si="34"/>
        <v>400</v>
      </c>
      <c r="AV38" s="33">
        <f>' 2018-2019'!H38+'2019-2020 New'!H38+'2020-2021 New'!H38+'2021-2022 (A) New'!I38+'2021-2022 (B)'!G38+AY38</f>
        <v>3750</v>
      </c>
      <c r="AW38" s="233">
        <v>3750</v>
      </c>
      <c r="AX38" s="33">
        <f t="shared" si="32"/>
        <v>0</v>
      </c>
      <c r="AY38" s="10">
        <v>0</v>
      </c>
    </row>
    <row r="39" spans="1:51">
      <c r="A39" s="10" t="s">
        <v>610</v>
      </c>
      <c r="B39" s="10" t="s">
        <v>140</v>
      </c>
      <c r="C39" s="80">
        <v>0</v>
      </c>
      <c r="D39" s="79">
        <f t="shared" si="3"/>
        <v>1600</v>
      </c>
      <c r="E39" s="79">
        <f>' 2018-2019'!I39+'2019-2020 New'!I39+'2020-2021 New'!I39+'2021-2022 (A) New'!J39</f>
        <v>7500</v>
      </c>
      <c r="F39" s="78">
        <f t="shared" si="4"/>
        <v>1600</v>
      </c>
      <c r="G39" s="159">
        <f t="shared" si="5"/>
        <v>0</v>
      </c>
      <c r="H39" s="78">
        <f t="shared" si="6"/>
        <v>1600</v>
      </c>
      <c r="I39" s="78">
        <f t="shared" si="7"/>
        <v>11581.117877000001</v>
      </c>
      <c r="J39" s="78">
        <f t="shared" si="39"/>
        <v>0</v>
      </c>
      <c r="K39" s="78">
        <f t="shared" si="8"/>
        <v>0</v>
      </c>
      <c r="L39" s="78">
        <f t="shared" si="9"/>
        <v>2481.1178769999997</v>
      </c>
      <c r="M39" s="78">
        <f t="shared" si="33"/>
        <v>2481.1178769999997</v>
      </c>
      <c r="N39" s="78">
        <f t="shared" si="37"/>
        <v>-2481.1178769999997</v>
      </c>
      <c r="O39" s="165">
        <v>0</v>
      </c>
      <c r="P39" s="166">
        <f t="shared" si="10"/>
        <v>0</v>
      </c>
      <c r="Q39" s="119">
        <f t="shared" si="38"/>
        <v>7700</v>
      </c>
      <c r="R39" s="167">
        <f t="shared" si="11"/>
        <v>539</v>
      </c>
      <c r="S39" s="165">
        <v>0</v>
      </c>
      <c r="T39" s="166">
        <f t="shared" si="12"/>
        <v>0</v>
      </c>
      <c r="U39" s="33">
        <f t="shared" si="13"/>
        <v>8439</v>
      </c>
      <c r="V39" s="167">
        <f t="shared" si="14"/>
        <v>590.73</v>
      </c>
      <c r="W39" s="165">
        <v>0</v>
      </c>
      <c r="X39" s="166">
        <f t="shared" si="15"/>
        <v>0</v>
      </c>
      <c r="Y39" s="33">
        <f t="shared" si="16"/>
        <v>9229.73</v>
      </c>
      <c r="Z39" s="167">
        <f t="shared" si="17"/>
        <v>646.08109999999999</v>
      </c>
      <c r="AA39" s="165">
        <v>0</v>
      </c>
      <c r="AB39" s="166">
        <f t="shared" si="18"/>
        <v>0</v>
      </c>
      <c r="AC39" s="33">
        <f t="shared" si="19"/>
        <v>10075.811099999999</v>
      </c>
      <c r="AD39" s="167">
        <f t="shared" si="20"/>
        <v>705.30677700000001</v>
      </c>
      <c r="AE39" s="220">
        <v>0</v>
      </c>
      <c r="AF39" s="221">
        <f t="shared" si="21"/>
        <v>0</v>
      </c>
      <c r="AG39" s="123">
        <f t="shared" si="22"/>
        <v>10981.117876999999</v>
      </c>
      <c r="AH39" s="222">
        <f t="shared" si="23"/>
        <v>768.67825139000001</v>
      </c>
      <c r="AI39" s="220">
        <v>0</v>
      </c>
      <c r="AJ39" s="221">
        <f t="shared" si="24"/>
        <v>0</v>
      </c>
      <c r="AK39" s="123">
        <f t="shared" si="25"/>
        <v>11949.796128389999</v>
      </c>
      <c r="AL39" s="222">
        <f t="shared" si="26"/>
        <v>836.48572898730004</v>
      </c>
      <c r="AM39" s="220">
        <v>0</v>
      </c>
      <c r="AN39" s="221">
        <f t="shared" si="27"/>
        <v>0</v>
      </c>
      <c r="AO39" s="123">
        <f t="shared" si="28"/>
        <v>12986.281857377298</v>
      </c>
      <c r="AP39" s="222">
        <f t="shared" si="29"/>
        <v>909.039730016411</v>
      </c>
      <c r="AQ39" s="220">
        <v>0</v>
      </c>
      <c r="AR39" s="221">
        <f t="shared" si="30"/>
        <v>0</v>
      </c>
      <c r="AS39" s="123">
        <f t="shared" si="36"/>
        <v>14095.32158739371</v>
      </c>
      <c r="AT39" s="222">
        <f t="shared" si="31"/>
        <v>986.67251111755979</v>
      </c>
      <c r="AU39" s="231">
        <f t="shared" si="34"/>
        <v>0</v>
      </c>
      <c r="AV39" s="33">
        <f>' 2018-2019'!H39+'2019-2020 New'!H39+'2020-2021 New'!H39+'2021-2022 (A) New'!I39+'2021-2022 (B)'!G39+AY39</f>
        <v>500</v>
      </c>
      <c r="AW39" s="233">
        <v>500</v>
      </c>
      <c r="AX39" s="33">
        <f t="shared" si="32"/>
        <v>0</v>
      </c>
      <c r="AY39" s="10">
        <v>0</v>
      </c>
    </row>
    <row r="40" spans="1:51">
      <c r="A40" s="10" t="s">
        <v>611</v>
      </c>
      <c r="B40" s="10" t="s">
        <v>125</v>
      </c>
      <c r="C40" s="80">
        <v>0</v>
      </c>
      <c r="D40" s="79">
        <f t="shared" si="3"/>
        <v>1600</v>
      </c>
      <c r="E40" s="79">
        <f>' 2018-2019'!I40+'2019-2020 New'!I40+'2020-2021 New'!I40+'2021-2022 (A) New'!J40</f>
        <v>5790</v>
      </c>
      <c r="F40" s="78">
        <f t="shared" si="4"/>
        <v>1600</v>
      </c>
      <c r="G40" s="159">
        <f t="shared" si="5"/>
        <v>690</v>
      </c>
      <c r="H40" s="78">
        <f t="shared" si="6"/>
        <v>910</v>
      </c>
      <c r="I40" s="78">
        <f t="shared" si="7"/>
        <v>8550.2730259999989</v>
      </c>
      <c r="J40" s="78">
        <f t="shared" si="39"/>
        <v>7.59</v>
      </c>
      <c r="K40" s="78">
        <f t="shared" si="8"/>
        <v>37.532550000000001</v>
      </c>
      <c r="L40" s="78">
        <f t="shared" si="9"/>
        <v>1850.2730260000001</v>
      </c>
      <c r="M40" s="78">
        <f t="shared" si="33"/>
        <v>1850.2730260000001</v>
      </c>
      <c r="N40" s="78">
        <f t="shared" si="37"/>
        <v>-1130.3304760000001</v>
      </c>
      <c r="O40" s="165">
        <v>390</v>
      </c>
      <c r="P40" s="166">
        <f t="shared" si="10"/>
        <v>4.29</v>
      </c>
      <c r="Q40" s="119">
        <f t="shared" si="38"/>
        <v>5990</v>
      </c>
      <c r="R40" s="167">
        <f t="shared" si="11"/>
        <v>392.00000000000006</v>
      </c>
      <c r="S40" s="165">
        <v>0</v>
      </c>
      <c r="T40" s="166">
        <f t="shared" si="12"/>
        <v>0</v>
      </c>
      <c r="U40" s="33">
        <f t="shared" si="13"/>
        <v>6582</v>
      </c>
      <c r="V40" s="167">
        <f t="shared" si="14"/>
        <v>460.74000000000007</v>
      </c>
      <c r="W40" s="165">
        <v>300</v>
      </c>
      <c r="X40" s="166">
        <f t="shared" si="15"/>
        <v>3.3000000000000003</v>
      </c>
      <c r="Y40" s="33">
        <f t="shared" si="16"/>
        <v>6942.74</v>
      </c>
      <c r="Z40" s="167">
        <f t="shared" si="17"/>
        <v>464.99180000000001</v>
      </c>
      <c r="AA40" s="165">
        <v>0</v>
      </c>
      <c r="AB40" s="166">
        <f t="shared" si="18"/>
        <v>0</v>
      </c>
      <c r="AC40" s="33">
        <f t="shared" si="19"/>
        <v>7607.7317999999996</v>
      </c>
      <c r="AD40" s="167">
        <f t="shared" si="20"/>
        <v>532.54122600000005</v>
      </c>
      <c r="AE40" s="220">
        <v>0</v>
      </c>
      <c r="AF40" s="221">
        <f t="shared" si="21"/>
        <v>0</v>
      </c>
      <c r="AG40" s="123">
        <f t="shared" si="22"/>
        <v>8340.2730259999989</v>
      </c>
      <c r="AH40" s="222">
        <f t="shared" si="23"/>
        <v>583.81911181999999</v>
      </c>
      <c r="AI40" s="220">
        <v>0</v>
      </c>
      <c r="AJ40" s="221">
        <f t="shared" si="24"/>
        <v>0</v>
      </c>
      <c r="AK40" s="123">
        <f t="shared" si="25"/>
        <v>9124.0921378199982</v>
      </c>
      <c r="AL40" s="222">
        <f t="shared" si="26"/>
        <v>638.68644964739997</v>
      </c>
      <c r="AM40" s="220">
        <v>0</v>
      </c>
      <c r="AN40" s="221">
        <f t="shared" si="27"/>
        <v>0</v>
      </c>
      <c r="AO40" s="123">
        <f t="shared" si="28"/>
        <v>9962.7785874673973</v>
      </c>
      <c r="AP40" s="222">
        <f t="shared" si="29"/>
        <v>697.39450112271788</v>
      </c>
      <c r="AQ40" s="220">
        <v>0</v>
      </c>
      <c r="AR40" s="221">
        <f t="shared" si="30"/>
        <v>0</v>
      </c>
      <c r="AS40" s="123">
        <f t="shared" si="36"/>
        <v>10860.173088590116</v>
      </c>
      <c r="AT40" s="222">
        <f t="shared" si="31"/>
        <v>760.21211620130816</v>
      </c>
      <c r="AU40" s="231">
        <f t="shared" si="34"/>
        <v>690</v>
      </c>
      <c r="AV40" s="33">
        <f>' 2018-2019'!H40+'2019-2020 New'!H40+'2020-2021 New'!H40+'2021-2022 (A) New'!I40+'2021-2022 (B)'!G40+AY40</f>
        <v>3000</v>
      </c>
      <c r="AW40" s="233">
        <v>3000</v>
      </c>
      <c r="AX40" s="33">
        <f t="shared" si="32"/>
        <v>0</v>
      </c>
      <c r="AY40" s="10">
        <v>0</v>
      </c>
    </row>
    <row r="41" spans="1:51">
      <c r="A41" s="10" t="s">
        <v>612</v>
      </c>
      <c r="B41" s="10" t="s">
        <v>144</v>
      </c>
      <c r="C41" s="80">
        <v>0</v>
      </c>
      <c r="D41" s="79">
        <f t="shared" si="3"/>
        <v>1600</v>
      </c>
      <c r="E41" s="79">
        <f>' 2018-2019'!I41+'2019-2020 New'!I41+'2020-2021 New'!I41+'2021-2022 (A) New'!J41</f>
        <v>1400</v>
      </c>
      <c r="F41" s="78">
        <f t="shared" si="4"/>
        <v>1600</v>
      </c>
      <c r="G41" s="159">
        <f t="shared" si="5"/>
        <v>0</v>
      </c>
      <c r="H41" s="78">
        <f t="shared" si="6"/>
        <v>1600</v>
      </c>
      <c r="I41" s="78">
        <f t="shared" si="7"/>
        <v>3585.2622160000001</v>
      </c>
      <c r="J41" s="78">
        <f t="shared" si="39"/>
        <v>0</v>
      </c>
      <c r="K41" s="78">
        <f t="shared" si="8"/>
        <v>0</v>
      </c>
      <c r="L41" s="78">
        <f t="shared" si="9"/>
        <v>585.26221600000008</v>
      </c>
      <c r="M41" s="78">
        <f t="shared" si="33"/>
        <v>585.26221600000008</v>
      </c>
      <c r="N41" s="78">
        <f t="shared" si="37"/>
        <v>-585.26221600000008</v>
      </c>
      <c r="O41" s="165">
        <v>0</v>
      </c>
      <c r="P41" s="166">
        <f t="shared" si="10"/>
        <v>0</v>
      </c>
      <c r="Q41" s="119">
        <f t="shared" si="38"/>
        <v>1600</v>
      </c>
      <c r="R41" s="167">
        <f t="shared" si="11"/>
        <v>112.00000000000001</v>
      </c>
      <c r="S41" s="165">
        <v>0</v>
      </c>
      <c r="T41" s="166">
        <f t="shared" si="12"/>
        <v>0</v>
      </c>
      <c r="U41" s="33">
        <f t="shared" si="13"/>
        <v>1912</v>
      </c>
      <c r="V41" s="167">
        <f t="shared" si="14"/>
        <v>133.84</v>
      </c>
      <c r="W41" s="165">
        <v>0</v>
      </c>
      <c r="X41" s="166">
        <f t="shared" si="15"/>
        <v>0</v>
      </c>
      <c r="Y41" s="33">
        <f t="shared" si="16"/>
        <v>2245.84</v>
      </c>
      <c r="Z41" s="167">
        <f t="shared" si="17"/>
        <v>157.20880000000002</v>
      </c>
      <c r="AA41" s="165">
        <v>0</v>
      </c>
      <c r="AB41" s="166">
        <f t="shared" si="18"/>
        <v>0</v>
      </c>
      <c r="AC41" s="33">
        <f t="shared" si="19"/>
        <v>2603.0488</v>
      </c>
      <c r="AD41" s="167">
        <f t="shared" si="20"/>
        <v>182.21341600000002</v>
      </c>
      <c r="AE41" s="220">
        <v>0</v>
      </c>
      <c r="AF41" s="221">
        <f t="shared" si="21"/>
        <v>0</v>
      </c>
      <c r="AG41" s="123">
        <f t="shared" si="22"/>
        <v>2985.2622160000001</v>
      </c>
      <c r="AH41" s="222">
        <f t="shared" si="23"/>
        <v>208.96835512000001</v>
      </c>
      <c r="AI41" s="220">
        <v>0</v>
      </c>
      <c r="AJ41" s="221">
        <f t="shared" si="24"/>
        <v>0</v>
      </c>
      <c r="AK41" s="123">
        <f t="shared" si="25"/>
        <v>3394.2305711200001</v>
      </c>
      <c r="AL41" s="222">
        <f t="shared" si="26"/>
        <v>237.59613997840003</v>
      </c>
      <c r="AM41" s="220">
        <v>0</v>
      </c>
      <c r="AN41" s="221">
        <f t="shared" si="27"/>
        <v>0</v>
      </c>
      <c r="AO41" s="123">
        <f t="shared" si="28"/>
        <v>3831.8267110984002</v>
      </c>
      <c r="AP41" s="222">
        <f t="shared" si="29"/>
        <v>268.22786977688804</v>
      </c>
      <c r="AQ41" s="220">
        <v>0</v>
      </c>
      <c r="AR41" s="221">
        <f t="shared" si="30"/>
        <v>0</v>
      </c>
      <c r="AS41" s="123">
        <f t="shared" si="36"/>
        <v>4300.0545808752886</v>
      </c>
      <c r="AT41" s="222">
        <f t="shared" si="31"/>
        <v>301.00382066127025</v>
      </c>
      <c r="AU41" s="231">
        <f t="shared" si="34"/>
        <v>0</v>
      </c>
      <c r="AV41" s="33">
        <f>' 2018-2019'!H41+'2019-2020 New'!H41+'2020-2021 New'!H41+'2021-2022 (A) New'!I41+'2021-2022 (B)'!G41+AY41</f>
        <v>6700</v>
      </c>
      <c r="AW41" s="233">
        <v>6700</v>
      </c>
      <c r="AX41" s="33">
        <f t="shared" si="32"/>
        <v>0</v>
      </c>
      <c r="AY41" s="10">
        <v>0</v>
      </c>
    </row>
    <row r="42" spans="1:51">
      <c r="A42" s="10" t="s">
        <v>613</v>
      </c>
      <c r="B42" s="10" t="s">
        <v>143</v>
      </c>
      <c r="C42" s="80">
        <v>0</v>
      </c>
      <c r="D42" s="79">
        <f t="shared" si="3"/>
        <v>1600</v>
      </c>
      <c r="E42" s="79">
        <f>' 2018-2019'!I42+'2019-2020 New'!I42+'2020-2021 New'!I42+'2021-2022 (A) New'!J42</f>
        <v>4900</v>
      </c>
      <c r="F42" s="78">
        <f t="shared" si="4"/>
        <v>1600</v>
      </c>
      <c r="G42" s="159">
        <f t="shared" si="5"/>
        <v>0</v>
      </c>
      <c r="H42" s="78">
        <f t="shared" si="6"/>
        <v>1600</v>
      </c>
      <c r="I42" s="78">
        <f t="shared" si="7"/>
        <v>8173.0482510000002</v>
      </c>
      <c r="J42" s="78">
        <f t="shared" si="39"/>
        <v>0</v>
      </c>
      <c r="K42" s="78">
        <f t="shared" si="8"/>
        <v>0</v>
      </c>
      <c r="L42" s="78">
        <f t="shared" si="9"/>
        <v>1673.0482510000002</v>
      </c>
      <c r="M42" s="78">
        <f t="shared" si="33"/>
        <v>1673.0482510000002</v>
      </c>
      <c r="N42" s="78">
        <f t="shared" si="37"/>
        <v>-1673.0482510000002</v>
      </c>
      <c r="O42" s="165">
        <v>0</v>
      </c>
      <c r="P42" s="166">
        <f t="shared" si="10"/>
        <v>0</v>
      </c>
      <c r="Q42" s="119">
        <f t="shared" si="38"/>
        <v>5100</v>
      </c>
      <c r="R42" s="167">
        <f t="shared" si="11"/>
        <v>357.00000000000006</v>
      </c>
      <c r="S42" s="165">
        <v>0</v>
      </c>
      <c r="T42" s="166">
        <f t="shared" si="12"/>
        <v>0</v>
      </c>
      <c r="U42" s="33">
        <f t="shared" si="13"/>
        <v>5657</v>
      </c>
      <c r="V42" s="167">
        <f t="shared" si="14"/>
        <v>395.99000000000007</v>
      </c>
      <c r="W42" s="165">
        <v>0</v>
      </c>
      <c r="X42" s="166">
        <f t="shared" si="15"/>
        <v>0</v>
      </c>
      <c r="Y42" s="33">
        <f t="shared" si="16"/>
        <v>6252.99</v>
      </c>
      <c r="Z42" s="167">
        <f t="shared" si="17"/>
        <v>437.70930000000004</v>
      </c>
      <c r="AA42" s="165">
        <v>0</v>
      </c>
      <c r="AB42" s="166">
        <f t="shared" si="18"/>
        <v>0</v>
      </c>
      <c r="AC42" s="33">
        <f t="shared" si="19"/>
        <v>6890.6993000000002</v>
      </c>
      <c r="AD42" s="167">
        <f t="shared" si="20"/>
        <v>482.34895100000006</v>
      </c>
      <c r="AE42" s="220">
        <v>0</v>
      </c>
      <c r="AF42" s="221">
        <f t="shared" si="21"/>
        <v>0</v>
      </c>
      <c r="AG42" s="123">
        <f t="shared" si="22"/>
        <v>7573.0482510000002</v>
      </c>
      <c r="AH42" s="222">
        <f t="shared" si="23"/>
        <v>530.11337757000001</v>
      </c>
      <c r="AI42" s="220">
        <v>0</v>
      </c>
      <c r="AJ42" s="221">
        <f t="shared" si="24"/>
        <v>0</v>
      </c>
      <c r="AK42" s="123">
        <f t="shared" si="25"/>
        <v>8303.1616285700002</v>
      </c>
      <c r="AL42" s="222">
        <f t="shared" si="26"/>
        <v>581.22131399990008</v>
      </c>
      <c r="AM42" s="220">
        <v>0</v>
      </c>
      <c r="AN42" s="221">
        <f t="shared" si="27"/>
        <v>0</v>
      </c>
      <c r="AO42" s="123">
        <f t="shared" si="28"/>
        <v>9084.3829425699005</v>
      </c>
      <c r="AP42" s="222">
        <f t="shared" si="29"/>
        <v>635.90680597989308</v>
      </c>
      <c r="AQ42" s="220">
        <v>0</v>
      </c>
      <c r="AR42" s="221">
        <f t="shared" si="30"/>
        <v>0</v>
      </c>
      <c r="AS42" s="123">
        <f t="shared" si="36"/>
        <v>9920.2897485497942</v>
      </c>
      <c r="AT42" s="222">
        <f t="shared" si="31"/>
        <v>694.42028239848571</v>
      </c>
      <c r="AU42" s="231">
        <f t="shared" si="34"/>
        <v>0</v>
      </c>
      <c r="AV42" s="33">
        <f>' 2018-2019'!H42+'2019-2020 New'!H42+'2020-2021 New'!H42+'2021-2022 (A) New'!I42+'2021-2022 (B)'!G42+AY42</f>
        <v>3100</v>
      </c>
      <c r="AW42" s="233">
        <v>3100</v>
      </c>
      <c r="AX42" s="33">
        <f t="shared" si="32"/>
        <v>0</v>
      </c>
      <c r="AY42" s="10">
        <v>0</v>
      </c>
    </row>
    <row r="43" spans="1:51">
      <c r="A43" s="10" t="s">
        <v>614</v>
      </c>
      <c r="B43" s="10" t="s">
        <v>150</v>
      </c>
      <c r="C43" s="80">
        <v>0</v>
      </c>
      <c r="D43" s="79">
        <f t="shared" si="3"/>
        <v>1600</v>
      </c>
      <c r="E43" s="79">
        <f>' 2018-2019'!I43+'2019-2020 New'!I43+'2020-2021 New'!I43+'2021-2022 (A) New'!J43</f>
        <v>4061.11</v>
      </c>
      <c r="F43" s="78">
        <f t="shared" si="4"/>
        <v>1600</v>
      </c>
      <c r="G43" s="159">
        <f t="shared" si="5"/>
        <v>800</v>
      </c>
      <c r="H43" s="78">
        <f t="shared" si="6"/>
        <v>800</v>
      </c>
      <c r="I43" s="78">
        <f t="shared" si="7"/>
        <v>6167.2467841711004</v>
      </c>
      <c r="J43" s="78">
        <f t="shared" si="39"/>
        <v>6.6000000000000005</v>
      </c>
      <c r="K43" s="78">
        <f t="shared" si="8"/>
        <v>43.637</v>
      </c>
      <c r="L43" s="78">
        <f t="shared" si="9"/>
        <v>1306.1367841711003</v>
      </c>
      <c r="M43" s="78">
        <f t="shared" si="33"/>
        <v>1306.1367841711003</v>
      </c>
      <c r="N43" s="78">
        <f t="shared" si="37"/>
        <v>-469.09978417110034</v>
      </c>
      <c r="O43" s="165">
        <v>200</v>
      </c>
      <c r="P43" s="166">
        <f t="shared" si="10"/>
        <v>2.2000000000000002</v>
      </c>
      <c r="Q43" s="119">
        <f t="shared" si="38"/>
        <v>4261.1100000000006</v>
      </c>
      <c r="R43" s="167">
        <f t="shared" si="11"/>
        <v>284.2777000000001</v>
      </c>
      <c r="S43" s="165">
        <v>200</v>
      </c>
      <c r="T43" s="166">
        <f t="shared" si="12"/>
        <v>2.2000000000000002</v>
      </c>
      <c r="U43" s="33">
        <f t="shared" si="13"/>
        <v>4545.3877000000011</v>
      </c>
      <c r="V43" s="167">
        <f t="shared" si="14"/>
        <v>304.17713900000012</v>
      </c>
      <c r="W43" s="165">
        <v>0</v>
      </c>
      <c r="X43" s="166">
        <f t="shared" si="15"/>
        <v>0</v>
      </c>
      <c r="Y43" s="33">
        <f t="shared" si="16"/>
        <v>5049.5648390000015</v>
      </c>
      <c r="Z43" s="167">
        <f t="shared" si="17"/>
        <v>353.46953873000012</v>
      </c>
      <c r="AA43" s="165">
        <v>200</v>
      </c>
      <c r="AB43" s="166">
        <f t="shared" si="18"/>
        <v>2.2000000000000002</v>
      </c>
      <c r="AC43" s="33">
        <f t="shared" si="19"/>
        <v>5403.0343777300013</v>
      </c>
      <c r="AD43" s="167">
        <f t="shared" si="20"/>
        <v>364.21240644110014</v>
      </c>
      <c r="AE43" s="220">
        <v>0</v>
      </c>
      <c r="AF43" s="221">
        <f t="shared" si="21"/>
        <v>0</v>
      </c>
      <c r="AG43" s="123">
        <f t="shared" si="22"/>
        <v>5967.2467841711014</v>
      </c>
      <c r="AH43" s="222">
        <f t="shared" si="23"/>
        <v>417.70727489197714</v>
      </c>
      <c r="AI43" s="220">
        <v>0</v>
      </c>
      <c r="AJ43" s="221">
        <f t="shared" si="24"/>
        <v>0</v>
      </c>
      <c r="AK43" s="123">
        <f t="shared" si="25"/>
        <v>6584.9540590630786</v>
      </c>
      <c r="AL43" s="222">
        <f t="shared" si="26"/>
        <v>460.94678413441557</v>
      </c>
      <c r="AM43" s="220">
        <v>0</v>
      </c>
      <c r="AN43" s="221">
        <f t="shared" si="27"/>
        <v>0</v>
      </c>
      <c r="AO43" s="123">
        <f t="shared" si="28"/>
        <v>7245.9008431974944</v>
      </c>
      <c r="AP43" s="222">
        <f t="shared" si="29"/>
        <v>507.21305902382466</v>
      </c>
      <c r="AQ43" s="220">
        <v>200</v>
      </c>
      <c r="AR43" s="221">
        <f t="shared" si="30"/>
        <v>0</v>
      </c>
      <c r="AS43" s="123">
        <f t="shared" si="36"/>
        <v>7753.1139022213192</v>
      </c>
      <c r="AT43" s="222">
        <f t="shared" si="31"/>
        <v>528.71797315549236</v>
      </c>
      <c r="AU43" s="231">
        <f t="shared" si="34"/>
        <v>800</v>
      </c>
      <c r="AV43" s="33">
        <f>' 2018-2019'!H43+'2019-2020 New'!H43+'2020-2021 New'!H43+'2021-2022 (A) New'!I43+'2021-2022 (B)'!G43+AY43</f>
        <v>4838.8899999999994</v>
      </c>
      <c r="AW43" s="233">
        <v>4838.8900000000003</v>
      </c>
      <c r="AX43" s="33">
        <f t="shared" si="32"/>
        <v>0</v>
      </c>
      <c r="AY43" s="10">
        <v>0</v>
      </c>
    </row>
    <row r="44" spans="1:51">
      <c r="A44" s="10" t="s">
        <v>615</v>
      </c>
      <c r="B44" s="10" t="s">
        <v>159</v>
      </c>
      <c r="C44" s="80">
        <v>0</v>
      </c>
      <c r="D44" s="79">
        <f t="shared" si="3"/>
        <v>1600</v>
      </c>
      <c r="E44" s="79">
        <f>' 2018-2019'!I44+'2019-2020 New'!I44+'2020-2021 New'!I44+'2021-2022 (A) New'!J44</f>
        <v>-630</v>
      </c>
      <c r="F44" s="78">
        <f t="shared" si="4"/>
        <v>1600</v>
      </c>
      <c r="G44" s="159">
        <f t="shared" si="5"/>
        <v>1900</v>
      </c>
      <c r="H44" s="78">
        <f t="shared" si="6"/>
        <v>-300</v>
      </c>
      <c r="I44" s="78">
        <f t="shared" si="7"/>
        <v>-1186.8386863000001</v>
      </c>
      <c r="J44" s="78">
        <f t="shared" si="39"/>
        <v>11</v>
      </c>
      <c r="K44" s="78">
        <f t="shared" si="8"/>
        <v>103.895</v>
      </c>
      <c r="L44" s="78">
        <f t="shared" si="9"/>
        <v>-256.83868630000006</v>
      </c>
      <c r="M44" s="78">
        <f t="shared" si="33"/>
        <v>-256.83868630000006</v>
      </c>
      <c r="N44" s="78">
        <f t="shared" si="37"/>
        <v>2249.7336863</v>
      </c>
      <c r="O44" s="165">
        <v>200</v>
      </c>
      <c r="P44" s="166">
        <f t="shared" si="10"/>
        <v>2.2000000000000002</v>
      </c>
      <c r="Q44" s="119">
        <f t="shared" si="38"/>
        <v>-430</v>
      </c>
      <c r="R44" s="167">
        <f t="shared" si="11"/>
        <v>-44.1</v>
      </c>
      <c r="S44" s="165">
        <v>400</v>
      </c>
      <c r="T44" s="166">
        <f t="shared" si="12"/>
        <v>4.4000000000000004</v>
      </c>
      <c r="U44" s="33">
        <f t="shared" si="13"/>
        <v>-674.1</v>
      </c>
      <c r="V44" s="167">
        <f t="shared" si="14"/>
        <v>-75.186999999999998</v>
      </c>
      <c r="W44" s="165">
        <v>200</v>
      </c>
      <c r="X44" s="166">
        <f t="shared" si="15"/>
        <v>2.2000000000000002</v>
      </c>
      <c r="Y44" s="33">
        <f t="shared" si="16"/>
        <v>-749.28700000000003</v>
      </c>
      <c r="Z44" s="167">
        <f t="shared" si="17"/>
        <v>-66.450090000000003</v>
      </c>
      <c r="AA44" s="165">
        <v>200</v>
      </c>
      <c r="AB44" s="166">
        <f t="shared" si="18"/>
        <v>2.2000000000000002</v>
      </c>
      <c r="AC44" s="33">
        <f t="shared" si="19"/>
        <v>-815.73709000000008</v>
      </c>
      <c r="AD44" s="167">
        <f t="shared" si="20"/>
        <v>-71.101596300000011</v>
      </c>
      <c r="AE44" s="220">
        <v>0</v>
      </c>
      <c r="AF44" s="221">
        <f t="shared" si="21"/>
        <v>0</v>
      </c>
      <c r="AG44" s="123">
        <f t="shared" si="22"/>
        <v>-686.83868630000006</v>
      </c>
      <c r="AH44" s="222">
        <f t="shared" si="23"/>
        <v>-48.078708041000006</v>
      </c>
      <c r="AI44" s="220">
        <f>200+300</f>
        <v>500</v>
      </c>
      <c r="AJ44" s="221">
        <f t="shared" si="24"/>
        <v>0</v>
      </c>
      <c r="AK44" s="123">
        <f t="shared" si="25"/>
        <v>-1034.9173943410001</v>
      </c>
      <c r="AL44" s="222">
        <f t="shared" si="26"/>
        <v>-107.44421760387002</v>
      </c>
      <c r="AM44" s="220">
        <v>200</v>
      </c>
      <c r="AN44" s="221">
        <f t="shared" si="27"/>
        <v>0</v>
      </c>
      <c r="AO44" s="123">
        <f t="shared" si="28"/>
        <v>-1142.3616119448702</v>
      </c>
      <c r="AP44" s="222">
        <f t="shared" si="29"/>
        <v>-93.965312836140924</v>
      </c>
      <c r="AQ44" s="220">
        <v>200</v>
      </c>
      <c r="AR44" s="221">
        <f t="shared" si="30"/>
        <v>0</v>
      </c>
      <c r="AS44" s="123">
        <f t="shared" si="36"/>
        <v>-1236.3269247810113</v>
      </c>
      <c r="AT44" s="222">
        <f t="shared" si="31"/>
        <v>-100.54288473467079</v>
      </c>
      <c r="AU44" s="231">
        <f t="shared" si="34"/>
        <v>1900</v>
      </c>
      <c r="AV44" s="33">
        <f>' 2018-2019'!H44+'2019-2020 New'!H44+'2020-2021 New'!H44+'2021-2022 (A) New'!I44+'2021-2022 (B)'!G44+AY44</f>
        <v>10830</v>
      </c>
      <c r="AW44" s="233">
        <v>10830</v>
      </c>
      <c r="AX44" s="33">
        <f t="shared" si="32"/>
        <v>0</v>
      </c>
      <c r="AY44" s="10">
        <v>200</v>
      </c>
    </row>
    <row r="45" spans="1:51">
      <c r="A45" s="10" t="s">
        <v>616</v>
      </c>
      <c r="B45" s="10" t="s">
        <v>126</v>
      </c>
      <c r="C45" s="80">
        <v>0</v>
      </c>
      <c r="D45" s="79">
        <f t="shared" si="3"/>
        <v>1600</v>
      </c>
      <c r="E45" s="79">
        <f>' 2018-2019'!I45+'2019-2020 New'!I45+'2020-2021 New'!I45+'2021-2022 (A) New'!J45</f>
        <v>2400</v>
      </c>
      <c r="F45" s="78">
        <f t="shared" si="4"/>
        <v>1600</v>
      </c>
      <c r="G45" s="159">
        <f t="shared" si="5"/>
        <v>0</v>
      </c>
      <c r="H45" s="78">
        <f t="shared" si="6"/>
        <v>1600</v>
      </c>
      <c r="I45" s="78">
        <f t="shared" si="7"/>
        <v>4896.0582260000001</v>
      </c>
      <c r="J45" s="78">
        <f t="shared" si="39"/>
        <v>0</v>
      </c>
      <c r="K45" s="78">
        <f t="shared" si="8"/>
        <v>0</v>
      </c>
      <c r="L45" s="78">
        <f t="shared" si="9"/>
        <v>896.0582260000001</v>
      </c>
      <c r="M45" s="78">
        <f t="shared" si="33"/>
        <v>896.0582260000001</v>
      </c>
      <c r="N45" s="78">
        <f t="shared" si="37"/>
        <v>-896.0582260000001</v>
      </c>
      <c r="O45" s="165">
        <v>0</v>
      </c>
      <c r="P45" s="166">
        <f t="shared" si="10"/>
        <v>0</v>
      </c>
      <c r="Q45" s="119">
        <f t="shared" si="38"/>
        <v>2600</v>
      </c>
      <c r="R45" s="167">
        <f t="shared" si="11"/>
        <v>182.00000000000003</v>
      </c>
      <c r="S45" s="165">
        <v>0</v>
      </c>
      <c r="T45" s="166">
        <f t="shared" si="12"/>
        <v>0</v>
      </c>
      <c r="U45" s="33">
        <f t="shared" si="13"/>
        <v>2982</v>
      </c>
      <c r="V45" s="167">
        <f t="shared" si="14"/>
        <v>208.74</v>
      </c>
      <c r="W45" s="165">
        <v>0</v>
      </c>
      <c r="X45" s="166">
        <f t="shared" si="15"/>
        <v>0</v>
      </c>
      <c r="Y45" s="33">
        <f t="shared" si="16"/>
        <v>3390.74</v>
      </c>
      <c r="Z45" s="167">
        <f t="shared" si="17"/>
        <v>237.3518</v>
      </c>
      <c r="AA45" s="165">
        <v>0</v>
      </c>
      <c r="AB45" s="166">
        <f t="shared" si="18"/>
        <v>0</v>
      </c>
      <c r="AC45" s="33">
        <f t="shared" si="19"/>
        <v>3828.0917999999997</v>
      </c>
      <c r="AD45" s="167">
        <f t="shared" si="20"/>
        <v>267.96642600000001</v>
      </c>
      <c r="AE45" s="220">
        <v>0</v>
      </c>
      <c r="AF45" s="221">
        <f t="shared" si="21"/>
        <v>0</v>
      </c>
      <c r="AG45" s="123">
        <f t="shared" si="22"/>
        <v>4296.0582260000001</v>
      </c>
      <c r="AH45" s="222">
        <f t="shared" si="23"/>
        <v>300.72407582000005</v>
      </c>
      <c r="AI45" s="220">
        <v>0</v>
      </c>
      <c r="AJ45" s="221">
        <f t="shared" si="24"/>
        <v>0</v>
      </c>
      <c r="AK45" s="123">
        <f t="shared" si="25"/>
        <v>4796.7823018199997</v>
      </c>
      <c r="AL45" s="222">
        <f t="shared" si="26"/>
        <v>335.77476112739998</v>
      </c>
      <c r="AM45" s="220">
        <v>0</v>
      </c>
      <c r="AN45" s="221">
        <f t="shared" si="27"/>
        <v>0</v>
      </c>
      <c r="AO45" s="123">
        <f t="shared" si="28"/>
        <v>5332.5570629473996</v>
      </c>
      <c r="AP45" s="222">
        <f t="shared" si="29"/>
        <v>373.27899440631802</v>
      </c>
      <c r="AQ45" s="220">
        <v>0</v>
      </c>
      <c r="AR45" s="221">
        <f t="shared" si="30"/>
        <v>0</v>
      </c>
      <c r="AS45" s="123">
        <f t="shared" si="36"/>
        <v>5905.8360573537175</v>
      </c>
      <c r="AT45" s="222">
        <f t="shared" si="31"/>
        <v>413.40852401476025</v>
      </c>
      <c r="AU45" s="231">
        <f t="shared" si="34"/>
        <v>0</v>
      </c>
      <c r="AV45" s="33">
        <f>' 2018-2019'!H45+'2019-2020 New'!H45+'2020-2021 New'!H45+'2021-2022 (A) New'!I45+'2021-2022 (B)'!G45+AY45</f>
        <v>5700</v>
      </c>
      <c r="AW45" s="233">
        <v>5700</v>
      </c>
      <c r="AX45" s="33">
        <f t="shared" si="32"/>
        <v>0</v>
      </c>
      <c r="AY45" s="33">
        <v>0</v>
      </c>
    </row>
    <row r="46" spans="1:51">
      <c r="A46" s="10" t="s">
        <v>617</v>
      </c>
      <c r="B46" s="10" t="s">
        <v>151</v>
      </c>
      <c r="C46" s="80">
        <v>0</v>
      </c>
      <c r="D46" s="79">
        <f t="shared" si="3"/>
        <v>1600</v>
      </c>
      <c r="E46" s="79">
        <f>' 2018-2019'!I46+'2019-2020 New'!I46+'2020-2021 New'!I46+'2021-2022 (A) New'!J46</f>
        <v>900</v>
      </c>
      <c r="F46" s="78">
        <f t="shared" si="4"/>
        <v>1600</v>
      </c>
      <c r="G46" s="159">
        <f t="shared" si="5"/>
        <v>1900</v>
      </c>
      <c r="H46" s="78">
        <f t="shared" si="6"/>
        <v>-300</v>
      </c>
      <c r="I46" s="78">
        <f t="shared" si="7"/>
        <v>879.71640900000011</v>
      </c>
      <c r="J46" s="78">
        <f t="shared" si="39"/>
        <v>8.8000000000000007</v>
      </c>
      <c r="K46" s="78">
        <f t="shared" si="8"/>
        <v>104.01600000000001</v>
      </c>
      <c r="L46" s="78">
        <f t="shared" si="9"/>
        <v>279.71640900000006</v>
      </c>
      <c r="M46" s="78">
        <f t="shared" si="33"/>
        <v>279.71640900000006</v>
      </c>
      <c r="N46" s="78">
        <f t="shared" si="37"/>
        <v>1715.499591</v>
      </c>
      <c r="O46" s="165">
        <v>200</v>
      </c>
      <c r="P46" s="166">
        <f t="shared" si="10"/>
        <v>2.2000000000000002</v>
      </c>
      <c r="Q46" s="119">
        <f t="shared" si="38"/>
        <v>1100</v>
      </c>
      <c r="R46" s="167">
        <f t="shared" si="11"/>
        <v>63.000000000000007</v>
      </c>
      <c r="S46" s="165">
        <v>200</v>
      </c>
      <c r="T46" s="166">
        <f t="shared" si="12"/>
        <v>2.2000000000000002</v>
      </c>
      <c r="U46" s="33">
        <f t="shared" si="13"/>
        <v>1163</v>
      </c>
      <c r="V46" s="167">
        <f t="shared" si="14"/>
        <v>67.410000000000011</v>
      </c>
      <c r="W46" s="165">
        <v>200</v>
      </c>
      <c r="X46" s="166">
        <f t="shared" si="15"/>
        <v>2.2000000000000002</v>
      </c>
      <c r="Y46" s="33">
        <f t="shared" si="16"/>
        <v>1230.4100000000001</v>
      </c>
      <c r="Z46" s="167">
        <f t="shared" si="17"/>
        <v>72.128700000000009</v>
      </c>
      <c r="AA46" s="165">
        <v>200</v>
      </c>
      <c r="AB46" s="166">
        <f t="shared" si="18"/>
        <v>2.2000000000000002</v>
      </c>
      <c r="AC46" s="33">
        <f t="shared" si="19"/>
        <v>1302.5387000000001</v>
      </c>
      <c r="AD46" s="167">
        <f t="shared" si="20"/>
        <v>77.177709000000007</v>
      </c>
      <c r="AE46" s="220">
        <v>200</v>
      </c>
      <c r="AF46" s="221">
        <f t="shared" si="21"/>
        <v>2.2000000000000002</v>
      </c>
      <c r="AG46" s="123">
        <f t="shared" si="22"/>
        <v>1379.7164090000001</v>
      </c>
      <c r="AH46" s="222">
        <f t="shared" si="23"/>
        <v>82.580148630000011</v>
      </c>
      <c r="AI46" s="220">
        <v>300</v>
      </c>
      <c r="AJ46" s="221">
        <f t="shared" si="24"/>
        <v>0</v>
      </c>
      <c r="AK46" s="123">
        <f t="shared" si="25"/>
        <v>1362.2965576300001</v>
      </c>
      <c r="AL46" s="222">
        <f t="shared" si="26"/>
        <v>74.360759034100013</v>
      </c>
      <c r="AM46" s="220">
        <v>300</v>
      </c>
      <c r="AN46" s="221">
        <f t="shared" si="27"/>
        <v>0</v>
      </c>
      <c r="AO46" s="123">
        <f t="shared" si="28"/>
        <v>1336.6573166641001</v>
      </c>
      <c r="AP46" s="222">
        <f t="shared" si="29"/>
        <v>72.566012166487013</v>
      </c>
      <c r="AQ46" s="220">
        <v>300</v>
      </c>
      <c r="AR46" s="221">
        <f t="shared" si="30"/>
        <v>0</v>
      </c>
      <c r="AS46" s="123">
        <f t="shared" si="36"/>
        <v>1309.2233288305872</v>
      </c>
      <c r="AT46" s="222">
        <f t="shared" si="31"/>
        <v>70.645633018141112</v>
      </c>
      <c r="AU46" s="231">
        <f t="shared" si="34"/>
        <v>1900</v>
      </c>
      <c r="AV46" s="33">
        <f>' 2018-2019'!H46+'2019-2020 New'!H46+'2020-2021 New'!H46+'2021-2022 (A) New'!I46+'2021-2022 (B)'!G46+AY46</f>
        <v>9400</v>
      </c>
      <c r="AW46" s="233">
        <v>9400</v>
      </c>
      <c r="AX46" s="33">
        <f t="shared" si="32"/>
        <v>0</v>
      </c>
      <c r="AY46" s="10">
        <v>300</v>
      </c>
    </row>
    <row r="47" spans="1:51">
      <c r="A47" s="10" t="s">
        <v>618</v>
      </c>
      <c r="B47" s="10" t="s">
        <v>116</v>
      </c>
      <c r="C47" s="80">
        <v>0</v>
      </c>
      <c r="D47" s="79">
        <f t="shared" si="3"/>
        <v>1600</v>
      </c>
      <c r="E47" s="79">
        <f>' 2018-2019'!I47+'2019-2020 New'!I47+'2020-2021 New'!I47+'2021-2022 (A) New'!J47</f>
        <v>5500</v>
      </c>
      <c r="F47" s="78">
        <f t="shared" si="4"/>
        <v>1600</v>
      </c>
      <c r="G47" s="159">
        <f t="shared" si="5"/>
        <v>0</v>
      </c>
      <c r="H47" s="78">
        <f t="shared" si="6"/>
        <v>1600</v>
      </c>
      <c r="I47" s="78">
        <f t="shared" si="7"/>
        <v>8959.5258570000005</v>
      </c>
      <c r="J47" s="78">
        <f t="shared" si="39"/>
        <v>0</v>
      </c>
      <c r="K47" s="78">
        <f t="shared" si="8"/>
        <v>0</v>
      </c>
      <c r="L47" s="78">
        <f t="shared" si="9"/>
        <v>1859.5258570000001</v>
      </c>
      <c r="M47" s="78">
        <f t="shared" si="33"/>
        <v>1859.5258570000001</v>
      </c>
      <c r="N47" s="78">
        <f t="shared" si="37"/>
        <v>-1859.5258570000001</v>
      </c>
      <c r="O47" s="165">
        <v>0</v>
      </c>
      <c r="P47" s="166">
        <f t="shared" si="10"/>
        <v>0</v>
      </c>
      <c r="Q47" s="119">
        <f t="shared" si="38"/>
        <v>5700</v>
      </c>
      <c r="R47" s="167">
        <f t="shared" si="11"/>
        <v>399.00000000000006</v>
      </c>
      <c r="S47" s="165">
        <v>0</v>
      </c>
      <c r="T47" s="166">
        <f t="shared" si="12"/>
        <v>0</v>
      </c>
      <c r="U47" s="33">
        <f t="shared" si="13"/>
        <v>6299</v>
      </c>
      <c r="V47" s="167">
        <f t="shared" si="14"/>
        <v>440.93000000000006</v>
      </c>
      <c r="W47" s="165">
        <v>0</v>
      </c>
      <c r="X47" s="166">
        <f t="shared" si="15"/>
        <v>0</v>
      </c>
      <c r="Y47" s="33">
        <f t="shared" si="16"/>
        <v>6939.93</v>
      </c>
      <c r="Z47" s="167">
        <f t="shared" si="17"/>
        <v>485.79510000000005</v>
      </c>
      <c r="AA47" s="165">
        <v>0</v>
      </c>
      <c r="AB47" s="166">
        <f t="shared" si="18"/>
        <v>0</v>
      </c>
      <c r="AC47" s="33">
        <f t="shared" si="19"/>
        <v>7625.7251000000006</v>
      </c>
      <c r="AD47" s="167">
        <f t="shared" si="20"/>
        <v>533.80075700000009</v>
      </c>
      <c r="AE47" s="220">
        <v>0</v>
      </c>
      <c r="AF47" s="221">
        <f t="shared" si="21"/>
        <v>0</v>
      </c>
      <c r="AG47" s="123">
        <f t="shared" si="22"/>
        <v>8359.5258570000005</v>
      </c>
      <c r="AH47" s="222">
        <f t="shared" si="23"/>
        <v>585.16680999000005</v>
      </c>
      <c r="AI47" s="220">
        <v>0</v>
      </c>
      <c r="AJ47" s="221">
        <f t="shared" si="24"/>
        <v>0</v>
      </c>
      <c r="AK47" s="123">
        <f t="shared" si="25"/>
        <v>9144.6926669900004</v>
      </c>
      <c r="AL47" s="222">
        <f t="shared" si="26"/>
        <v>640.12848668930008</v>
      </c>
      <c r="AM47" s="220">
        <v>0</v>
      </c>
      <c r="AN47" s="221">
        <f t="shared" si="27"/>
        <v>0</v>
      </c>
      <c r="AO47" s="123">
        <f t="shared" si="28"/>
        <v>9984.8211536793006</v>
      </c>
      <c r="AP47" s="222">
        <f t="shared" si="29"/>
        <v>698.93748075755116</v>
      </c>
      <c r="AQ47" s="220">
        <v>0</v>
      </c>
      <c r="AR47" s="221">
        <f t="shared" si="30"/>
        <v>0</v>
      </c>
      <c r="AS47" s="123">
        <f t="shared" si="36"/>
        <v>10883.758634436852</v>
      </c>
      <c r="AT47" s="222">
        <f t="shared" si="31"/>
        <v>761.86310441057969</v>
      </c>
      <c r="AU47" s="231">
        <f t="shared" si="34"/>
        <v>0</v>
      </c>
      <c r="AV47" s="33">
        <f>' 2018-2019'!H47+'2019-2020 New'!H47+'2020-2021 New'!H47+'2021-2022 (A) New'!I47+'2021-2022 (B)'!G47+AY47</f>
        <v>2500</v>
      </c>
      <c r="AW47" s="233">
        <v>2500</v>
      </c>
      <c r="AX47" s="33">
        <f t="shared" si="32"/>
        <v>0</v>
      </c>
      <c r="AY47" s="10">
        <v>0</v>
      </c>
    </row>
    <row r="48" spans="1:51">
      <c r="A48" s="10" t="s">
        <v>619</v>
      </c>
      <c r="B48" s="10" t="s">
        <v>135</v>
      </c>
      <c r="C48" s="80">
        <v>0</v>
      </c>
      <c r="D48" s="79">
        <f t="shared" si="3"/>
        <v>1600</v>
      </c>
      <c r="E48" s="79">
        <f>' 2018-2019'!I48+'2019-2020 New'!I48+'2020-2021 New'!I48+'2021-2022 (A) New'!J48</f>
        <v>-210</v>
      </c>
      <c r="F48" s="78">
        <f t="shared" si="4"/>
        <v>1600</v>
      </c>
      <c r="G48" s="159">
        <f t="shared" si="5"/>
        <v>1700</v>
      </c>
      <c r="H48" s="78">
        <f t="shared" si="6"/>
        <v>-100</v>
      </c>
      <c r="I48" s="78">
        <f t="shared" si="7"/>
        <v>-355.84246310000003</v>
      </c>
      <c r="J48" s="78">
        <f t="shared" si="39"/>
        <v>7.7</v>
      </c>
      <c r="K48" s="78">
        <f t="shared" si="8"/>
        <v>93.076499999999996</v>
      </c>
      <c r="L48" s="78">
        <f t="shared" si="9"/>
        <v>-45.842463100000003</v>
      </c>
      <c r="M48" s="78">
        <f t="shared" si="33"/>
        <v>-45.842463100000003</v>
      </c>
      <c r="N48" s="78">
        <f t="shared" si="37"/>
        <v>1831.2189630999999</v>
      </c>
      <c r="O48" s="236">
        <v>300</v>
      </c>
      <c r="P48" s="166">
        <f t="shared" si="10"/>
        <v>3.3000000000000003</v>
      </c>
      <c r="Q48" s="119">
        <f t="shared" si="38"/>
        <v>-10</v>
      </c>
      <c r="R48" s="167">
        <f t="shared" si="11"/>
        <v>-21.700000000000003</v>
      </c>
      <c r="S48" s="236">
        <v>200</v>
      </c>
      <c r="T48" s="166">
        <f t="shared" si="12"/>
        <v>2.2000000000000002</v>
      </c>
      <c r="U48" s="33">
        <f t="shared" si="13"/>
        <v>-31.700000000000003</v>
      </c>
      <c r="V48" s="167">
        <f t="shared" si="14"/>
        <v>-16.219000000000001</v>
      </c>
      <c r="W48" s="236">
        <v>200</v>
      </c>
      <c r="X48" s="166">
        <f t="shared" si="15"/>
        <v>2.2000000000000002</v>
      </c>
      <c r="Y48" s="33">
        <f t="shared" si="16"/>
        <v>-47.91899999999999</v>
      </c>
      <c r="Z48" s="167">
        <f t="shared" si="17"/>
        <v>-17.354330000000001</v>
      </c>
      <c r="AA48" s="165">
        <v>0</v>
      </c>
      <c r="AB48" s="166">
        <f t="shared" si="18"/>
        <v>0</v>
      </c>
      <c r="AC48" s="33">
        <f t="shared" si="19"/>
        <v>134.72667000000001</v>
      </c>
      <c r="AD48" s="167">
        <f t="shared" si="20"/>
        <v>9.4308669000000016</v>
      </c>
      <c r="AE48" s="237">
        <v>200</v>
      </c>
      <c r="AF48" s="221">
        <f t="shared" si="21"/>
        <v>2.2000000000000002</v>
      </c>
      <c r="AG48" s="123">
        <f t="shared" si="22"/>
        <v>144.15753690000003</v>
      </c>
      <c r="AH48" s="222">
        <f t="shared" si="23"/>
        <v>-3.9089724169999984</v>
      </c>
      <c r="AI48" s="220">
        <v>200</v>
      </c>
      <c r="AJ48" s="221">
        <f t="shared" si="24"/>
        <v>0</v>
      </c>
      <c r="AK48" s="123">
        <f t="shared" si="25"/>
        <v>140.24856448300002</v>
      </c>
      <c r="AL48" s="222">
        <f t="shared" si="26"/>
        <v>-4.1826004861899984</v>
      </c>
      <c r="AM48" s="220">
        <v>200</v>
      </c>
      <c r="AN48" s="221">
        <f t="shared" si="27"/>
        <v>0</v>
      </c>
      <c r="AO48" s="123">
        <f t="shared" si="28"/>
        <v>136.06596399681001</v>
      </c>
      <c r="AP48" s="222">
        <f t="shared" si="29"/>
        <v>-4.4753825202232997</v>
      </c>
      <c r="AQ48" s="220">
        <v>400</v>
      </c>
      <c r="AR48" s="221">
        <f t="shared" si="30"/>
        <v>0</v>
      </c>
      <c r="AS48" s="123">
        <f t="shared" si="36"/>
        <v>-68.409418523413294</v>
      </c>
      <c r="AT48" s="222">
        <f t="shared" si="31"/>
        <v>-32.788659296638933</v>
      </c>
      <c r="AU48" s="231">
        <f t="shared" si="34"/>
        <v>1700</v>
      </c>
      <c r="AV48" s="33">
        <f>' 2018-2019'!H48+'2019-2020 New'!H48+'2020-2021 New'!H48+'2021-2022 (A) New'!I48+'2021-2022 (B)'!G48+AY48</f>
        <v>10210</v>
      </c>
      <c r="AW48" s="233">
        <v>10210</v>
      </c>
      <c r="AX48" s="33">
        <f t="shared" si="32"/>
        <v>0</v>
      </c>
      <c r="AY48" s="10">
        <v>200</v>
      </c>
    </row>
    <row r="49" spans="1:61">
      <c r="A49" s="10" t="s">
        <v>620</v>
      </c>
      <c r="B49" s="10" t="s">
        <v>115</v>
      </c>
      <c r="C49" s="80">
        <v>0</v>
      </c>
      <c r="D49" s="79">
        <f t="shared" si="3"/>
        <v>1600</v>
      </c>
      <c r="E49" s="79">
        <f>' 2018-2019'!I49+'2019-2020 New'!I49+'2020-2021 New'!I49+'2021-2022 (A) New'!J49</f>
        <v>1490</v>
      </c>
      <c r="F49" s="78">
        <f t="shared" si="4"/>
        <v>1600</v>
      </c>
      <c r="G49" s="159">
        <f t="shared" si="5"/>
        <v>1500</v>
      </c>
      <c r="H49" s="78">
        <f t="shared" si="6"/>
        <v>100</v>
      </c>
      <c r="I49" s="78">
        <f t="shared" si="7"/>
        <v>2082.9726529</v>
      </c>
      <c r="J49" s="78">
        <f t="shared" si="39"/>
        <v>9.9</v>
      </c>
      <c r="K49" s="78">
        <f t="shared" si="8"/>
        <v>81.955500000000001</v>
      </c>
      <c r="L49" s="78">
        <f t="shared" si="9"/>
        <v>492.97265290000001</v>
      </c>
      <c r="M49" s="78">
        <f t="shared" si="33"/>
        <v>492.97265290000001</v>
      </c>
      <c r="N49" s="78">
        <f t="shared" si="37"/>
        <v>1079.0828471</v>
      </c>
      <c r="O49" s="165">
        <v>400</v>
      </c>
      <c r="P49" s="166">
        <f t="shared" si="10"/>
        <v>4.4000000000000004</v>
      </c>
      <c r="Q49" s="119">
        <f t="shared" si="38"/>
        <v>1690</v>
      </c>
      <c r="R49" s="167">
        <f t="shared" si="11"/>
        <v>90.300000000000011</v>
      </c>
      <c r="S49" s="165">
        <v>0</v>
      </c>
      <c r="T49" s="166">
        <f t="shared" si="12"/>
        <v>0</v>
      </c>
      <c r="U49" s="33">
        <f t="shared" si="13"/>
        <v>1980.3</v>
      </c>
      <c r="V49" s="167">
        <f t="shared" si="14"/>
        <v>138.62100000000001</v>
      </c>
      <c r="W49" s="165">
        <v>200</v>
      </c>
      <c r="X49" s="166">
        <f t="shared" si="15"/>
        <v>2.2000000000000002</v>
      </c>
      <c r="Y49" s="33">
        <f t="shared" si="16"/>
        <v>2118.9209999999998</v>
      </c>
      <c r="Z49" s="167">
        <f t="shared" si="17"/>
        <v>134.32446999999999</v>
      </c>
      <c r="AA49" s="165">
        <v>300</v>
      </c>
      <c r="AB49" s="166">
        <f t="shared" si="18"/>
        <v>3.3000000000000003</v>
      </c>
      <c r="AC49" s="33">
        <f t="shared" si="19"/>
        <v>2153.2454699999998</v>
      </c>
      <c r="AD49" s="167">
        <f t="shared" si="20"/>
        <v>129.7271829</v>
      </c>
      <c r="AE49" s="220">
        <v>300</v>
      </c>
      <c r="AF49" s="221">
        <f t="shared" si="21"/>
        <v>3.3000000000000003</v>
      </c>
      <c r="AG49" s="123">
        <f t="shared" si="22"/>
        <v>2182.9726529</v>
      </c>
      <c r="AH49" s="222">
        <f t="shared" si="23"/>
        <v>131.80808570300002</v>
      </c>
      <c r="AI49" s="220">
        <v>300</v>
      </c>
      <c r="AJ49" s="221">
        <f t="shared" si="24"/>
        <v>0</v>
      </c>
      <c r="AK49" s="123">
        <f t="shared" si="25"/>
        <v>2214.7807386029999</v>
      </c>
      <c r="AL49" s="222">
        <f t="shared" si="26"/>
        <v>134.03465170221</v>
      </c>
      <c r="AM49" s="220">
        <v>0</v>
      </c>
      <c r="AN49" s="221">
        <f t="shared" si="27"/>
        <v>0</v>
      </c>
      <c r="AO49" s="123">
        <f t="shared" si="28"/>
        <v>2548.8153903052098</v>
      </c>
      <c r="AP49" s="222">
        <f t="shared" si="29"/>
        <v>178.4170773213647</v>
      </c>
      <c r="AQ49" s="220">
        <v>0</v>
      </c>
      <c r="AR49" s="221">
        <f t="shared" si="30"/>
        <v>0</v>
      </c>
      <c r="AS49" s="123">
        <f t="shared" si="36"/>
        <v>2927.2324676265744</v>
      </c>
      <c r="AT49" s="222">
        <f t="shared" si="31"/>
        <v>204.90627273386022</v>
      </c>
      <c r="AU49" s="231">
        <f t="shared" si="34"/>
        <v>1500</v>
      </c>
      <c r="AV49" s="33">
        <f>' 2018-2019'!H49+'2019-2020 New'!H49+'2020-2021 New'!H49+'2021-2022 (A) New'!I49+'2021-2022 (B)'!G49+AY49</f>
        <v>8010</v>
      </c>
      <c r="AW49" s="233">
        <v>8010</v>
      </c>
      <c r="AX49" s="33">
        <f t="shared" si="32"/>
        <v>0</v>
      </c>
      <c r="AY49" s="10">
        <v>0</v>
      </c>
    </row>
    <row r="50" spans="1:61">
      <c r="A50" s="10" t="s">
        <v>621</v>
      </c>
      <c r="B50" s="10" t="s">
        <v>126</v>
      </c>
      <c r="C50" s="80">
        <v>0</v>
      </c>
      <c r="D50" s="79">
        <f t="shared" si="3"/>
        <v>1600</v>
      </c>
      <c r="E50" s="79">
        <f>' 2018-2019'!I50+'2019-2020 New'!I50+'2020-2021 New'!I50+'2021-2022 (A) New'!J50</f>
        <v>7600</v>
      </c>
      <c r="F50" s="78">
        <f t="shared" si="4"/>
        <v>1600</v>
      </c>
      <c r="G50" s="159">
        <f t="shared" si="5"/>
        <v>0</v>
      </c>
      <c r="H50" s="78">
        <f t="shared" si="6"/>
        <v>1600</v>
      </c>
      <c r="I50" s="78">
        <f t="shared" si="7"/>
        <v>11712.197478</v>
      </c>
      <c r="J50" s="78">
        <f t="shared" si="39"/>
        <v>0</v>
      </c>
      <c r="K50" s="78">
        <f t="shared" si="8"/>
        <v>0</v>
      </c>
      <c r="L50" s="78">
        <f t="shared" si="9"/>
        <v>2512.197478</v>
      </c>
      <c r="M50" s="78">
        <f t="shared" si="33"/>
        <v>2512.197478</v>
      </c>
      <c r="N50" s="78">
        <f t="shared" si="37"/>
        <v>-2512.197478</v>
      </c>
      <c r="O50" s="165">
        <v>0</v>
      </c>
      <c r="P50" s="166">
        <f t="shared" si="10"/>
        <v>0</v>
      </c>
      <c r="Q50" s="119">
        <f t="shared" si="38"/>
        <v>7800</v>
      </c>
      <c r="R50" s="167">
        <f t="shared" si="11"/>
        <v>546</v>
      </c>
      <c r="S50" s="165">
        <v>0</v>
      </c>
      <c r="T50" s="166">
        <f t="shared" si="12"/>
        <v>0</v>
      </c>
      <c r="U50" s="33">
        <f t="shared" si="13"/>
        <v>8546</v>
      </c>
      <c r="V50" s="167">
        <f t="shared" si="14"/>
        <v>598.22</v>
      </c>
      <c r="W50" s="165">
        <v>0</v>
      </c>
      <c r="X50" s="166">
        <f t="shared" si="15"/>
        <v>0</v>
      </c>
      <c r="Y50" s="33">
        <f t="shared" si="16"/>
        <v>9344.2199999999993</v>
      </c>
      <c r="Z50" s="167">
        <f t="shared" si="17"/>
        <v>654.09540000000004</v>
      </c>
      <c r="AA50" s="165">
        <v>0</v>
      </c>
      <c r="AB50" s="166">
        <f t="shared" si="18"/>
        <v>0</v>
      </c>
      <c r="AC50" s="33">
        <f t="shared" si="19"/>
        <v>10198.315399999999</v>
      </c>
      <c r="AD50" s="167">
        <f t="shared" si="20"/>
        <v>713.88207799999998</v>
      </c>
      <c r="AE50" s="220">
        <v>0</v>
      </c>
      <c r="AF50" s="221">
        <f t="shared" si="21"/>
        <v>0</v>
      </c>
      <c r="AG50" s="123">
        <f t="shared" si="22"/>
        <v>11112.197478</v>
      </c>
      <c r="AH50" s="222">
        <f t="shared" si="23"/>
        <v>777.85382346000006</v>
      </c>
      <c r="AI50" s="220">
        <v>0</v>
      </c>
      <c r="AJ50" s="221">
        <f t="shared" si="24"/>
        <v>0</v>
      </c>
      <c r="AK50" s="123">
        <f t="shared" si="25"/>
        <v>12090.05130146</v>
      </c>
      <c r="AL50" s="222">
        <f t="shared" si="26"/>
        <v>846.30359110220013</v>
      </c>
      <c r="AM50" s="220">
        <v>0</v>
      </c>
      <c r="AN50" s="221">
        <f t="shared" si="27"/>
        <v>0</v>
      </c>
      <c r="AO50" s="123">
        <f t="shared" si="28"/>
        <v>13136.3548925622</v>
      </c>
      <c r="AP50" s="222">
        <f t="shared" si="29"/>
        <v>919.54484247935409</v>
      </c>
      <c r="AQ50" s="220">
        <v>0</v>
      </c>
      <c r="AR50" s="221">
        <f t="shared" si="30"/>
        <v>0</v>
      </c>
      <c r="AS50" s="123">
        <f t="shared" si="36"/>
        <v>14255.899735041554</v>
      </c>
      <c r="AT50" s="222">
        <f t="shared" si="31"/>
        <v>997.91298145290887</v>
      </c>
      <c r="AU50" s="231">
        <f t="shared" si="34"/>
        <v>0</v>
      </c>
      <c r="AV50" s="33">
        <f>' 2018-2019'!H50+'2019-2020 New'!H50+'2020-2021 New'!H50+'2021-2022 (A) New'!I50+'2021-2022 (B)'!G50+AY50</f>
        <v>500</v>
      </c>
      <c r="AW50" s="233">
        <v>500</v>
      </c>
      <c r="AX50" s="33">
        <f t="shared" si="32"/>
        <v>0</v>
      </c>
      <c r="AY50" s="10">
        <v>0</v>
      </c>
    </row>
    <row r="51" spans="1:61">
      <c r="A51" s="10" t="s">
        <v>622</v>
      </c>
      <c r="B51" s="10" t="s">
        <v>117</v>
      </c>
      <c r="C51" s="80">
        <v>0</v>
      </c>
      <c r="D51" s="79">
        <f t="shared" si="3"/>
        <v>1600</v>
      </c>
      <c r="E51" s="79">
        <f>' 2018-2019'!I51+'2019-2020 New'!I51+'2020-2021 New'!I51+'2021-2022 (A) New'!J51</f>
        <v>7100</v>
      </c>
      <c r="F51" s="78">
        <f t="shared" si="4"/>
        <v>1600</v>
      </c>
      <c r="G51" s="159">
        <f t="shared" si="5"/>
        <v>0</v>
      </c>
      <c r="H51" s="78">
        <f t="shared" si="6"/>
        <v>1600</v>
      </c>
      <c r="I51" s="78">
        <f t="shared" si="7"/>
        <v>11056.799473000001</v>
      </c>
      <c r="J51" s="78">
        <f t="shared" si="39"/>
        <v>0</v>
      </c>
      <c r="K51" s="78">
        <f t="shared" si="8"/>
        <v>0</v>
      </c>
      <c r="L51" s="78">
        <f t="shared" si="9"/>
        <v>2356.7994730000005</v>
      </c>
      <c r="M51" s="78">
        <f t="shared" si="33"/>
        <v>2356.7994730000005</v>
      </c>
      <c r="N51" s="78">
        <f t="shared" si="37"/>
        <v>-2356.7994730000005</v>
      </c>
      <c r="O51" s="165">
        <v>0</v>
      </c>
      <c r="P51" s="166">
        <f t="shared" si="10"/>
        <v>0</v>
      </c>
      <c r="Q51" s="119">
        <f t="shared" si="38"/>
        <v>7300</v>
      </c>
      <c r="R51" s="167">
        <f t="shared" si="11"/>
        <v>511.00000000000006</v>
      </c>
      <c r="S51" s="165">
        <v>0</v>
      </c>
      <c r="T51" s="166">
        <f t="shared" si="12"/>
        <v>0</v>
      </c>
      <c r="U51" s="33">
        <f t="shared" si="13"/>
        <v>8011</v>
      </c>
      <c r="V51" s="167">
        <f t="shared" si="14"/>
        <v>560.7700000000001</v>
      </c>
      <c r="W51" s="165">
        <v>0</v>
      </c>
      <c r="X51" s="166">
        <f t="shared" si="15"/>
        <v>0</v>
      </c>
      <c r="Y51" s="33">
        <f t="shared" si="16"/>
        <v>8771.77</v>
      </c>
      <c r="Z51" s="167">
        <f t="shared" si="17"/>
        <v>614.02390000000014</v>
      </c>
      <c r="AA51" s="165">
        <v>0</v>
      </c>
      <c r="AB51" s="166">
        <f t="shared" si="18"/>
        <v>0</v>
      </c>
      <c r="AC51" s="33">
        <f t="shared" si="19"/>
        <v>9585.7939000000006</v>
      </c>
      <c r="AD51" s="167">
        <f t="shared" si="20"/>
        <v>671.00557300000014</v>
      </c>
      <c r="AE51" s="220">
        <v>0</v>
      </c>
      <c r="AF51" s="221">
        <f t="shared" si="21"/>
        <v>0</v>
      </c>
      <c r="AG51" s="123">
        <f t="shared" si="22"/>
        <v>10456.799473000001</v>
      </c>
      <c r="AH51" s="222">
        <f t="shared" si="23"/>
        <v>731.97596311000018</v>
      </c>
      <c r="AI51" s="220">
        <v>0</v>
      </c>
      <c r="AJ51" s="221">
        <f t="shared" si="24"/>
        <v>0</v>
      </c>
      <c r="AK51" s="123">
        <f t="shared" si="25"/>
        <v>11388.775436110001</v>
      </c>
      <c r="AL51" s="222">
        <f t="shared" si="26"/>
        <v>797.21428052770023</v>
      </c>
      <c r="AM51" s="220">
        <v>0</v>
      </c>
      <c r="AN51" s="221">
        <f t="shared" si="27"/>
        <v>0</v>
      </c>
      <c r="AO51" s="123">
        <f t="shared" si="28"/>
        <v>12385.989716637701</v>
      </c>
      <c r="AP51" s="222">
        <f t="shared" si="29"/>
        <v>867.01928016463921</v>
      </c>
      <c r="AQ51" s="220">
        <v>0</v>
      </c>
      <c r="AR51" s="221">
        <f t="shared" si="30"/>
        <v>0</v>
      </c>
      <c r="AS51" s="123">
        <f t="shared" si="36"/>
        <v>13453.00899680234</v>
      </c>
      <c r="AT51" s="222">
        <f t="shared" si="31"/>
        <v>941.71062977616396</v>
      </c>
      <c r="AU51" s="231">
        <f t="shared" si="34"/>
        <v>0</v>
      </c>
      <c r="AV51" s="33">
        <f>' 2018-2019'!H51+'2019-2020 New'!H51+'2020-2021 New'!H51+'2021-2022 (A) New'!I51+'2021-2022 (B)'!G51+AY51</f>
        <v>900</v>
      </c>
      <c r="AW51" s="233">
        <v>900</v>
      </c>
      <c r="AX51" s="33">
        <f t="shared" si="32"/>
        <v>0</v>
      </c>
      <c r="AY51" s="10">
        <v>0</v>
      </c>
    </row>
    <row r="52" spans="1:61">
      <c r="A52" s="10" t="s">
        <v>623</v>
      </c>
      <c r="B52" s="10" t="s">
        <v>112</v>
      </c>
      <c r="C52" s="80">
        <v>0</v>
      </c>
      <c r="D52" s="79">
        <f t="shared" si="3"/>
        <v>1600</v>
      </c>
      <c r="E52" s="79">
        <f>' 2018-2019'!I52+'2019-2020 New'!I52+'2020-2021 New'!I52+'2021-2022 (A) New'!J52</f>
        <v>7850</v>
      </c>
      <c r="F52" s="78">
        <f t="shared" si="4"/>
        <v>1600</v>
      </c>
      <c r="G52" s="159">
        <f t="shared" si="5"/>
        <v>0</v>
      </c>
      <c r="H52" s="78">
        <f t="shared" si="6"/>
        <v>1600</v>
      </c>
      <c r="I52" s="78">
        <f t="shared" si="7"/>
        <v>12039.8964805</v>
      </c>
      <c r="J52" s="78">
        <f t="shared" si="39"/>
        <v>0</v>
      </c>
      <c r="K52" s="78">
        <f t="shared" si="8"/>
        <v>0</v>
      </c>
      <c r="L52" s="78">
        <f t="shared" si="9"/>
        <v>2589.8964805000005</v>
      </c>
      <c r="M52" s="78">
        <f t="shared" si="33"/>
        <v>2589.8964805000005</v>
      </c>
      <c r="N52" s="78">
        <f t="shared" si="37"/>
        <v>-2589.8964805000005</v>
      </c>
      <c r="O52" s="165">
        <v>0</v>
      </c>
      <c r="P52" s="166">
        <f t="shared" si="10"/>
        <v>0</v>
      </c>
      <c r="Q52" s="119">
        <f t="shared" si="38"/>
        <v>8050</v>
      </c>
      <c r="R52" s="167">
        <f t="shared" si="11"/>
        <v>563.5</v>
      </c>
      <c r="S52" s="165">
        <v>0</v>
      </c>
      <c r="T52" s="166">
        <f t="shared" si="12"/>
        <v>0</v>
      </c>
      <c r="U52" s="33">
        <f t="shared" si="13"/>
        <v>8813.5</v>
      </c>
      <c r="V52" s="167">
        <f t="shared" si="14"/>
        <v>616.94500000000005</v>
      </c>
      <c r="W52" s="165">
        <v>0</v>
      </c>
      <c r="X52" s="166">
        <f t="shared" si="15"/>
        <v>0</v>
      </c>
      <c r="Y52" s="33">
        <f t="shared" si="16"/>
        <v>9630.4449999999997</v>
      </c>
      <c r="Z52" s="167">
        <f t="shared" si="17"/>
        <v>674.13115000000005</v>
      </c>
      <c r="AA52" s="165">
        <v>0</v>
      </c>
      <c r="AB52" s="166">
        <f t="shared" si="18"/>
        <v>0</v>
      </c>
      <c r="AC52" s="33">
        <f t="shared" si="19"/>
        <v>10504.576149999999</v>
      </c>
      <c r="AD52" s="167">
        <f t="shared" si="20"/>
        <v>735.32033049999995</v>
      </c>
      <c r="AE52" s="220">
        <v>0</v>
      </c>
      <c r="AF52" s="221">
        <f t="shared" si="21"/>
        <v>0</v>
      </c>
      <c r="AG52" s="123">
        <f t="shared" si="22"/>
        <v>11439.8964805</v>
      </c>
      <c r="AH52" s="222">
        <f t="shared" si="23"/>
        <v>800.79275363500005</v>
      </c>
      <c r="AI52" s="220">
        <v>0</v>
      </c>
      <c r="AJ52" s="221">
        <f t="shared" si="24"/>
        <v>0</v>
      </c>
      <c r="AK52" s="123">
        <f t="shared" si="25"/>
        <v>12440.689234134999</v>
      </c>
      <c r="AL52" s="222">
        <f t="shared" si="26"/>
        <v>870.84824638945008</v>
      </c>
      <c r="AM52" s="220">
        <v>0</v>
      </c>
      <c r="AN52" s="221">
        <f t="shared" si="27"/>
        <v>0</v>
      </c>
      <c r="AO52" s="123">
        <f t="shared" si="28"/>
        <v>13511.53748052445</v>
      </c>
      <c r="AP52" s="222">
        <f t="shared" si="29"/>
        <v>945.80762363671158</v>
      </c>
      <c r="AQ52" s="220">
        <v>0</v>
      </c>
      <c r="AR52" s="221">
        <f t="shared" si="30"/>
        <v>0</v>
      </c>
      <c r="AS52" s="123">
        <f t="shared" si="36"/>
        <v>14657.345104161162</v>
      </c>
      <c r="AT52" s="222">
        <f t="shared" si="31"/>
        <v>1026.0141572912814</v>
      </c>
      <c r="AU52" s="231">
        <f t="shared" si="34"/>
        <v>0</v>
      </c>
      <c r="AV52" s="33">
        <f>' 2018-2019'!H52+'2019-2020 New'!H52+'2020-2021 New'!H52+'2021-2022 (A) New'!I52+'2021-2022 (B)'!G52+AY52</f>
        <v>150</v>
      </c>
      <c r="AW52" s="233" t="s">
        <v>485</v>
      </c>
      <c r="AX52" s="33">
        <v>0</v>
      </c>
      <c r="AY52" s="10">
        <v>0</v>
      </c>
    </row>
    <row r="53" spans="1:61">
      <c r="A53" s="10" t="s">
        <v>624</v>
      </c>
      <c r="B53" s="10" t="s">
        <v>117</v>
      </c>
      <c r="C53" s="80">
        <v>0</v>
      </c>
      <c r="D53" s="79">
        <f t="shared" si="3"/>
        <v>1600</v>
      </c>
      <c r="E53" s="79">
        <f>' 2018-2019'!I53+'2019-2020 New'!I53+'2020-2021 New'!I53+'2021-2022 (A) New'!J53</f>
        <v>2200</v>
      </c>
      <c r="F53" s="78">
        <f t="shared" si="4"/>
        <v>1600</v>
      </c>
      <c r="G53" s="159">
        <f t="shared" si="5"/>
        <v>0</v>
      </c>
      <c r="H53" s="78">
        <f t="shared" si="6"/>
        <v>1600</v>
      </c>
      <c r="I53" s="78">
        <f t="shared" si="7"/>
        <v>4633.8990240000003</v>
      </c>
      <c r="J53" s="78">
        <f t="shared" si="39"/>
        <v>0</v>
      </c>
      <c r="K53" s="78">
        <f t="shared" si="8"/>
        <v>0</v>
      </c>
      <c r="L53" s="78">
        <f t="shared" si="9"/>
        <v>833.89902400000005</v>
      </c>
      <c r="M53" s="78">
        <f t="shared" si="33"/>
        <v>833.89902400000005</v>
      </c>
      <c r="N53" s="78">
        <f t="shared" si="37"/>
        <v>-833.89902400000005</v>
      </c>
      <c r="O53" s="165">
        <v>0</v>
      </c>
      <c r="P53" s="166">
        <f t="shared" si="10"/>
        <v>0</v>
      </c>
      <c r="Q53" s="119">
        <f t="shared" si="38"/>
        <v>2400</v>
      </c>
      <c r="R53" s="167">
        <f t="shared" si="11"/>
        <v>168.00000000000003</v>
      </c>
      <c r="S53" s="165">
        <v>0</v>
      </c>
      <c r="T53" s="166">
        <f t="shared" si="12"/>
        <v>0</v>
      </c>
      <c r="U53" s="33">
        <f t="shared" si="13"/>
        <v>2768</v>
      </c>
      <c r="V53" s="167">
        <f t="shared" si="14"/>
        <v>193.76000000000002</v>
      </c>
      <c r="W53" s="165">
        <v>0</v>
      </c>
      <c r="X53" s="166">
        <f t="shared" si="15"/>
        <v>0</v>
      </c>
      <c r="Y53" s="33">
        <f t="shared" si="16"/>
        <v>3161.76</v>
      </c>
      <c r="Z53" s="167">
        <f t="shared" si="17"/>
        <v>221.32320000000004</v>
      </c>
      <c r="AA53" s="165">
        <v>0</v>
      </c>
      <c r="AB53" s="166">
        <f t="shared" si="18"/>
        <v>0</v>
      </c>
      <c r="AC53" s="33">
        <f t="shared" si="19"/>
        <v>3583.0832</v>
      </c>
      <c r="AD53" s="167">
        <f t="shared" si="20"/>
        <v>250.81582400000002</v>
      </c>
      <c r="AE53" s="220">
        <v>0</v>
      </c>
      <c r="AF53" s="221">
        <f t="shared" si="21"/>
        <v>0</v>
      </c>
      <c r="AG53" s="123">
        <f t="shared" si="22"/>
        <v>4033.8990240000003</v>
      </c>
      <c r="AH53" s="222">
        <f t="shared" si="23"/>
        <v>282.37293168000002</v>
      </c>
      <c r="AI53" s="220">
        <v>0</v>
      </c>
      <c r="AJ53" s="221">
        <f t="shared" si="24"/>
        <v>0</v>
      </c>
      <c r="AK53" s="123">
        <f t="shared" si="25"/>
        <v>4516.2719556800002</v>
      </c>
      <c r="AL53" s="222">
        <f t="shared" si="26"/>
        <v>316.13903689760002</v>
      </c>
      <c r="AM53" s="220">
        <v>0</v>
      </c>
      <c r="AN53" s="221">
        <f t="shared" si="27"/>
        <v>0</v>
      </c>
      <c r="AO53" s="123">
        <f t="shared" si="28"/>
        <v>5032.4109925776002</v>
      </c>
      <c r="AP53" s="222">
        <f t="shared" si="29"/>
        <v>352.26876948043207</v>
      </c>
      <c r="AQ53" s="220">
        <v>0</v>
      </c>
      <c r="AR53" s="221">
        <f t="shared" si="30"/>
        <v>0</v>
      </c>
      <c r="AS53" s="123">
        <f t="shared" si="36"/>
        <v>5584.6797620580319</v>
      </c>
      <c r="AT53" s="222">
        <f t="shared" si="31"/>
        <v>390.92758334406227</v>
      </c>
      <c r="AU53" s="231">
        <f t="shared" si="34"/>
        <v>0</v>
      </c>
      <c r="AV53" s="33">
        <f>' 2018-2019'!H53+'2019-2020 New'!H53+'2020-2021 New'!H53+'2021-2022 (A) New'!I53+'2021-2022 (B)'!G53+AY53</f>
        <v>5800</v>
      </c>
      <c r="AW53" s="233">
        <v>5800</v>
      </c>
      <c r="AX53" s="33">
        <f t="shared" si="32"/>
        <v>0</v>
      </c>
      <c r="AY53" s="10">
        <v>0</v>
      </c>
    </row>
    <row r="54" spans="1:61">
      <c r="A54" s="10" t="s">
        <v>625</v>
      </c>
      <c r="B54" s="10" t="s">
        <v>116</v>
      </c>
      <c r="C54" s="80">
        <v>0</v>
      </c>
      <c r="D54" s="79">
        <f t="shared" si="3"/>
        <v>1600</v>
      </c>
      <c r="E54" s="79">
        <f>' 2018-2019'!I54+'2019-2020 New'!I54+'2020-2021 New'!I54+'2021-2022 (A) New'!J54</f>
        <v>-770</v>
      </c>
      <c r="F54" s="78">
        <f t="shared" si="4"/>
        <v>1600</v>
      </c>
      <c r="G54" s="159">
        <f t="shared" si="5"/>
        <v>200</v>
      </c>
      <c r="H54" s="78">
        <f t="shared" si="6"/>
        <v>1400</v>
      </c>
      <c r="I54" s="78">
        <f t="shared" si="7"/>
        <v>523.68427229999998</v>
      </c>
      <c r="J54" s="78">
        <f t="shared" si="39"/>
        <v>2.2000000000000002</v>
      </c>
      <c r="K54" s="78">
        <f t="shared" si="8"/>
        <v>10.879000000000001</v>
      </c>
      <c r="L54" s="78">
        <f t="shared" si="9"/>
        <v>-106.31572770000001</v>
      </c>
      <c r="M54" s="78">
        <f t="shared" si="33"/>
        <v>-106.31572770000001</v>
      </c>
      <c r="N54" s="78">
        <f t="shared" si="37"/>
        <v>314.99472770000006</v>
      </c>
      <c r="O54" s="165">
        <v>200</v>
      </c>
      <c r="P54" s="166">
        <f t="shared" si="10"/>
        <v>2.2000000000000002</v>
      </c>
      <c r="Q54" s="119">
        <f t="shared" si="38"/>
        <v>-570</v>
      </c>
      <c r="R54" s="167">
        <f t="shared" si="11"/>
        <v>-53.900000000000006</v>
      </c>
      <c r="S54" s="165">
        <v>0</v>
      </c>
      <c r="T54" s="166">
        <f t="shared" si="12"/>
        <v>0</v>
      </c>
      <c r="U54" s="33">
        <f t="shared" si="13"/>
        <v>-423.9</v>
      </c>
      <c r="V54" s="167">
        <f t="shared" si="14"/>
        <v>-29.673000000000002</v>
      </c>
      <c r="W54" s="165">
        <v>0</v>
      </c>
      <c r="X54" s="166">
        <f t="shared" si="15"/>
        <v>0</v>
      </c>
      <c r="Y54" s="33">
        <f t="shared" si="16"/>
        <v>-253.57299999999998</v>
      </c>
      <c r="Z54" s="167">
        <f t="shared" si="17"/>
        <v>-17.750109999999999</v>
      </c>
      <c r="AA54" s="165">
        <v>0</v>
      </c>
      <c r="AB54" s="166">
        <f t="shared" si="18"/>
        <v>0</v>
      </c>
      <c r="AC54" s="33">
        <f t="shared" si="19"/>
        <v>-71.323109999999986</v>
      </c>
      <c r="AD54" s="167">
        <f t="shared" si="20"/>
        <v>-4.9926176999999994</v>
      </c>
      <c r="AE54" s="220">
        <v>0</v>
      </c>
      <c r="AF54" s="221">
        <f t="shared" si="21"/>
        <v>0</v>
      </c>
      <c r="AG54" s="123">
        <f t="shared" si="22"/>
        <v>123.68427230000002</v>
      </c>
      <c r="AH54" s="222">
        <f t="shared" si="23"/>
        <v>8.657899061000002</v>
      </c>
      <c r="AI54" s="220">
        <v>0</v>
      </c>
      <c r="AJ54" s="221">
        <f t="shared" si="24"/>
        <v>0</v>
      </c>
      <c r="AK54" s="123">
        <f t="shared" si="25"/>
        <v>332.34217136100006</v>
      </c>
      <c r="AL54" s="222">
        <f t="shared" si="26"/>
        <v>23.263951995270006</v>
      </c>
      <c r="AM54" s="220">
        <v>0</v>
      </c>
      <c r="AN54" s="221">
        <f t="shared" si="27"/>
        <v>0</v>
      </c>
      <c r="AO54" s="123">
        <f t="shared" si="28"/>
        <v>555.60612335627002</v>
      </c>
      <c r="AP54" s="222">
        <f t="shared" si="29"/>
        <v>38.892428634938902</v>
      </c>
      <c r="AQ54" s="220">
        <v>0</v>
      </c>
      <c r="AR54" s="221">
        <f t="shared" si="30"/>
        <v>0</v>
      </c>
      <c r="AS54" s="123">
        <f t="shared" si="36"/>
        <v>794.49855199120896</v>
      </c>
      <c r="AT54" s="222">
        <f t="shared" si="31"/>
        <v>55.614898639384634</v>
      </c>
      <c r="AU54" s="231">
        <f t="shared" si="34"/>
        <v>200</v>
      </c>
      <c r="AV54" s="33">
        <f>' 2018-2019'!H54+'2019-2020 New'!H54+'2020-2021 New'!H54+'2021-2022 (A) New'!I54+'2021-2022 (B)'!G54+AY54</f>
        <v>8970</v>
      </c>
      <c r="AW54" s="233">
        <v>8970</v>
      </c>
      <c r="AX54" s="33">
        <f t="shared" si="32"/>
        <v>0</v>
      </c>
      <c r="AY54" s="10">
        <v>0</v>
      </c>
    </row>
    <row r="55" spans="1:61" s="134" customFormat="1">
      <c r="A55" s="10" t="s">
        <v>626</v>
      </c>
      <c r="B55" s="129" t="s">
        <v>124</v>
      </c>
      <c r="C55" s="130">
        <v>0</v>
      </c>
      <c r="D55" s="130">
        <f t="shared" si="3"/>
        <v>1600</v>
      </c>
      <c r="E55" s="79">
        <f>' 2018-2019'!I55+'2019-2020 New'!I55+'2020-2021 New'!I55+'2021-2022 (A) New'!J55</f>
        <v>1300</v>
      </c>
      <c r="F55" s="131">
        <f t="shared" si="4"/>
        <v>1600</v>
      </c>
      <c r="G55" s="159">
        <f t="shared" si="5"/>
        <v>2200</v>
      </c>
      <c r="H55" s="131">
        <f t="shared" si="6"/>
        <v>-600</v>
      </c>
      <c r="I55" s="78">
        <f t="shared" si="7"/>
        <v>1085.6936089999999</v>
      </c>
      <c r="J55" s="131">
        <f t="shared" si="39"/>
        <v>13.200000000000001</v>
      </c>
      <c r="K55" s="131">
        <f t="shared" si="8"/>
        <v>120.27400000000002</v>
      </c>
      <c r="L55" s="131">
        <f t="shared" si="9"/>
        <v>385.69360900000004</v>
      </c>
      <c r="M55" s="78">
        <f t="shared" si="33"/>
        <v>385.69360900000004</v>
      </c>
      <c r="N55" s="131">
        <f t="shared" si="37"/>
        <v>1921.3803910000004</v>
      </c>
      <c r="O55" s="165">
        <v>600</v>
      </c>
      <c r="P55" s="166">
        <f t="shared" si="10"/>
        <v>6.6000000000000005</v>
      </c>
      <c r="Q55" s="135">
        <f t="shared" si="38"/>
        <v>1500</v>
      </c>
      <c r="R55" s="167">
        <f t="shared" si="11"/>
        <v>63.000000000000007</v>
      </c>
      <c r="S55" s="165">
        <v>200</v>
      </c>
      <c r="T55" s="166">
        <f t="shared" si="12"/>
        <v>2.2000000000000002</v>
      </c>
      <c r="U55" s="132">
        <f t="shared" si="13"/>
        <v>1563</v>
      </c>
      <c r="V55" s="167">
        <f t="shared" si="14"/>
        <v>95.410000000000011</v>
      </c>
      <c r="W55" s="165">
        <v>0</v>
      </c>
      <c r="X55" s="166">
        <f t="shared" si="15"/>
        <v>0</v>
      </c>
      <c r="Y55" s="132">
        <f t="shared" si="16"/>
        <v>1858.41</v>
      </c>
      <c r="Z55" s="167">
        <f t="shared" si="17"/>
        <v>130.08870000000002</v>
      </c>
      <c r="AA55" s="165">
        <f>200+200</f>
        <v>400</v>
      </c>
      <c r="AB55" s="166">
        <f t="shared" si="18"/>
        <v>4.4000000000000004</v>
      </c>
      <c r="AC55" s="132">
        <f t="shared" si="19"/>
        <v>1788.4987000000001</v>
      </c>
      <c r="AD55" s="167">
        <f t="shared" si="20"/>
        <v>97.19490900000001</v>
      </c>
      <c r="AE55" s="220">
        <v>200</v>
      </c>
      <c r="AF55" s="221">
        <f t="shared" si="21"/>
        <v>2.2000000000000002</v>
      </c>
      <c r="AG55" s="137">
        <f t="shared" si="22"/>
        <v>1885.6936090000002</v>
      </c>
      <c r="AH55" s="222">
        <f t="shared" si="23"/>
        <v>117.99855263000002</v>
      </c>
      <c r="AI55" s="220">
        <v>200</v>
      </c>
      <c r="AJ55" s="221">
        <f t="shared" si="24"/>
        <v>0</v>
      </c>
      <c r="AK55" s="137">
        <f t="shared" si="25"/>
        <v>2003.6921616300001</v>
      </c>
      <c r="AL55" s="222">
        <f t="shared" si="26"/>
        <v>126.25845131410001</v>
      </c>
      <c r="AM55" s="242">
        <v>200</v>
      </c>
      <c r="AN55" s="221">
        <f t="shared" si="27"/>
        <v>0</v>
      </c>
      <c r="AO55" s="137">
        <f t="shared" si="28"/>
        <v>2129.9506129441002</v>
      </c>
      <c r="AP55" s="222">
        <f t="shared" si="29"/>
        <v>135.09654290608702</v>
      </c>
      <c r="AQ55" s="220">
        <f>200+200</f>
        <v>400</v>
      </c>
      <c r="AR55" s="221">
        <f t="shared" si="30"/>
        <v>0</v>
      </c>
      <c r="AS55" s="137">
        <f t="shared" si="36"/>
        <v>2065.0471558501872</v>
      </c>
      <c r="AT55" s="222">
        <f t="shared" si="31"/>
        <v>116.55330090951311</v>
      </c>
      <c r="AU55" s="231">
        <f t="shared" si="34"/>
        <v>2200</v>
      </c>
      <c r="AV55" s="33">
        <f>' 2018-2019'!H55+'2019-2020 New'!H55+'2020-2021 New'!H55+'2021-2022 (A) New'!I55+'2021-2022 (B)'!G55+AY55</f>
        <v>9100</v>
      </c>
      <c r="AW55" s="233">
        <v>8900</v>
      </c>
      <c r="AX55" s="33">
        <f t="shared" si="32"/>
        <v>-200</v>
      </c>
      <c r="AY55" s="10">
        <v>200</v>
      </c>
      <c r="AZ55"/>
      <c r="BA55"/>
      <c r="BB55"/>
      <c r="BC55"/>
      <c r="BD55"/>
      <c r="BE55"/>
      <c r="BF55"/>
      <c r="BG55"/>
      <c r="BH55"/>
      <c r="BI55"/>
    </row>
    <row r="56" spans="1:61">
      <c r="A56" s="10" t="s">
        <v>627</v>
      </c>
      <c r="B56" s="10" t="s">
        <v>124</v>
      </c>
      <c r="C56" s="80">
        <v>0</v>
      </c>
      <c r="D56" s="79">
        <f t="shared" si="3"/>
        <v>1600</v>
      </c>
      <c r="E56" s="79">
        <f>' 2018-2019'!I56+'2019-2020 New'!I56+'2020-2021 New'!I56+'2021-2022 (A) New'!J56</f>
        <v>-10</v>
      </c>
      <c r="F56" s="78">
        <f t="shared" si="4"/>
        <v>1600</v>
      </c>
      <c r="G56" s="159">
        <f t="shared" si="5"/>
        <v>2950</v>
      </c>
      <c r="H56" s="78">
        <f t="shared" si="6"/>
        <v>-1350</v>
      </c>
      <c r="I56" s="78">
        <f t="shared" si="7"/>
        <v>-1643.6093106000001</v>
      </c>
      <c r="J56" s="78">
        <f t="shared" si="39"/>
        <v>21.450000000000003</v>
      </c>
      <c r="K56" s="78">
        <f t="shared" si="8"/>
        <v>161.07025000000002</v>
      </c>
      <c r="L56" s="78">
        <f t="shared" si="9"/>
        <v>-283.60931060000001</v>
      </c>
      <c r="M56" s="78">
        <f t="shared" si="33"/>
        <v>-283.60931060000001</v>
      </c>
      <c r="N56" s="78">
        <f t="shared" si="37"/>
        <v>3373.2295606000002</v>
      </c>
      <c r="O56" s="165">
        <v>250</v>
      </c>
      <c r="P56" s="166">
        <f t="shared" si="10"/>
        <v>2.7500000000000004</v>
      </c>
      <c r="Q56" s="119">
        <f t="shared" si="38"/>
        <v>190</v>
      </c>
      <c r="R56" s="167">
        <f t="shared" si="11"/>
        <v>-4.2</v>
      </c>
      <c r="S56" s="165">
        <f>400+250</f>
        <v>650</v>
      </c>
      <c r="T56" s="166">
        <f t="shared" si="12"/>
        <v>7.15</v>
      </c>
      <c r="U56" s="33">
        <f t="shared" si="13"/>
        <v>-264.2</v>
      </c>
      <c r="V56" s="167">
        <f t="shared" si="14"/>
        <v>-63.994000000000007</v>
      </c>
      <c r="W56" s="165">
        <f>250+300+250</f>
        <v>800</v>
      </c>
      <c r="X56" s="166">
        <f t="shared" si="15"/>
        <v>8.8000000000000007</v>
      </c>
      <c r="Y56" s="33">
        <f t="shared" si="16"/>
        <v>-928.19400000000007</v>
      </c>
      <c r="Z56" s="167">
        <f t="shared" si="17"/>
        <v>-120.97358000000001</v>
      </c>
      <c r="AA56" s="165">
        <v>250</v>
      </c>
      <c r="AB56" s="166">
        <f t="shared" si="18"/>
        <v>2.7500000000000004</v>
      </c>
      <c r="AC56" s="33">
        <f t="shared" si="19"/>
        <v>-1099.16758</v>
      </c>
      <c r="AD56" s="167">
        <f t="shared" si="20"/>
        <v>-94.441730600000014</v>
      </c>
      <c r="AE56" s="220">
        <v>250</v>
      </c>
      <c r="AF56" s="221">
        <f t="shared" si="21"/>
        <v>2.7500000000000004</v>
      </c>
      <c r="AG56" s="123">
        <f t="shared" si="22"/>
        <v>-1243.6093106000001</v>
      </c>
      <c r="AH56" s="222">
        <f t="shared" si="23"/>
        <v>-104.55265174200001</v>
      </c>
      <c r="AI56" s="220">
        <v>250</v>
      </c>
      <c r="AJ56" s="221">
        <f t="shared" si="24"/>
        <v>0</v>
      </c>
      <c r="AK56" s="123">
        <f t="shared" si="25"/>
        <v>-1398.1619623420002</v>
      </c>
      <c r="AL56" s="222">
        <f t="shared" si="26"/>
        <v>-115.37133736394001</v>
      </c>
      <c r="AM56" s="220">
        <v>250</v>
      </c>
      <c r="AN56" s="221">
        <f t="shared" si="27"/>
        <v>0</v>
      </c>
      <c r="AO56" s="123">
        <f t="shared" si="28"/>
        <v>-1563.5332997059402</v>
      </c>
      <c r="AP56" s="222">
        <f t="shared" si="29"/>
        <v>-126.94733097941582</v>
      </c>
      <c r="AQ56" s="220">
        <v>250</v>
      </c>
      <c r="AR56" s="221">
        <f t="shared" si="30"/>
        <v>0</v>
      </c>
      <c r="AS56" s="123">
        <f t="shared" si="36"/>
        <v>-1740.4806306853561</v>
      </c>
      <c r="AT56" s="222">
        <f t="shared" si="31"/>
        <v>-139.33364414797495</v>
      </c>
      <c r="AU56" s="231">
        <f t="shared" si="34"/>
        <v>2950</v>
      </c>
      <c r="AV56" s="33">
        <f>' 2018-2019'!H56+'2019-2020 New'!H56+'2020-2021 New'!H56+'2021-2022 (A) New'!I56+'2021-2022 (B)'!G56+AY56</f>
        <v>11810</v>
      </c>
      <c r="AW56" s="233">
        <v>11810</v>
      </c>
      <c r="AX56" s="33">
        <f t="shared" si="32"/>
        <v>0</v>
      </c>
      <c r="AY56" s="10">
        <v>850</v>
      </c>
    </row>
    <row r="57" spans="1:61">
      <c r="A57" s="10" t="s">
        <v>628</v>
      </c>
      <c r="B57" s="10" t="s">
        <v>152</v>
      </c>
      <c r="C57" s="80">
        <v>0</v>
      </c>
      <c r="D57" s="79">
        <f t="shared" si="3"/>
        <v>1600</v>
      </c>
      <c r="E57" s="79">
        <f>' 2018-2019'!I57+'2019-2020 New'!I57+'2020-2021 New'!I57+'2021-2022 (A) New'!J57</f>
        <v>4900</v>
      </c>
      <c r="F57" s="78">
        <f t="shared" si="4"/>
        <v>1600</v>
      </c>
      <c r="G57" s="159">
        <f t="shared" si="5"/>
        <v>0</v>
      </c>
      <c r="H57" s="78">
        <f t="shared" si="6"/>
        <v>1600</v>
      </c>
      <c r="I57" s="78">
        <f t="shared" si="7"/>
        <v>8173.0482510000002</v>
      </c>
      <c r="J57" s="78">
        <f t="shared" si="39"/>
        <v>0</v>
      </c>
      <c r="K57" s="78">
        <f t="shared" si="8"/>
        <v>0</v>
      </c>
      <c r="L57" s="78">
        <f t="shared" si="9"/>
        <v>1673.0482510000002</v>
      </c>
      <c r="M57" s="78">
        <f t="shared" si="33"/>
        <v>1673.0482510000002</v>
      </c>
      <c r="N57" s="78">
        <f t="shared" si="37"/>
        <v>-1673.0482510000002</v>
      </c>
      <c r="O57" s="165">
        <v>0</v>
      </c>
      <c r="P57" s="166">
        <f t="shared" si="10"/>
        <v>0</v>
      </c>
      <c r="Q57" s="119">
        <f t="shared" si="38"/>
        <v>5100</v>
      </c>
      <c r="R57" s="167">
        <f t="shared" si="11"/>
        <v>357.00000000000006</v>
      </c>
      <c r="S57" s="165">
        <v>0</v>
      </c>
      <c r="T57" s="166">
        <f t="shared" si="12"/>
        <v>0</v>
      </c>
      <c r="U57" s="33">
        <f t="shared" si="13"/>
        <v>5657</v>
      </c>
      <c r="V57" s="167">
        <f t="shared" si="14"/>
        <v>395.99000000000007</v>
      </c>
      <c r="W57" s="165">
        <v>0</v>
      </c>
      <c r="X57" s="166">
        <f t="shared" si="15"/>
        <v>0</v>
      </c>
      <c r="Y57" s="33">
        <f t="shared" si="16"/>
        <v>6252.99</v>
      </c>
      <c r="Z57" s="167">
        <f t="shared" si="17"/>
        <v>437.70930000000004</v>
      </c>
      <c r="AA57" s="165">
        <v>0</v>
      </c>
      <c r="AB57" s="166">
        <f t="shared" si="18"/>
        <v>0</v>
      </c>
      <c r="AC57" s="33">
        <f t="shared" si="19"/>
        <v>6890.6993000000002</v>
      </c>
      <c r="AD57" s="167">
        <f t="shared" si="20"/>
        <v>482.34895100000006</v>
      </c>
      <c r="AE57" s="220">
        <v>0</v>
      </c>
      <c r="AF57" s="221">
        <f t="shared" si="21"/>
        <v>0</v>
      </c>
      <c r="AG57" s="123">
        <f t="shared" si="22"/>
        <v>7573.0482510000002</v>
      </c>
      <c r="AH57" s="222">
        <f t="shared" si="23"/>
        <v>530.11337757000001</v>
      </c>
      <c r="AI57" s="220">
        <v>0</v>
      </c>
      <c r="AJ57" s="221">
        <f t="shared" si="24"/>
        <v>0</v>
      </c>
      <c r="AK57" s="123">
        <f t="shared" si="25"/>
        <v>8303.1616285700002</v>
      </c>
      <c r="AL57" s="222">
        <f t="shared" si="26"/>
        <v>581.22131399990008</v>
      </c>
      <c r="AM57" s="220">
        <v>0</v>
      </c>
      <c r="AN57" s="221">
        <f t="shared" si="27"/>
        <v>0</v>
      </c>
      <c r="AO57" s="123">
        <f t="shared" si="28"/>
        <v>9084.3829425699005</v>
      </c>
      <c r="AP57" s="222">
        <f t="shared" si="29"/>
        <v>635.90680597989308</v>
      </c>
      <c r="AQ57" s="220">
        <v>0</v>
      </c>
      <c r="AR57" s="221">
        <f t="shared" si="30"/>
        <v>0</v>
      </c>
      <c r="AS57" s="123">
        <f t="shared" si="36"/>
        <v>9920.2897485497942</v>
      </c>
      <c r="AT57" s="222">
        <f t="shared" si="31"/>
        <v>694.42028239848571</v>
      </c>
      <c r="AU57" s="231">
        <f t="shared" si="34"/>
        <v>0</v>
      </c>
      <c r="AV57" s="33">
        <f>' 2018-2019'!H57+'2019-2020 New'!H57+'2020-2021 New'!H57+'2021-2022 (A) New'!I57+'2021-2022 (B)'!G57+AY57</f>
        <v>3100</v>
      </c>
      <c r="AW57" s="233">
        <v>3100</v>
      </c>
      <c r="AX57" s="33">
        <f t="shared" si="32"/>
        <v>0</v>
      </c>
      <c r="AY57" s="10">
        <v>0</v>
      </c>
    </row>
    <row r="58" spans="1:61">
      <c r="A58" s="10" t="s">
        <v>629</v>
      </c>
      <c r="B58" s="10" t="s">
        <v>156</v>
      </c>
      <c r="C58" s="80">
        <v>0</v>
      </c>
      <c r="D58" s="79">
        <f t="shared" si="3"/>
        <v>1600</v>
      </c>
      <c r="E58" s="79">
        <f>' 2018-2019'!I58+'2019-2020 New'!I58+'2020-2021 New'!I58+'2021-2022 (A) New'!J58</f>
        <v>7000</v>
      </c>
      <c r="F58" s="78">
        <f t="shared" si="4"/>
        <v>1600</v>
      </c>
      <c r="G58" s="159">
        <f t="shared" si="5"/>
        <v>0</v>
      </c>
      <c r="H58" s="78">
        <f t="shared" si="6"/>
        <v>1600</v>
      </c>
      <c r="I58" s="78">
        <f t="shared" si="7"/>
        <v>10925.719872000001</v>
      </c>
      <c r="J58" s="78">
        <f t="shared" si="39"/>
        <v>0</v>
      </c>
      <c r="K58" s="78">
        <f t="shared" si="8"/>
        <v>0</v>
      </c>
      <c r="L58" s="78">
        <f t="shared" si="9"/>
        <v>2325.7198720000006</v>
      </c>
      <c r="M58" s="78">
        <f t="shared" si="33"/>
        <v>2325.7198720000006</v>
      </c>
      <c r="N58" s="78">
        <f t="shared" si="37"/>
        <v>-2325.7198720000006</v>
      </c>
      <c r="O58" s="165">
        <v>0</v>
      </c>
      <c r="P58" s="166">
        <f t="shared" si="10"/>
        <v>0</v>
      </c>
      <c r="Q58" s="119">
        <f t="shared" si="38"/>
        <v>7200</v>
      </c>
      <c r="R58" s="167">
        <f t="shared" si="11"/>
        <v>504.00000000000006</v>
      </c>
      <c r="S58" s="165">
        <v>0</v>
      </c>
      <c r="T58" s="166">
        <f t="shared" si="12"/>
        <v>0</v>
      </c>
      <c r="U58" s="33">
        <f t="shared" si="13"/>
        <v>7904</v>
      </c>
      <c r="V58" s="167">
        <f t="shared" si="14"/>
        <v>553.28000000000009</v>
      </c>
      <c r="W58" s="165">
        <v>0</v>
      </c>
      <c r="X58" s="166">
        <f t="shared" si="15"/>
        <v>0</v>
      </c>
      <c r="Y58" s="33">
        <f t="shared" si="16"/>
        <v>8657.2800000000007</v>
      </c>
      <c r="Z58" s="167">
        <f t="shared" si="17"/>
        <v>606.00960000000009</v>
      </c>
      <c r="AA58" s="165">
        <v>0</v>
      </c>
      <c r="AB58" s="166">
        <f t="shared" si="18"/>
        <v>0</v>
      </c>
      <c r="AC58" s="33">
        <f t="shared" si="19"/>
        <v>9463.2896000000001</v>
      </c>
      <c r="AD58" s="167">
        <f t="shared" si="20"/>
        <v>662.43027200000006</v>
      </c>
      <c r="AE58" s="220">
        <v>0</v>
      </c>
      <c r="AF58" s="221">
        <f t="shared" si="21"/>
        <v>0</v>
      </c>
      <c r="AG58" s="123">
        <f t="shared" si="22"/>
        <v>10325.719872</v>
      </c>
      <c r="AH58" s="222">
        <f t="shared" si="23"/>
        <v>722.80039104000002</v>
      </c>
      <c r="AI58" s="220">
        <v>0</v>
      </c>
      <c r="AJ58" s="221">
        <f t="shared" si="24"/>
        <v>0</v>
      </c>
      <c r="AK58" s="123">
        <f t="shared" si="25"/>
        <v>11248.52026304</v>
      </c>
      <c r="AL58" s="222">
        <f t="shared" si="26"/>
        <v>787.39641841280002</v>
      </c>
      <c r="AM58" s="220">
        <v>0</v>
      </c>
      <c r="AN58" s="221">
        <f t="shared" si="27"/>
        <v>0</v>
      </c>
      <c r="AO58" s="123">
        <f t="shared" si="28"/>
        <v>12235.9166814528</v>
      </c>
      <c r="AP58" s="222">
        <f t="shared" si="29"/>
        <v>856.51416770169612</v>
      </c>
      <c r="AQ58" s="220">
        <v>0</v>
      </c>
      <c r="AR58" s="221">
        <f t="shared" si="30"/>
        <v>0</v>
      </c>
      <c r="AS58" s="123">
        <f t="shared" si="36"/>
        <v>13292.430849154496</v>
      </c>
      <c r="AT58" s="222">
        <f t="shared" si="31"/>
        <v>930.47015944081477</v>
      </c>
      <c r="AU58" s="231">
        <f t="shared" si="34"/>
        <v>0</v>
      </c>
      <c r="AV58" s="33">
        <f>' 2018-2019'!H58+'2019-2020 New'!H58+'2020-2021 New'!H58+'2021-2022 (A) New'!I58+'2021-2022 (B)'!G58+AY58</f>
        <v>1000</v>
      </c>
      <c r="AW58" s="233">
        <v>1000</v>
      </c>
      <c r="AX58" s="33">
        <f t="shared" si="32"/>
        <v>0</v>
      </c>
      <c r="AY58" s="10">
        <v>0</v>
      </c>
    </row>
    <row r="59" spans="1:61">
      <c r="A59" s="10" t="s">
        <v>630</v>
      </c>
      <c r="B59" s="10" t="s">
        <v>158</v>
      </c>
      <c r="C59" s="80">
        <v>0</v>
      </c>
      <c r="D59" s="79">
        <f t="shared" si="3"/>
        <v>1600</v>
      </c>
      <c r="E59" s="79">
        <f>' 2018-2019'!I59+'2019-2020 New'!I59+'2020-2021 New'!I59+'2021-2022 (A) New'!J59</f>
        <v>7300</v>
      </c>
      <c r="F59" s="78">
        <f t="shared" si="4"/>
        <v>1600</v>
      </c>
      <c r="G59" s="159">
        <f t="shared" si="5"/>
        <v>0</v>
      </c>
      <c r="H59" s="78">
        <f t="shared" si="6"/>
        <v>1600</v>
      </c>
      <c r="I59" s="78">
        <f t="shared" si="7"/>
        <v>11318.958675</v>
      </c>
      <c r="J59" s="78">
        <f t="shared" si="39"/>
        <v>0</v>
      </c>
      <c r="K59" s="78">
        <f t="shared" si="8"/>
        <v>0</v>
      </c>
      <c r="L59" s="78">
        <f t="shared" si="9"/>
        <v>2418.9586749999999</v>
      </c>
      <c r="M59" s="78">
        <f t="shared" si="33"/>
        <v>2418.9586749999999</v>
      </c>
      <c r="N59" s="78">
        <f t="shared" si="37"/>
        <v>-2418.9586749999999</v>
      </c>
      <c r="O59" s="165">
        <v>0</v>
      </c>
      <c r="P59" s="166">
        <f t="shared" si="10"/>
        <v>0</v>
      </c>
      <c r="Q59" s="119">
        <f t="shared" si="38"/>
        <v>7500</v>
      </c>
      <c r="R59" s="167">
        <f t="shared" si="11"/>
        <v>525</v>
      </c>
      <c r="S59" s="165">
        <v>0</v>
      </c>
      <c r="T59" s="166">
        <f t="shared" si="12"/>
        <v>0</v>
      </c>
      <c r="U59" s="33">
        <f t="shared" si="13"/>
        <v>8225</v>
      </c>
      <c r="V59" s="167">
        <f t="shared" si="14"/>
        <v>575.75</v>
      </c>
      <c r="W59" s="165">
        <v>0</v>
      </c>
      <c r="X59" s="166">
        <f t="shared" si="15"/>
        <v>0</v>
      </c>
      <c r="Y59" s="33">
        <f t="shared" si="16"/>
        <v>9000.75</v>
      </c>
      <c r="Z59" s="167">
        <f t="shared" si="17"/>
        <v>630.05250000000001</v>
      </c>
      <c r="AA59" s="165">
        <v>0</v>
      </c>
      <c r="AB59" s="166">
        <f t="shared" si="18"/>
        <v>0</v>
      </c>
      <c r="AC59" s="33">
        <f t="shared" si="19"/>
        <v>9830.8024999999998</v>
      </c>
      <c r="AD59" s="167">
        <f t="shared" si="20"/>
        <v>688.15617500000008</v>
      </c>
      <c r="AE59" s="220">
        <v>0</v>
      </c>
      <c r="AF59" s="221">
        <f t="shared" si="21"/>
        <v>0</v>
      </c>
      <c r="AG59" s="123">
        <f t="shared" si="22"/>
        <v>10718.958675</v>
      </c>
      <c r="AH59" s="222">
        <f t="shared" si="23"/>
        <v>750.32710725000004</v>
      </c>
      <c r="AI59" s="220">
        <v>0</v>
      </c>
      <c r="AJ59" s="221">
        <f t="shared" si="24"/>
        <v>0</v>
      </c>
      <c r="AK59" s="123">
        <f t="shared" si="25"/>
        <v>11669.285782249999</v>
      </c>
      <c r="AL59" s="222">
        <f t="shared" si="26"/>
        <v>816.85000475749996</v>
      </c>
      <c r="AM59" s="220">
        <v>0</v>
      </c>
      <c r="AN59" s="221">
        <f t="shared" si="27"/>
        <v>0</v>
      </c>
      <c r="AO59" s="123">
        <f t="shared" si="28"/>
        <v>12686.135787007499</v>
      </c>
      <c r="AP59" s="222">
        <f t="shared" si="29"/>
        <v>888.02950509052505</v>
      </c>
      <c r="AQ59" s="220">
        <v>0</v>
      </c>
      <c r="AR59" s="221">
        <f t="shared" si="30"/>
        <v>0</v>
      </c>
      <c r="AS59" s="123">
        <f t="shared" si="36"/>
        <v>13774.165292098023</v>
      </c>
      <c r="AT59" s="222">
        <f t="shared" si="31"/>
        <v>964.19157044686176</v>
      </c>
      <c r="AU59" s="231">
        <f t="shared" si="34"/>
        <v>0</v>
      </c>
      <c r="AV59" s="33">
        <f>' 2018-2019'!H59+'2019-2020 New'!H59+'2020-2021 New'!H59+'2021-2022 (A) New'!I59+'2021-2022 (B)'!G59+AY59</f>
        <v>700</v>
      </c>
      <c r="AW59" s="233">
        <v>700</v>
      </c>
      <c r="AX59" s="33">
        <f t="shared" si="32"/>
        <v>0</v>
      </c>
      <c r="AY59" s="10">
        <v>0</v>
      </c>
    </row>
    <row r="60" spans="1:61">
      <c r="A60" s="10" t="s">
        <v>631</v>
      </c>
      <c r="B60" s="10" t="s">
        <v>118</v>
      </c>
      <c r="C60" s="80">
        <v>0</v>
      </c>
      <c r="D60" s="79">
        <f t="shared" si="3"/>
        <v>1600</v>
      </c>
      <c r="E60" s="79">
        <f>' 2018-2019'!I60+'2019-2020 New'!I60+'2020-2021 New'!I60+'2021-2022 (A) New'!J60</f>
        <v>3300</v>
      </c>
      <c r="F60" s="78">
        <f t="shared" si="4"/>
        <v>1600</v>
      </c>
      <c r="G60" s="159">
        <f t="shared" si="5"/>
        <v>3450</v>
      </c>
      <c r="H60" s="78">
        <f t="shared" si="6"/>
        <v>-1850</v>
      </c>
      <c r="I60" s="78">
        <f t="shared" si="7"/>
        <v>1913.811831</v>
      </c>
      <c r="J60" s="78">
        <f t="shared" si="39"/>
        <v>35.75</v>
      </c>
      <c r="K60" s="78">
        <f t="shared" si="8"/>
        <v>187.78375</v>
      </c>
      <c r="L60" s="78">
        <f t="shared" si="9"/>
        <v>463.81183100000004</v>
      </c>
      <c r="M60" s="78">
        <f t="shared" si="33"/>
        <v>463.81183100000004</v>
      </c>
      <c r="N60" s="78">
        <f t="shared" si="37"/>
        <v>3138.2219190000001</v>
      </c>
      <c r="O60" s="165">
        <f>200+200</f>
        <v>400</v>
      </c>
      <c r="P60" s="166">
        <f t="shared" si="10"/>
        <v>4.4000000000000004</v>
      </c>
      <c r="Q60" s="119">
        <f t="shared" si="38"/>
        <v>3500</v>
      </c>
      <c r="R60" s="167">
        <f t="shared" si="11"/>
        <v>217.00000000000003</v>
      </c>
      <c r="S60" s="165">
        <v>600</v>
      </c>
      <c r="T60" s="166">
        <f t="shared" si="12"/>
        <v>6.6000000000000005</v>
      </c>
      <c r="U60" s="33">
        <f t="shared" si="13"/>
        <v>3317</v>
      </c>
      <c r="V60" s="167">
        <f t="shared" si="14"/>
        <v>190.19000000000003</v>
      </c>
      <c r="W60" s="165">
        <f>2000+250</f>
        <v>2250</v>
      </c>
      <c r="X60" s="166">
        <f t="shared" si="15"/>
        <v>24.750000000000004</v>
      </c>
      <c r="Y60" s="33">
        <f t="shared" si="16"/>
        <v>1457.19</v>
      </c>
      <c r="Z60" s="167">
        <f t="shared" si="17"/>
        <v>-55.496700000000004</v>
      </c>
      <c r="AA60" s="165">
        <v>0</v>
      </c>
      <c r="AB60" s="166">
        <f t="shared" si="18"/>
        <v>0</v>
      </c>
      <c r="AC60" s="33">
        <f t="shared" si="19"/>
        <v>1601.6933000000001</v>
      </c>
      <c r="AD60" s="167">
        <f t="shared" si="20"/>
        <v>112.11853100000002</v>
      </c>
      <c r="AE60" s="220">
        <v>200</v>
      </c>
      <c r="AF60" s="221">
        <f t="shared" si="21"/>
        <v>2.2000000000000002</v>
      </c>
      <c r="AG60" s="123">
        <f t="shared" si="22"/>
        <v>1713.8118310000002</v>
      </c>
      <c r="AH60" s="222">
        <f t="shared" si="23"/>
        <v>105.96682817000003</v>
      </c>
      <c r="AI60" s="220">
        <v>0</v>
      </c>
      <c r="AJ60" s="221">
        <f t="shared" si="24"/>
        <v>0</v>
      </c>
      <c r="AK60" s="123">
        <f t="shared" si="25"/>
        <v>2019.7786591700003</v>
      </c>
      <c r="AL60" s="222">
        <f t="shared" si="26"/>
        <v>141.38450614190003</v>
      </c>
      <c r="AM60" s="220">
        <v>0</v>
      </c>
      <c r="AN60" s="221">
        <f t="shared" si="27"/>
        <v>0</v>
      </c>
      <c r="AO60" s="123">
        <f t="shared" si="28"/>
        <v>2361.1631653119007</v>
      </c>
      <c r="AP60" s="222">
        <f t="shared" si="29"/>
        <v>165.28142157183305</v>
      </c>
      <c r="AQ60" s="220">
        <v>0</v>
      </c>
      <c r="AR60" s="221">
        <f t="shared" si="30"/>
        <v>0</v>
      </c>
      <c r="AS60" s="123">
        <f t="shared" si="36"/>
        <v>2726.4445868837338</v>
      </c>
      <c r="AT60" s="222">
        <f t="shared" si="31"/>
        <v>190.85112108186138</v>
      </c>
      <c r="AU60" s="231">
        <f t="shared" si="34"/>
        <v>3450</v>
      </c>
      <c r="AV60" s="33">
        <f>' 2018-2019'!H60+'2019-2020 New'!H60+'2020-2021 New'!H60+'2021-2022 (A) New'!I60+'2021-2022 (B)'!G60+AY60</f>
        <v>8250</v>
      </c>
      <c r="AW60" s="233">
        <v>8250</v>
      </c>
      <c r="AX60" s="33">
        <f t="shared" si="32"/>
        <v>0</v>
      </c>
      <c r="AY60" s="10">
        <v>0</v>
      </c>
    </row>
    <row r="61" spans="1:61">
      <c r="A61" s="10" t="s">
        <v>632</v>
      </c>
      <c r="B61" s="10" t="s">
        <v>157</v>
      </c>
      <c r="C61" s="80">
        <v>0</v>
      </c>
      <c r="D61" s="79">
        <f t="shared" si="3"/>
        <v>1600</v>
      </c>
      <c r="E61" s="79">
        <f>' 2018-2019'!I61+'2019-2020 New'!I61+'2020-2021 New'!I61+'2021-2022 (A) New'!J61</f>
        <v>7700</v>
      </c>
      <c r="F61" s="78">
        <f t="shared" si="4"/>
        <v>1600</v>
      </c>
      <c r="G61" s="159">
        <f t="shared" si="5"/>
        <v>0</v>
      </c>
      <c r="H61" s="78">
        <f t="shared" si="6"/>
        <v>1600</v>
      </c>
      <c r="I61" s="78">
        <f t="shared" si="7"/>
        <v>11843.277079</v>
      </c>
      <c r="J61" s="78">
        <f t="shared" si="39"/>
        <v>0</v>
      </c>
      <c r="K61" s="78">
        <f t="shared" si="8"/>
        <v>0</v>
      </c>
      <c r="L61" s="78">
        <f t="shared" si="9"/>
        <v>2543.277079</v>
      </c>
      <c r="M61" s="78">
        <f t="shared" si="33"/>
        <v>2543.277079</v>
      </c>
      <c r="N61" s="78">
        <f t="shared" si="37"/>
        <v>-2543.277079</v>
      </c>
      <c r="O61" s="165">
        <v>0</v>
      </c>
      <c r="P61" s="166">
        <f t="shared" si="10"/>
        <v>0</v>
      </c>
      <c r="Q61" s="119">
        <f t="shared" si="38"/>
        <v>7900</v>
      </c>
      <c r="R61" s="167">
        <f t="shared" si="11"/>
        <v>553</v>
      </c>
      <c r="S61" s="165">
        <v>0</v>
      </c>
      <c r="T61" s="166">
        <f t="shared" si="12"/>
        <v>0</v>
      </c>
      <c r="U61" s="33">
        <f t="shared" si="13"/>
        <v>8653</v>
      </c>
      <c r="V61" s="167">
        <f t="shared" si="14"/>
        <v>605.71</v>
      </c>
      <c r="W61" s="165">
        <v>0</v>
      </c>
      <c r="X61" s="166">
        <f t="shared" si="15"/>
        <v>0</v>
      </c>
      <c r="Y61" s="33">
        <f t="shared" si="16"/>
        <v>9458.7099999999991</v>
      </c>
      <c r="Z61" s="167">
        <f t="shared" si="17"/>
        <v>662.10969999999998</v>
      </c>
      <c r="AA61" s="165">
        <v>0</v>
      </c>
      <c r="AB61" s="166">
        <f t="shared" si="18"/>
        <v>0</v>
      </c>
      <c r="AC61" s="33">
        <f t="shared" si="19"/>
        <v>10320.8197</v>
      </c>
      <c r="AD61" s="167">
        <f t="shared" si="20"/>
        <v>722.45737900000006</v>
      </c>
      <c r="AE61" s="220">
        <v>0</v>
      </c>
      <c r="AF61" s="221">
        <f t="shared" si="21"/>
        <v>0</v>
      </c>
      <c r="AG61" s="123">
        <f t="shared" si="22"/>
        <v>11243.277079</v>
      </c>
      <c r="AH61" s="222">
        <f t="shared" si="23"/>
        <v>787.02939552999999</v>
      </c>
      <c r="AI61" s="220">
        <v>0</v>
      </c>
      <c r="AJ61" s="221">
        <f t="shared" si="24"/>
        <v>0</v>
      </c>
      <c r="AK61" s="123">
        <f t="shared" si="25"/>
        <v>12230.30647453</v>
      </c>
      <c r="AL61" s="222">
        <f t="shared" si="26"/>
        <v>856.12145321710011</v>
      </c>
      <c r="AM61" s="220">
        <v>0</v>
      </c>
      <c r="AN61" s="221">
        <f t="shared" si="27"/>
        <v>0</v>
      </c>
      <c r="AO61" s="123">
        <f t="shared" si="28"/>
        <v>13286.4279277471</v>
      </c>
      <c r="AP61" s="222">
        <f t="shared" si="29"/>
        <v>930.04995494229706</v>
      </c>
      <c r="AQ61" s="220">
        <v>0</v>
      </c>
      <c r="AR61" s="221">
        <f t="shared" si="30"/>
        <v>0</v>
      </c>
      <c r="AS61" s="123">
        <f t="shared" si="36"/>
        <v>14416.477882689396</v>
      </c>
      <c r="AT61" s="222">
        <f t="shared" si="31"/>
        <v>1009.1534517882578</v>
      </c>
      <c r="AU61" s="231">
        <f t="shared" si="34"/>
        <v>0</v>
      </c>
      <c r="AV61" s="33">
        <f>' 2018-2019'!H61+'2019-2020 New'!H61+'2020-2021 New'!H61+'2021-2022 (A) New'!I61+'2021-2022 (B)'!G61+AY61</f>
        <v>300</v>
      </c>
      <c r="AW61" s="233">
        <v>300</v>
      </c>
      <c r="AX61" s="33">
        <f t="shared" si="32"/>
        <v>0</v>
      </c>
      <c r="AY61" s="10">
        <v>0</v>
      </c>
    </row>
    <row r="62" spans="1:61">
      <c r="A62" s="10" t="s">
        <v>633</v>
      </c>
      <c r="B62" s="10" t="s">
        <v>127</v>
      </c>
      <c r="C62" s="80">
        <v>0</v>
      </c>
      <c r="D62" s="79">
        <f t="shared" si="3"/>
        <v>1600</v>
      </c>
      <c r="E62" s="79">
        <f>' 2018-2019'!I62+'2019-2020 New'!I62+'2020-2021 New'!I62+'2021-2022 (A) New'!J62</f>
        <v>5000</v>
      </c>
      <c r="F62" s="78">
        <f t="shared" si="4"/>
        <v>1600</v>
      </c>
      <c r="G62" s="159">
        <f t="shared" si="5"/>
        <v>0</v>
      </c>
      <c r="H62" s="78">
        <f t="shared" si="6"/>
        <v>1600</v>
      </c>
      <c r="I62" s="78">
        <f t="shared" si="7"/>
        <v>8304.1278519999996</v>
      </c>
      <c r="J62" s="78">
        <f t="shared" si="39"/>
        <v>0</v>
      </c>
      <c r="K62" s="78">
        <f t="shared" si="8"/>
        <v>0</v>
      </c>
      <c r="L62" s="78">
        <f t="shared" si="9"/>
        <v>1704.1278520000001</v>
      </c>
      <c r="M62" s="78">
        <f t="shared" si="33"/>
        <v>1704.1278520000001</v>
      </c>
      <c r="N62" s="78">
        <f t="shared" si="37"/>
        <v>-1704.1278520000001</v>
      </c>
      <c r="O62" s="165">
        <v>0</v>
      </c>
      <c r="P62" s="166">
        <f t="shared" si="10"/>
        <v>0</v>
      </c>
      <c r="Q62" s="119">
        <f t="shared" si="38"/>
        <v>5200</v>
      </c>
      <c r="R62" s="167">
        <f t="shared" si="11"/>
        <v>364.00000000000006</v>
      </c>
      <c r="S62" s="165">
        <v>0</v>
      </c>
      <c r="T62" s="166">
        <f t="shared" si="12"/>
        <v>0</v>
      </c>
      <c r="U62" s="33">
        <f t="shared" si="13"/>
        <v>5764</v>
      </c>
      <c r="V62" s="167">
        <f t="shared" si="14"/>
        <v>403.48</v>
      </c>
      <c r="W62" s="165">
        <v>0</v>
      </c>
      <c r="X62" s="166">
        <f t="shared" si="15"/>
        <v>0</v>
      </c>
      <c r="Y62" s="33">
        <f t="shared" si="16"/>
        <v>6367.48</v>
      </c>
      <c r="Z62" s="167">
        <f t="shared" si="17"/>
        <v>445.72360000000003</v>
      </c>
      <c r="AA62" s="165">
        <v>0</v>
      </c>
      <c r="AB62" s="166">
        <f t="shared" si="18"/>
        <v>0</v>
      </c>
      <c r="AC62" s="33">
        <f t="shared" si="19"/>
        <v>7013.2035999999998</v>
      </c>
      <c r="AD62" s="167">
        <f t="shared" si="20"/>
        <v>490.92425200000002</v>
      </c>
      <c r="AE62" s="220">
        <v>0</v>
      </c>
      <c r="AF62" s="221">
        <f t="shared" si="21"/>
        <v>0</v>
      </c>
      <c r="AG62" s="123">
        <f t="shared" si="22"/>
        <v>7704.1278519999996</v>
      </c>
      <c r="AH62" s="222">
        <f t="shared" si="23"/>
        <v>539.28894964000006</v>
      </c>
      <c r="AI62" s="220">
        <v>0</v>
      </c>
      <c r="AJ62" s="221">
        <f t="shared" si="24"/>
        <v>0</v>
      </c>
      <c r="AK62" s="123">
        <f t="shared" si="25"/>
        <v>8443.4168016399999</v>
      </c>
      <c r="AL62" s="222">
        <f t="shared" si="26"/>
        <v>591.03917611480006</v>
      </c>
      <c r="AM62" s="220">
        <v>0</v>
      </c>
      <c r="AN62" s="221">
        <f t="shared" si="27"/>
        <v>0</v>
      </c>
      <c r="AO62" s="123">
        <f t="shared" si="28"/>
        <v>9234.4559777548002</v>
      </c>
      <c r="AP62" s="222">
        <f t="shared" si="29"/>
        <v>646.41191844283605</v>
      </c>
      <c r="AQ62" s="220">
        <v>0</v>
      </c>
      <c r="AR62" s="221">
        <f t="shared" si="30"/>
        <v>0</v>
      </c>
      <c r="AS62" s="123">
        <f t="shared" si="36"/>
        <v>10080.867896197637</v>
      </c>
      <c r="AT62" s="222">
        <f t="shared" si="31"/>
        <v>705.66075273383467</v>
      </c>
      <c r="AU62" s="231">
        <f t="shared" si="34"/>
        <v>0</v>
      </c>
      <c r="AV62" s="33">
        <f>' 2018-2019'!H62+'2019-2020 New'!H62+'2020-2021 New'!H62+'2021-2022 (A) New'!I62+'2021-2022 (B)'!G62+AY62</f>
        <v>3100</v>
      </c>
      <c r="AW62" s="233">
        <v>3100</v>
      </c>
      <c r="AX62" s="33">
        <f t="shared" si="32"/>
        <v>0</v>
      </c>
      <c r="AY62" s="10">
        <v>0</v>
      </c>
    </row>
    <row r="63" spans="1:61">
      <c r="A63" s="10" t="s">
        <v>634</v>
      </c>
      <c r="B63" s="10" t="s">
        <v>127</v>
      </c>
      <c r="C63" s="80">
        <v>0</v>
      </c>
      <c r="D63" s="79">
        <f t="shared" si="3"/>
        <v>1600</v>
      </c>
      <c r="E63" s="79">
        <f>' 2018-2019'!I63+'2019-2020 New'!I63+'2020-2021 New'!I63+'2021-2022 (A) New'!J63</f>
        <v>4500</v>
      </c>
      <c r="F63" s="78">
        <f t="shared" si="4"/>
        <v>1600</v>
      </c>
      <c r="G63" s="159">
        <f t="shared" si="5"/>
        <v>0</v>
      </c>
      <c r="H63" s="78">
        <f t="shared" si="6"/>
        <v>1600</v>
      </c>
      <c r="I63" s="78">
        <f t="shared" si="7"/>
        <v>7648.7298470000005</v>
      </c>
      <c r="J63" s="78">
        <f t="shared" si="39"/>
        <v>0</v>
      </c>
      <c r="K63" s="78">
        <f t="shared" si="8"/>
        <v>0</v>
      </c>
      <c r="L63" s="78">
        <f t="shared" si="9"/>
        <v>1548.7298470000001</v>
      </c>
      <c r="M63" s="78">
        <f t="shared" si="33"/>
        <v>1548.7298470000001</v>
      </c>
      <c r="N63" s="78">
        <f t="shared" si="37"/>
        <v>-1548.7298470000001</v>
      </c>
      <c r="O63" s="165">
        <v>0</v>
      </c>
      <c r="P63" s="166">
        <f t="shared" si="10"/>
        <v>0</v>
      </c>
      <c r="Q63" s="119">
        <f t="shared" si="38"/>
        <v>4700</v>
      </c>
      <c r="R63" s="167">
        <f t="shared" si="11"/>
        <v>329.00000000000006</v>
      </c>
      <c r="S63" s="165">
        <v>0</v>
      </c>
      <c r="T63" s="166">
        <f t="shared" si="12"/>
        <v>0</v>
      </c>
      <c r="U63" s="33">
        <f t="shared" si="13"/>
        <v>5229</v>
      </c>
      <c r="V63" s="167">
        <f t="shared" si="14"/>
        <v>366.03000000000003</v>
      </c>
      <c r="W63" s="165">
        <v>0</v>
      </c>
      <c r="X63" s="166">
        <f t="shared" si="15"/>
        <v>0</v>
      </c>
      <c r="Y63" s="33">
        <f t="shared" si="16"/>
        <v>5795.03</v>
      </c>
      <c r="Z63" s="167">
        <f t="shared" si="17"/>
        <v>405.65210000000002</v>
      </c>
      <c r="AA63" s="165">
        <v>0</v>
      </c>
      <c r="AB63" s="166">
        <f t="shared" si="18"/>
        <v>0</v>
      </c>
      <c r="AC63" s="33">
        <f t="shared" si="19"/>
        <v>6400.6821</v>
      </c>
      <c r="AD63" s="167">
        <f t="shared" si="20"/>
        <v>448.04774700000002</v>
      </c>
      <c r="AE63" s="220">
        <v>0</v>
      </c>
      <c r="AF63" s="221">
        <f t="shared" si="21"/>
        <v>0</v>
      </c>
      <c r="AG63" s="123">
        <f t="shared" si="22"/>
        <v>7048.7298469999996</v>
      </c>
      <c r="AH63" s="222">
        <f t="shared" si="23"/>
        <v>493.41108929000001</v>
      </c>
      <c r="AI63" s="220">
        <v>0</v>
      </c>
      <c r="AJ63" s="221">
        <f t="shared" si="24"/>
        <v>0</v>
      </c>
      <c r="AK63" s="123">
        <f t="shared" si="25"/>
        <v>7742.1409362899994</v>
      </c>
      <c r="AL63" s="222">
        <f t="shared" si="26"/>
        <v>541.94986554030004</v>
      </c>
      <c r="AM63" s="220">
        <v>0</v>
      </c>
      <c r="AN63" s="221">
        <f t="shared" si="27"/>
        <v>0</v>
      </c>
      <c r="AO63" s="123">
        <f t="shared" si="28"/>
        <v>8484.0908018302998</v>
      </c>
      <c r="AP63" s="222">
        <f t="shared" si="29"/>
        <v>593.88635612812107</v>
      </c>
      <c r="AQ63" s="220">
        <v>0</v>
      </c>
      <c r="AR63" s="221">
        <f t="shared" si="30"/>
        <v>0</v>
      </c>
      <c r="AS63" s="123">
        <f t="shared" si="36"/>
        <v>9277.9771579584212</v>
      </c>
      <c r="AT63" s="222">
        <f t="shared" si="31"/>
        <v>649.45840105708953</v>
      </c>
      <c r="AU63" s="231">
        <f t="shared" si="34"/>
        <v>0</v>
      </c>
      <c r="AV63" s="33">
        <f>' 2018-2019'!H63+'2019-2020 New'!H63+'2020-2021 New'!H63+'2021-2022 (A) New'!I63+'2021-2022 (B)'!G63+AY63</f>
        <v>3600</v>
      </c>
      <c r="AW63" s="233">
        <v>3600</v>
      </c>
      <c r="AX63" s="33">
        <f t="shared" si="32"/>
        <v>0</v>
      </c>
      <c r="AY63" s="10">
        <v>0</v>
      </c>
    </row>
    <row r="64" spans="1:61">
      <c r="A64" s="10" t="s">
        <v>635</v>
      </c>
      <c r="B64" s="10" t="s">
        <v>128</v>
      </c>
      <c r="C64" s="80">
        <v>0</v>
      </c>
      <c r="D64" s="79">
        <f t="shared" si="3"/>
        <v>1600</v>
      </c>
      <c r="E64" s="79">
        <f>' 2018-2019'!I64+'2019-2020 New'!I64+'2020-2021 New'!I64+'2021-2022 (A) New'!J64</f>
        <v>7290</v>
      </c>
      <c r="F64" s="78">
        <f t="shared" si="4"/>
        <v>1600</v>
      </c>
      <c r="G64" s="159">
        <f t="shared" si="5"/>
        <v>0</v>
      </c>
      <c r="H64" s="78">
        <f t="shared" si="6"/>
        <v>1600</v>
      </c>
      <c r="I64" s="78">
        <f t="shared" si="7"/>
        <v>11305.8507149</v>
      </c>
      <c r="J64" s="78">
        <f t="shared" si="39"/>
        <v>0</v>
      </c>
      <c r="K64" s="78">
        <f t="shared" si="8"/>
        <v>0</v>
      </c>
      <c r="L64" s="78">
        <f t="shared" si="9"/>
        <v>2415.8507148999997</v>
      </c>
      <c r="M64" s="78">
        <f t="shared" si="33"/>
        <v>2415.8507148999997</v>
      </c>
      <c r="N64" s="78">
        <f t="shared" si="37"/>
        <v>-2415.8507148999997</v>
      </c>
      <c r="O64" s="165">
        <v>0</v>
      </c>
      <c r="P64" s="166">
        <f t="shared" si="10"/>
        <v>0</v>
      </c>
      <c r="Q64" s="119">
        <f t="shared" si="38"/>
        <v>7490</v>
      </c>
      <c r="R64" s="167">
        <f t="shared" si="11"/>
        <v>524.30000000000007</v>
      </c>
      <c r="S64" s="165">
        <v>0</v>
      </c>
      <c r="T64" s="166">
        <f t="shared" si="12"/>
        <v>0</v>
      </c>
      <c r="U64" s="33">
        <f t="shared" si="13"/>
        <v>8214.2999999999993</v>
      </c>
      <c r="V64" s="167">
        <f t="shared" si="14"/>
        <v>575.00099999999998</v>
      </c>
      <c r="W64" s="165">
        <v>0</v>
      </c>
      <c r="X64" s="166">
        <f t="shared" si="15"/>
        <v>0</v>
      </c>
      <c r="Y64" s="33">
        <f t="shared" si="16"/>
        <v>8989.3009999999995</v>
      </c>
      <c r="Z64" s="167">
        <f t="shared" si="17"/>
        <v>629.25107000000003</v>
      </c>
      <c r="AA64" s="165">
        <v>0</v>
      </c>
      <c r="AB64" s="166">
        <f t="shared" si="18"/>
        <v>0</v>
      </c>
      <c r="AC64" s="33">
        <f t="shared" si="19"/>
        <v>9818.5520699999997</v>
      </c>
      <c r="AD64" s="167">
        <f t="shared" si="20"/>
        <v>687.2986449</v>
      </c>
      <c r="AE64" s="220">
        <v>0</v>
      </c>
      <c r="AF64" s="221">
        <f t="shared" si="21"/>
        <v>0</v>
      </c>
      <c r="AG64" s="123">
        <f t="shared" si="22"/>
        <v>10705.8507149</v>
      </c>
      <c r="AH64" s="222">
        <f t="shared" si="23"/>
        <v>749.40955004300008</v>
      </c>
      <c r="AI64" s="220">
        <v>0</v>
      </c>
      <c r="AJ64" s="221">
        <f t="shared" si="24"/>
        <v>0</v>
      </c>
      <c r="AK64" s="123">
        <f t="shared" si="25"/>
        <v>11655.260264942999</v>
      </c>
      <c r="AL64" s="222">
        <f t="shared" si="26"/>
        <v>815.86821854600998</v>
      </c>
      <c r="AM64" s="220">
        <v>0</v>
      </c>
      <c r="AN64" s="221">
        <f t="shared" si="27"/>
        <v>0</v>
      </c>
      <c r="AO64" s="123">
        <f t="shared" si="28"/>
        <v>12671.128483489008</v>
      </c>
      <c r="AP64" s="222">
        <f t="shared" si="29"/>
        <v>886.97899384423067</v>
      </c>
      <c r="AQ64" s="220">
        <v>0</v>
      </c>
      <c r="AR64" s="221">
        <f t="shared" si="30"/>
        <v>0</v>
      </c>
      <c r="AS64" s="123">
        <f t="shared" si="36"/>
        <v>13758.107477333238</v>
      </c>
      <c r="AT64" s="222">
        <f t="shared" si="31"/>
        <v>963.06752341332674</v>
      </c>
      <c r="AU64" s="231">
        <f t="shared" si="34"/>
        <v>0</v>
      </c>
      <c r="AV64" s="33">
        <f>' 2018-2019'!H64+'2019-2020 New'!H64+'2020-2021 New'!H64+'2021-2022 (A) New'!I64+'2021-2022 (B)'!G64+AY64</f>
        <v>710</v>
      </c>
      <c r="AW64" s="233">
        <v>910</v>
      </c>
      <c r="AX64" s="166">
        <f t="shared" si="32"/>
        <v>200</v>
      </c>
      <c r="AY64" s="10">
        <v>0</v>
      </c>
      <c r="AZ64" s="41" t="s">
        <v>488</v>
      </c>
    </row>
    <row r="65" spans="1:53">
      <c r="A65" s="10" t="s">
        <v>636</v>
      </c>
      <c r="B65" s="10" t="s">
        <v>128</v>
      </c>
      <c r="C65" s="80">
        <v>0</v>
      </c>
      <c r="D65" s="79">
        <f t="shared" si="3"/>
        <v>1600</v>
      </c>
      <c r="E65" s="79">
        <f>' 2018-2019'!I65+'2019-2020 New'!I65+'2020-2021 New'!I65+'2021-2022 (A) New'!J65</f>
        <v>7700</v>
      </c>
      <c r="F65" s="78">
        <f t="shared" si="4"/>
        <v>1600</v>
      </c>
      <c r="G65" s="159">
        <f t="shared" si="5"/>
        <v>0</v>
      </c>
      <c r="H65" s="78">
        <f t="shared" si="6"/>
        <v>1600</v>
      </c>
      <c r="I65" s="78">
        <f t="shared" si="7"/>
        <v>11843.277079</v>
      </c>
      <c r="J65" s="78">
        <f t="shared" si="39"/>
        <v>0</v>
      </c>
      <c r="K65" s="78">
        <f t="shared" si="8"/>
        <v>0</v>
      </c>
      <c r="L65" s="78">
        <f t="shared" si="9"/>
        <v>2543.277079</v>
      </c>
      <c r="M65" s="78">
        <f t="shared" si="33"/>
        <v>2543.277079</v>
      </c>
      <c r="N65" s="78">
        <f t="shared" si="37"/>
        <v>-2543.277079</v>
      </c>
      <c r="O65" s="165">
        <v>0</v>
      </c>
      <c r="P65" s="166">
        <f t="shared" si="10"/>
        <v>0</v>
      </c>
      <c r="Q65" s="119">
        <f t="shared" si="38"/>
        <v>7900</v>
      </c>
      <c r="R65" s="167">
        <f t="shared" si="11"/>
        <v>553</v>
      </c>
      <c r="S65" s="165">
        <v>0</v>
      </c>
      <c r="T65" s="166">
        <f t="shared" si="12"/>
        <v>0</v>
      </c>
      <c r="U65" s="33">
        <f t="shared" si="13"/>
        <v>8653</v>
      </c>
      <c r="V65" s="167">
        <f t="shared" si="14"/>
        <v>605.71</v>
      </c>
      <c r="W65" s="165">
        <v>0</v>
      </c>
      <c r="X65" s="166">
        <f t="shared" si="15"/>
        <v>0</v>
      </c>
      <c r="Y65" s="33">
        <f t="shared" si="16"/>
        <v>9458.7099999999991</v>
      </c>
      <c r="Z65" s="167">
        <f t="shared" si="17"/>
        <v>662.10969999999998</v>
      </c>
      <c r="AA65" s="165">
        <v>0</v>
      </c>
      <c r="AB65" s="166">
        <f t="shared" si="18"/>
        <v>0</v>
      </c>
      <c r="AC65" s="33">
        <f t="shared" si="19"/>
        <v>10320.8197</v>
      </c>
      <c r="AD65" s="167">
        <f t="shared" si="20"/>
        <v>722.45737900000006</v>
      </c>
      <c r="AE65" s="220">
        <v>0</v>
      </c>
      <c r="AF65" s="221">
        <f t="shared" si="21"/>
        <v>0</v>
      </c>
      <c r="AG65" s="123">
        <f t="shared" si="22"/>
        <v>11243.277079</v>
      </c>
      <c r="AH65" s="222">
        <f t="shared" si="23"/>
        <v>787.02939552999999</v>
      </c>
      <c r="AI65" s="220">
        <v>0</v>
      </c>
      <c r="AJ65" s="221">
        <f t="shared" si="24"/>
        <v>0</v>
      </c>
      <c r="AK65" s="123">
        <f t="shared" si="25"/>
        <v>12230.30647453</v>
      </c>
      <c r="AL65" s="222">
        <f t="shared" si="26"/>
        <v>856.12145321710011</v>
      </c>
      <c r="AM65" s="220">
        <v>0</v>
      </c>
      <c r="AN65" s="221">
        <f t="shared" si="27"/>
        <v>0</v>
      </c>
      <c r="AO65" s="123">
        <f t="shared" si="28"/>
        <v>13286.4279277471</v>
      </c>
      <c r="AP65" s="222">
        <f t="shared" si="29"/>
        <v>930.04995494229706</v>
      </c>
      <c r="AQ65" s="220">
        <v>0</v>
      </c>
      <c r="AR65" s="221">
        <f t="shared" si="30"/>
        <v>0</v>
      </c>
      <c r="AS65" s="123">
        <f t="shared" si="36"/>
        <v>14416.477882689396</v>
      </c>
      <c r="AT65" s="222">
        <f t="shared" si="31"/>
        <v>1009.1534517882578</v>
      </c>
      <c r="AU65" s="231">
        <f t="shared" si="34"/>
        <v>0</v>
      </c>
      <c r="AV65" s="33">
        <f>' 2018-2019'!H65+'2019-2020 New'!H65+'2020-2021 New'!H65+'2021-2022 (A) New'!I65+'2021-2022 (B)'!G65+AY65</f>
        <v>300</v>
      </c>
      <c r="AW65" s="233">
        <v>300</v>
      </c>
      <c r="AX65" s="33">
        <f t="shared" si="32"/>
        <v>0</v>
      </c>
      <c r="AY65" s="10">
        <v>0</v>
      </c>
    </row>
    <row r="66" spans="1:53">
      <c r="A66" s="10" t="s">
        <v>637</v>
      </c>
      <c r="B66" s="10" t="s">
        <v>155</v>
      </c>
      <c r="C66" s="80">
        <v>0</v>
      </c>
      <c r="D66" s="79">
        <f t="shared" si="3"/>
        <v>1600</v>
      </c>
      <c r="E66" s="79">
        <f>' 2018-2019'!I66+'2019-2020 New'!I66+'2020-2021 New'!I66+'2021-2022 (A) New'!J66</f>
        <v>5600</v>
      </c>
      <c r="F66" s="78">
        <f t="shared" si="4"/>
        <v>1600</v>
      </c>
      <c r="G66" s="159">
        <f t="shared" si="5"/>
        <v>0</v>
      </c>
      <c r="H66" s="78">
        <f t="shared" si="6"/>
        <v>1600</v>
      </c>
      <c r="I66" s="78">
        <f t="shared" si="7"/>
        <v>9090.605458</v>
      </c>
      <c r="J66" s="78">
        <f t="shared" si="39"/>
        <v>0</v>
      </c>
      <c r="K66" s="78">
        <f t="shared" si="8"/>
        <v>0</v>
      </c>
      <c r="L66" s="78">
        <f t="shared" si="9"/>
        <v>1890.6054580000002</v>
      </c>
      <c r="M66" s="78">
        <f t="shared" si="33"/>
        <v>1890.6054580000002</v>
      </c>
      <c r="N66" s="78">
        <f t="shared" ref="N66:N90" si="40">G66-J66-L66+K66</f>
        <v>-1890.6054580000002</v>
      </c>
      <c r="O66" s="165">
        <v>0</v>
      </c>
      <c r="P66" s="166">
        <f t="shared" si="10"/>
        <v>0</v>
      </c>
      <c r="Q66" s="119">
        <f t="shared" ref="Q66:Q90" si="41">E66+200</f>
        <v>5800</v>
      </c>
      <c r="R66" s="167">
        <f t="shared" si="11"/>
        <v>406.00000000000006</v>
      </c>
      <c r="S66" s="165">
        <v>0</v>
      </c>
      <c r="T66" s="166">
        <f t="shared" si="12"/>
        <v>0</v>
      </c>
      <c r="U66" s="33">
        <f t="shared" si="13"/>
        <v>6406</v>
      </c>
      <c r="V66" s="167">
        <f t="shared" si="14"/>
        <v>448.42</v>
      </c>
      <c r="W66" s="165">
        <v>0</v>
      </c>
      <c r="X66" s="166">
        <f t="shared" si="15"/>
        <v>0</v>
      </c>
      <c r="Y66" s="33">
        <f t="shared" si="16"/>
        <v>7054.42</v>
      </c>
      <c r="Z66" s="167">
        <f t="shared" si="17"/>
        <v>493.80940000000004</v>
      </c>
      <c r="AA66" s="165">
        <v>0</v>
      </c>
      <c r="AB66" s="166">
        <f t="shared" si="18"/>
        <v>0</v>
      </c>
      <c r="AC66" s="33">
        <f t="shared" si="19"/>
        <v>7748.2294000000002</v>
      </c>
      <c r="AD66" s="167">
        <f t="shared" si="20"/>
        <v>542.37605800000006</v>
      </c>
      <c r="AE66" s="220">
        <v>0</v>
      </c>
      <c r="AF66" s="221">
        <f t="shared" si="21"/>
        <v>0</v>
      </c>
      <c r="AG66" s="123">
        <f t="shared" si="22"/>
        <v>8490.605458</v>
      </c>
      <c r="AH66" s="222">
        <f t="shared" si="23"/>
        <v>594.34238206000009</v>
      </c>
      <c r="AI66" s="220">
        <v>0</v>
      </c>
      <c r="AJ66" s="221">
        <f t="shared" si="24"/>
        <v>0</v>
      </c>
      <c r="AK66" s="123">
        <f t="shared" si="25"/>
        <v>9284.9478400600001</v>
      </c>
      <c r="AL66" s="222">
        <f t="shared" si="26"/>
        <v>649.94634880420006</v>
      </c>
      <c r="AM66" s="220">
        <v>0</v>
      </c>
      <c r="AN66" s="221">
        <f t="shared" si="27"/>
        <v>0</v>
      </c>
      <c r="AO66" s="123">
        <f t="shared" si="28"/>
        <v>10134.8941888642</v>
      </c>
      <c r="AP66" s="222">
        <f t="shared" si="29"/>
        <v>709.44259322049413</v>
      </c>
      <c r="AQ66" s="220">
        <v>0</v>
      </c>
      <c r="AR66" s="221">
        <f t="shared" si="30"/>
        <v>0</v>
      </c>
      <c r="AS66" s="123">
        <f t="shared" si="36"/>
        <v>11044.336782084694</v>
      </c>
      <c r="AT66" s="222">
        <f t="shared" si="31"/>
        <v>773.10357474592865</v>
      </c>
      <c r="AU66" s="231">
        <f t="shared" si="34"/>
        <v>0</v>
      </c>
      <c r="AV66" s="33">
        <f>' 2018-2019'!H66+'2019-2020 New'!H66+'2020-2021 New'!H66+'2021-2022 (A) New'!I66+'2021-2022 (B)'!G66+AY66</f>
        <v>2500</v>
      </c>
      <c r="AW66" s="233">
        <v>2500</v>
      </c>
      <c r="AX66" s="33">
        <f t="shared" si="32"/>
        <v>0</v>
      </c>
      <c r="AY66" s="10">
        <v>0</v>
      </c>
    </row>
    <row r="67" spans="1:53">
      <c r="A67" s="10" t="s">
        <v>638</v>
      </c>
      <c r="B67" s="10" t="s">
        <v>126</v>
      </c>
      <c r="C67" s="80">
        <v>0</v>
      </c>
      <c r="D67" s="79">
        <f t="shared" si="3"/>
        <v>1600</v>
      </c>
      <c r="E67" s="79">
        <f>' 2018-2019'!I67+'2019-2020 New'!I67+'2020-2021 New'!I67+'2021-2022 (A) New'!J67</f>
        <v>5000</v>
      </c>
      <c r="F67" s="78">
        <f t="shared" si="4"/>
        <v>1600</v>
      </c>
      <c r="G67" s="159">
        <f t="shared" si="5"/>
        <v>1300</v>
      </c>
      <c r="H67" s="78">
        <f t="shared" si="6"/>
        <v>300</v>
      </c>
      <c r="I67" s="78">
        <f t="shared" ref="I67:I90" si="42">H67+L67+E67</f>
        <v>6667.1562519999998</v>
      </c>
      <c r="J67" s="78">
        <f t="shared" si="39"/>
        <v>14.3</v>
      </c>
      <c r="K67" s="78">
        <f t="shared" si="8"/>
        <v>70.713499999999996</v>
      </c>
      <c r="L67" s="78">
        <f t="shared" si="9"/>
        <v>1367.156252</v>
      </c>
      <c r="M67" s="78">
        <f t="shared" ref="M67:M90" si="43">L67</f>
        <v>1367.156252</v>
      </c>
      <c r="N67" s="78">
        <f t="shared" si="40"/>
        <v>-10.742751999999953</v>
      </c>
      <c r="O67" s="165">
        <v>0</v>
      </c>
      <c r="P67" s="166">
        <f t="shared" si="10"/>
        <v>0</v>
      </c>
      <c r="Q67" s="119">
        <f t="shared" si="41"/>
        <v>5200</v>
      </c>
      <c r="R67" s="167">
        <f t="shared" si="11"/>
        <v>364.00000000000006</v>
      </c>
      <c r="S67" s="165">
        <f>300+300</f>
        <v>600</v>
      </c>
      <c r="T67" s="166">
        <f t="shared" si="12"/>
        <v>6.6000000000000005</v>
      </c>
      <c r="U67" s="33">
        <f t="shared" si="13"/>
        <v>5164</v>
      </c>
      <c r="V67" s="167">
        <f t="shared" si="14"/>
        <v>319.48</v>
      </c>
      <c r="W67" s="165">
        <f>400+300</f>
        <v>700</v>
      </c>
      <c r="X67" s="166">
        <f t="shared" si="15"/>
        <v>7.7000000000000011</v>
      </c>
      <c r="Y67" s="33">
        <f t="shared" si="16"/>
        <v>4983.4799999999996</v>
      </c>
      <c r="Z67" s="167">
        <f t="shared" si="17"/>
        <v>299.84359999999998</v>
      </c>
      <c r="AA67" s="165">
        <v>0</v>
      </c>
      <c r="AB67" s="166">
        <f t="shared" si="18"/>
        <v>0</v>
      </c>
      <c r="AC67" s="33">
        <f t="shared" si="19"/>
        <v>5483.3235999999997</v>
      </c>
      <c r="AD67" s="167">
        <f t="shared" si="20"/>
        <v>383.832652</v>
      </c>
      <c r="AE67" s="220">
        <v>0</v>
      </c>
      <c r="AF67" s="221">
        <f t="shared" si="21"/>
        <v>0</v>
      </c>
      <c r="AG67" s="123">
        <f t="shared" si="22"/>
        <v>6067.1562519999998</v>
      </c>
      <c r="AH67" s="222">
        <f t="shared" si="23"/>
        <v>424.70093764000001</v>
      </c>
      <c r="AI67" s="220">
        <v>0</v>
      </c>
      <c r="AJ67" s="221">
        <f t="shared" ref="AJ67:AJ90" si="44">AI67*0%</f>
        <v>0</v>
      </c>
      <c r="AK67" s="123">
        <f t="shared" si="25"/>
        <v>6691.8571896399999</v>
      </c>
      <c r="AL67" s="222">
        <f t="shared" si="26"/>
        <v>468.43000327480001</v>
      </c>
      <c r="AM67" s="220">
        <v>0</v>
      </c>
      <c r="AN67" s="221">
        <f t="shared" ref="AN67:AN90" si="45">AM67*0%</f>
        <v>0</v>
      </c>
      <c r="AO67" s="123">
        <f t="shared" si="28"/>
        <v>7360.2871929147996</v>
      </c>
      <c r="AP67" s="222">
        <f t="shared" si="29"/>
        <v>515.22010350403605</v>
      </c>
      <c r="AQ67" s="220"/>
      <c r="AR67" s="221">
        <f t="shared" ref="AR67:AR90" si="46">AQ67*0%</f>
        <v>0</v>
      </c>
      <c r="AS67" s="123">
        <f t="shared" si="36"/>
        <v>8075.5072964188357</v>
      </c>
      <c r="AT67" s="222">
        <f t="shared" ref="AT67:AT90" si="47">(AS67-AQ67)*0.07</f>
        <v>565.28551074931852</v>
      </c>
      <c r="AU67" s="231">
        <f t="shared" ref="AU67:AU90" si="48">O67+S67+W67+AA67+AE67+AM67+AQ67+AI67</f>
        <v>1300</v>
      </c>
      <c r="AV67" s="33">
        <f>' 2018-2019'!H67+'2019-2020 New'!H67+'2020-2021 New'!H67+'2021-2022 (A) New'!I67+'2021-2022 (B)'!G67+AY67</f>
        <v>4400</v>
      </c>
      <c r="AW67" s="233">
        <v>4400</v>
      </c>
      <c r="AX67" s="33">
        <f t="shared" ref="AX67:AX90" si="49">AW67-AV67</f>
        <v>0</v>
      </c>
      <c r="AY67" s="10">
        <v>0</v>
      </c>
    </row>
    <row r="68" spans="1:53">
      <c r="A68" s="10" t="s">
        <v>639</v>
      </c>
      <c r="B68" s="10" t="s">
        <v>116</v>
      </c>
      <c r="C68" s="80">
        <v>0</v>
      </c>
      <c r="D68" s="79">
        <f t="shared" ref="D68:D90" si="50">200*8</f>
        <v>1600</v>
      </c>
      <c r="E68" s="79">
        <f>' 2018-2019'!I68+'2019-2020 New'!I68+'2020-2021 New'!I68+'2021-2022 (A) New'!J68</f>
        <v>600</v>
      </c>
      <c r="F68" s="78">
        <f t="shared" ref="F68:F90" si="51">C68+D68</f>
        <v>1600</v>
      </c>
      <c r="G68" s="159">
        <f t="shared" ref="G68:G90" si="52">AU68</f>
        <v>1700</v>
      </c>
      <c r="H68" s="78">
        <f t="shared" ref="H68:H90" si="53">F68-G68-C68</f>
        <v>-100</v>
      </c>
      <c r="I68" s="78">
        <f t="shared" si="42"/>
        <v>758.43760599999996</v>
      </c>
      <c r="J68" s="78">
        <f t="shared" ref="J68:J90" si="54">P68+T68+X68+AB68</f>
        <v>4.4000000000000004</v>
      </c>
      <c r="K68" s="78">
        <f t="shared" ref="K68:K90" si="55">(G68-J68-C68)*5.5%</f>
        <v>93.257999999999996</v>
      </c>
      <c r="L68" s="78">
        <f t="shared" ref="L68:L90" si="56">R68+V68+Z68+AD68</f>
        <v>258.43760600000002</v>
      </c>
      <c r="M68" s="78">
        <f t="shared" si="43"/>
        <v>258.43760600000002</v>
      </c>
      <c r="N68" s="78">
        <f t="shared" si="40"/>
        <v>1530.420394</v>
      </c>
      <c r="O68" s="165">
        <v>200</v>
      </c>
      <c r="P68" s="166">
        <f t="shared" ref="P68:P90" si="57">O68*1.1%</f>
        <v>2.2000000000000002</v>
      </c>
      <c r="Q68" s="119">
        <f t="shared" si="41"/>
        <v>800</v>
      </c>
      <c r="R68" s="167">
        <f t="shared" ref="R68:R90" si="58">(Q68-O68)*0.07</f>
        <v>42.000000000000007</v>
      </c>
      <c r="S68" s="165">
        <v>200</v>
      </c>
      <c r="T68" s="166">
        <f t="shared" ref="T68:T90" si="59">S68*1.1%</f>
        <v>2.2000000000000002</v>
      </c>
      <c r="U68" s="33">
        <f t="shared" ref="U68:U90" si="60">Q68-S68+200+R68</f>
        <v>842</v>
      </c>
      <c r="V68" s="167">
        <f t="shared" ref="V68:V90" si="61">(U68-S68)*0.07</f>
        <v>44.940000000000005</v>
      </c>
      <c r="W68" s="165">
        <v>0</v>
      </c>
      <c r="X68" s="166">
        <f t="shared" ref="X68:X90" si="62">W68*1.1%</f>
        <v>0</v>
      </c>
      <c r="Y68" s="33">
        <f t="shared" ref="Y68:Y90" si="63">U68-W68+200+V68</f>
        <v>1086.94</v>
      </c>
      <c r="Z68" s="167">
        <f t="shared" ref="Z68:Z90" si="64">(Y68-W68)*0.07</f>
        <v>76.085800000000006</v>
      </c>
      <c r="AA68" s="165">
        <v>0</v>
      </c>
      <c r="AB68" s="166">
        <f t="shared" ref="AB68:AB90" si="65">AA68*1.1%</f>
        <v>0</v>
      </c>
      <c r="AC68" s="33">
        <f t="shared" ref="AC68:AC90" si="66">Y68-AA68+200+Z68</f>
        <v>1363.0258000000001</v>
      </c>
      <c r="AD68" s="167">
        <f t="shared" ref="AD68:AD90" si="67">(AC68-AA68)*0.07</f>
        <v>95.411806000000013</v>
      </c>
      <c r="AE68" s="220">
        <v>300</v>
      </c>
      <c r="AF68" s="221">
        <f t="shared" ref="AF68:AF90" si="68">AE68*1.1%</f>
        <v>3.3000000000000003</v>
      </c>
      <c r="AG68" s="123">
        <f t="shared" ref="AG68:AG90" si="69">AC68-AE68+200+AD68</f>
        <v>1358.4376060000002</v>
      </c>
      <c r="AH68" s="222">
        <f t="shared" ref="AH68:AH90" si="70">(AG68-AE68)*0.07</f>
        <v>74.09063242000002</v>
      </c>
      <c r="AI68" s="220">
        <v>1000</v>
      </c>
      <c r="AJ68" s="221">
        <f t="shared" si="44"/>
        <v>0</v>
      </c>
      <c r="AK68" s="123">
        <f t="shared" ref="AK68:AK90" si="71">AG68-AI68+200+AH68</f>
        <v>632.52823842000021</v>
      </c>
      <c r="AL68" s="222">
        <f t="shared" ref="AL68:AL90" si="72">(AK68-AI68)*0.07</f>
        <v>-25.723023310599988</v>
      </c>
      <c r="AM68" s="220">
        <v>0</v>
      </c>
      <c r="AN68" s="221">
        <f t="shared" si="45"/>
        <v>0</v>
      </c>
      <c r="AO68" s="123">
        <f t="shared" ref="AO68:AO90" si="73">AK68-AM68+200+AL68</f>
        <v>806.80521510940025</v>
      </c>
      <c r="AP68" s="222">
        <f t="shared" ref="AP68:AP90" si="74">(AO68-AM68)*0.07</f>
        <v>56.476365057658022</v>
      </c>
      <c r="AQ68" s="220">
        <v>0</v>
      </c>
      <c r="AR68" s="221">
        <f t="shared" si="46"/>
        <v>0</v>
      </c>
      <c r="AS68" s="123">
        <f t="shared" si="36"/>
        <v>1063.2815801670583</v>
      </c>
      <c r="AT68" s="222">
        <f t="shared" si="47"/>
        <v>74.429710611694091</v>
      </c>
      <c r="AU68" s="231">
        <f t="shared" si="48"/>
        <v>1700</v>
      </c>
      <c r="AV68" s="33">
        <f>' 2018-2019'!H68+'2019-2020 New'!H68+'2020-2021 New'!H68+'2021-2022 (A) New'!I68+'2021-2022 (B)'!G68+AY68</f>
        <v>9100</v>
      </c>
      <c r="AW68" s="233">
        <v>9100</v>
      </c>
      <c r="AX68" s="33">
        <f t="shared" si="49"/>
        <v>0</v>
      </c>
      <c r="AY68" s="10">
        <v>0</v>
      </c>
    </row>
    <row r="69" spans="1:53">
      <c r="A69" s="10" t="s">
        <v>640</v>
      </c>
      <c r="B69" s="10" t="s">
        <v>154</v>
      </c>
      <c r="C69" s="80">
        <v>0</v>
      </c>
      <c r="D69" s="79">
        <f t="shared" si="50"/>
        <v>1600</v>
      </c>
      <c r="E69" s="79">
        <f>' 2018-2019'!I69+'2019-2020 New'!I69+'2020-2021 New'!I69+'2021-2022 (A) New'!J69</f>
        <v>3000</v>
      </c>
      <c r="F69" s="78">
        <f t="shared" si="51"/>
        <v>1600</v>
      </c>
      <c r="G69" s="159">
        <f t="shared" si="52"/>
        <v>0</v>
      </c>
      <c r="H69" s="78">
        <f t="shared" si="53"/>
        <v>1600</v>
      </c>
      <c r="I69" s="78">
        <f t="shared" si="42"/>
        <v>5682.5358319999996</v>
      </c>
      <c r="J69" s="78">
        <f t="shared" si="54"/>
        <v>0</v>
      </c>
      <c r="K69" s="78">
        <f t="shared" si="55"/>
        <v>0</v>
      </c>
      <c r="L69" s="78">
        <f t="shared" si="56"/>
        <v>1082.535832</v>
      </c>
      <c r="M69" s="78">
        <f t="shared" si="43"/>
        <v>1082.535832</v>
      </c>
      <c r="N69" s="78">
        <f t="shared" si="40"/>
        <v>-1082.535832</v>
      </c>
      <c r="O69" s="165">
        <v>0</v>
      </c>
      <c r="P69" s="166">
        <f t="shared" si="57"/>
        <v>0</v>
      </c>
      <c r="Q69" s="119">
        <f t="shared" si="41"/>
        <v>3200</v>
      </c>
      <c r="R69" s="167">
        <f t="shared" si="58"/>
        <v>224.00000000000003</v>
      </c>
      <c r="S69" s="165">
        <v>0</v>
      </c>
      <c r="T69" s="166">
        <f t="shared" si="59"/>
        <v>0</v>
      </c>
      <c r="U69" s="33">
        <f t="shared" si="60"/>
        <v>3624</v>
      </c>
      <c r="V69" s="167">
        <f t="shared" si="61"/>
        <v>253.68000000000004</v>
      </c>
      <c r="W69" s="165">
        <v>0</v>
      </c>
      <c r="X69" s="166">
        <f t="shared" si="62"/>
        <v>0</v>
      </c>
      <c r="Y69" s="33">
        <f t="shared" si="63"/>
        <v>4077.68</v>
      </c>
      <c r="Z69" s="167">
        <f t="shared" si="64"/>
        <v>285.43760000000003</v>
      </c>
      <c r="AA69" s="165">
        <v>0</v>
      </c>
      <c r="AB69" s="166">
        <f t="shared" si="65"/>
        <v>0</v>
      </c>
      <c r="AC69" s="33">
        <f t="shared" si="66"/>
        <v>4563.1176000000005</v>
      </c>
      <c r="AD69" s="167">
        <f t="shared" si="67"/>
        <v>319.41823200000005</v>
      </c>
      <c r="AE69" s="220">
        <v>0</v>
      </c>
      <c r="AF69" s="221">
        <f t="shared" si="68"/>
        <v>0</v>
      </c>
      <c r="AG69" s="123">
        <f t="shared" si="69"/>
        <v>5082.5358320000005</v>
      </c>
      <c r="AH69" s="222">
        <f t="shared" si="70"/>
        <v>355.77750824000009</v>
      </c>
      <c r="AI69" s="220">
        <v>0</v>
      </c>
      <c r="AJ69" s="221">
        <f t="shared" si="44"/>
        <v>0</v>
      </c>
      <c r="AK69" s="123">
        <f t="shared" si="71"/>
        <v>5638.3133402400008</v>
      </c>
      <c r="AL69" s="222">
        <f t="shared" si="72"/>
        <v>394.6819338168001</v>
      </c>
      <c r="AM69" s="220">
        <v>0</v>
      </c>
      <c r="AN69" s="221">
        <f t="shared" si="45"/>
        <v>0</v>
      </c>
      <c r="AO69" s="123">
        <f t="shared" si="73"/>
        <v>6232.9952740568006</v>
      </c>
      <c r="AP69" s="222">
        <f t="shared" si="74"/>
        <v>436.3096691839761</v>
      </c>
      <c r="AQ69" s="220">
        <v>0</v>
      </c>
      <c r="AR69" s="221">
        <f t="shared" si="46"/>
        <v>0</v>
      </c>
      <c r="AS69" s="123">
        <f t="shared" si="36"/>
        <v>6869.304943240777</v>
      </c>
      <c r="AT69" s="222">
        <f t="shared" si="47"/>
        <v>480.85134602685446</v>
      </c>
      <c r="AU69" s="231">
        <f t="shared" si="48"/>
        <v>0</v>
      </c>
      <c r="AV69" s="33">
        <f>' 2018-2019'!H69+'2019-2020 New'!H69+'2020-2021 New'!H69+'2021-2022 (A) New'!I69+'2021-2022 (B)'!G69+AY69</f>
        <v>5100</v>
      </c>
      <c r="AW69" s="233">
        <v>5100</v>
      </c>
      <c r="AX69" s="33">
        <f t="shared" si="49"/>
        <v>0</v>
      </c>
      <c r="AY69" s="10">
        <v>0</v>
      </c>
    </row>
    <row r="70" spans="1:53">
      <c r="A70" s="10" t="s">
        <v>641</v>
      </c>
      <c r="B70" s="10" t="s">
        <v>115</v>
      </c>
      <c r="C70" s="80">
        <v>0</v>
      </c>
      <c r="D70" s="79">
        <f t="shared" si="50"/>
        <v>1600</v>
      </c>
      <c r="E70" s="79">
        <f>' 2018-2019'!I70+'2019-2020 New'!I70+'2020-2021 New'!I70+'2021-2022 (A) New'!J70</f>
        <v>650</v>
      </c>
      <c r="F70" s="78">
        <f t="shared" si="51"/>
        <v>1600</v>
      </c>
      <c r="G70" s="159">
        <f t="shared" si="52"/>
        <v>2400</v>
      </c>
      <c r="H70" s="78">
        <f t="shared" si="53"/>
        <v>-800</v>
      </c>
      <c r="I70" s="78">
        <f t="shared" si="42"/>
        <v>4.3452085000000125</v>
      </c>
      <c r="J70" s="78">
        <f t="shared" si="54"/>
        <v>9.9</v>
      </c>
      <c r="K70" s="78">
        <f t="shared" si="55"/>
        <v>131.4555</v>
      </c>
      <c r="L70" s="78">
        <f t="shared" si="56"/>
        <v>154.34520850000001</v>
      </c>
      <c r="M70" s="78">
        <f t="shared" si="43"/>
        <v>154.34520850000001</v>
      </c>
      <c r="N70" s="78">
        <f t="shared" si="40"/>
        <v>2367.2102915</v>
      </c>
      <c r="O70" s="165">
        <v>0</v>
      </c>
      <c r="P70" s="166">
        <f t="shared" si="57"/>
        <v>0</v>
      </c>
      <c r="Q70" s="119">
        <f t="shared" si="41"/>
        <v>850</v>
      </c>
      <c r="R70" s="167">
        <f t="shared" si="58"/>
        <v>59.500000000000007</v>
      </c>
      <c r="S70" s="165">
        <v>0</v>
      </c>
      <c r="T70" s="166">
        <f t="shared" si="59"/>
        <v>0</v>
      </c>
      <c r="U70" s="33">
        <f t="shared" si="60"/>
        <v>1109.5</v>
      </c>
      <c r="V70" s="167">
        <f t="shared" si="61"/>
        <v>77.665000000000006</v>
      </c>
      <c r="W70" s="165">
        <f>600+300</f>
        <v>900</v>
      </c>
      <c r="X70" s="166">
        <f t="shared" si="62"/>
        <v>9.9</v>
      </c>
      <c r="Y70" s="33">
        <f t="shared" si="63"/>
        <v>487.16500000000002</v>
      </c>
      <c r="Z70" s="167">
        <f t="shared" si="64"/>
        <v>-28.89845</v>
      </c>
      <c r="AA70" s="165">
        <v>0</v>
      </c>
      <c r="AB70" s="166">
        <f t="shared" si="65"/>
        <v>0</v>
      </c>
      <c r="AC70" s="33">
        <f t="shared" si="66"/>
        <v>658.26654999999994</v>
      </c>
      <c r="AD70" s="167">
        <f t="shared" si="67"/>
        <v>46.078658500000003</v>
      </c>
      <c r="AE70" s="220"/>
      <c r="AF70" s="221">
        <f t="shared" si="68"/>
        <v>0</v>
      </c>
      <c r="AG70" s="123">
        <f t="shared" si="69"/>
        <v>904.3452084999999</v>
      </c>
      <c r="AH70" s="222">
        <f t="shared" si="70"/>
        <v>63.304164594999996</v>
      </c>
      <c r="AI70" s="220">
        <f>1500</f>
        <v>1500</v>
      </c>
      <c r="AJ70" s="221">
        <f t="shared" si="44"/>
        <v>0</v>
      </c>
      <c r="AK70" s="123">
        <f t="shared" si="71"/>
        <v>-332.35062690500013</v>
      </c>
      <c r="AL70" s="222">
        <f t="shared" si="72"/>
        <v>-128.26454388335003</v>
      </c>
      <c r="AM70" s="220">
        <v>0</v>
      </c>
      <c r="AN70" s="221">
        <f t="shared" si="45"/>
        <v>0</v>
      </c>
      <c r="AO70" s="123">
        <f t="shared" si="73"/>
        <v>-260.61517078835016</v>
      </c>
      <c r="AP70" s="222">
        <f t="shared" si="74"/>
        <v>-18.243061955184512</v>
      </c>
      <c r="AQ70" s="220">
        <v>0</v>
      </c>
      <c r="AR70" s="221">
        <f t="shared" si="46"/>
        <v>0</v>
      </c>
      <c r="AS70" s="123">
        <f t="shared" si="36"/>
        <v>-78.858232743534671</v>
      </c>
      <c r="AT70" s="222">
        <f t="shared" si="47"/>
        <v>-5.5200762920474276</v>
      </c>
      <c r="AU70" s="231">
        <f t="shared" si="48"/>
        <v>2400</v>
      </c>
      <c r="AV70" s="33">
        <f>' 2018-2019'!H70+'2019-2020 New'!H70+'2020-2021 New'!H70+'2021-2022 (A) New'!I70+'2021-2022 (B)'!G70+AY70</f>
        <v>10350</v>
      </c>
      <c r="AW70" s="233">
        <v>10350</v>
      </c>
      <c r="AX70" s="33">
        <f t="shared" si="49"/>
        <v>0</v>
      </c>
      <c r="AY70" s="10">
        <v>600</v>
      </c>
    </row>
    <row r="71" spans="1:53">
      <c r="A71" s="10" t="s">
        <v>642</v>
      </c>
      <c r="B71" s="10" t="s">
        <v>153</v>
      </c>
      <c r="C71" s="80">
        <v>0</v>
      </c>
      <c r="D71" s="79">
        <f t="shared" si="50"/>
        <v>1600</v>
      </c>
      <c r="E71" s="79">
        <f>' 2018-2019'!I71+'2019-2020 New'!I71+'2020-2021 New'!I71+'2021-2022 (A) New'!J71</f>
        <v>4100</v>
      </c>
      <c r="F71" s="78">
        <f t="shared" si="51"/>
        <v>1600</v>
      </c>
      <c r="G71" s="159">
        <f t="shared" si="52"/>
        <v>0</v>
      </c>
      <c r="H71" s="78">
        <f t="shared" si="53"/>
        <v>1600</v>
      </c>
      <c r="I71" s="78">
        <f t="shared" si="42"/>
        <v>7124.411443</v>
      </c>
      <c r="J71" s="78">
        <f t="shared" si="54"/>
        <v>0</v>
      </c>
      <c r="K71" s="78">
        <f t="shared" si="55"/>
        <v>0</v>
      </c>
      <c r="L71" s="78">
        <f t="shared" si="56"/>
        <v>1424.4114430000002</v>
      </c>
      <c r="M71" s="78">
        <f t="shared" si="43"/>
        <v>1424.4114430000002</v>
      </c>
      <c r="N71" s="78">
        <f t="shared" si="40"/>
        <v>-1424.4114430000002</v>
      </c>
      <c r="O71" s="165">
        <v>0</v>
      </c>
      <c r="P71" s="166">
        <f t="shared" si="57"/>
        <v>0</v>
      </c>
      <c r="Q71" s="119">
        <f t="shared" si="41"/>
        <v>4300</v>
      </c>
      <c r="R71" s="167">
        <f t="shared" si="58"/>
        <v>301.00000000000006</v>
      </c>
      <c r="S71" s="165">
        <v>0</v>
      </c>
      <c r="T71" s="166">
        <f t="shared" si="59"/>
        <v>0</v>
      </c>
      <c r="U71" s="33">
        <f t="shared" si="60"/>
        <v>4801</v>
      </c>
      <c r="V71" s="167">
        <f t="shared" si="61"/>
        <v>336.07000000000005</v>
      </c>
      <c r="W71" s="165">
        <v>0</v>
      </c>
      <c r="X71" s="166">
        <f t="shared" si="62"/>
        <v>0</v>
      </c>
      <c r="Y71" s="33">
        <f t="shared" si="63"/>
        <v>5337.07</v>
      </c>
      <c r="Z71" s="167">
        <f t="shared" si="64"/>
        <v>373.5949</v>
      </c>
      <c r="AA71" s="165">
        <v>0</v>
      </c>
      <c r="AB71" s="166">
        <f t="shared" si="65"/>
        <v>0</v>
      </c>
      <c r="AC71" s="33">
        <f t="shared" si="66"/>
        <v>5910.6648999999998</v>
      </c>
      <c r="AD71" s="167">
        <f t="shared" si="67"/>
        <v>413.74654300000003</v>
      </c>
      <c r="AE71" s="220">
        <v>0</v>
      </c>
      <c r="AF71" s="221">
        <f t="shared" si="68"/>
        <v>0</v>
      </c>
      <c r="AG71" s="123">
        <f t="shared" si="69"/>
        <v>6524.411443</v>
      </c>
      <c r="AH71" s="222">
        <f t="shared" si="70"/>
        <v>456.70880101000006</v>
      </c>
      <c r="AI71" s="220">
        <v>0</v>
      </c>
      <c r="AJ71" s="221">
        <f t="shared" si="44"/>
        <v>0</v>
      </c>
      <c r="AK71" s="123">
        <f t="shared" si="71"/>
        <v>7181.1202440099996</v>
      </c>
      <c r="AL71" s="222">
        <f t="shared" si="72"/>
        <v>502.6784170807</v>
      </c>
      <c r="AM71" s="220">
        <v>0</v>
      </c>
      <c r="AN71" s="221">
        <f t="shared" si="45"/>
        <v>0</v>
      </c>
      <c r="AO71" s="123">
        <f t="shared" si="73"/>
        <v>7883.7986610906992</v>
      </c>
      <c r="AP71" s="222">
        <f t="shared" si="74"/>
        <v>551.86590627634905</v>
      </c>
      <c r="AQ71" s="220">
        <v>0</v>
      </c>
      <c r="AR71" s="221">
        <f t="shared" si="46"/>
        <v>0</v>
      </c>
      <c r="AS71" s="123">
        <f t="shared" si="36"/>
        <v>8635.6645673670482</v>
      </c>
      <c r="AT71" s="222">
        <f t="shared" si="47"/>
        <v>604.49651971569347</v>
      </c>
      <c r="AU71" s="231">
        <f t="shared" si="48"/>
        <v>0</v>
      </c>
      <c r="AV71" s="33">
        <f>' 2018-2019'!H71+'2019-2020 New'!H71+'2020-2021 New'!H71+'2021-2022 (A) New'!I71+'2021-2022 (B)'!G71+AY71</f>
        <v>4000</v>
      </c>
      <c r="AW71" s="233">
        <v>4000</v>
      </c>
      <c r="AX71" s="33">
        <f t="shared" si="49"/>
        <v>0</v>
      </c>
      <c r="AY71" s="10">
        <v>0</v>
      </c>
    </row>
    <row r="72" spans="1:53">
      <c r="A72" s="10" t="s">
        <v>643</v>
      </c>
      <c r="B72" s="10" t="s">
        <v>122</v>
      </c>
      <c r="C72" s="80">
        <v>0</v>
      </c>
      <c r="D72" s="79">
        <f t="shared" si="50"/>
        <v>1600</v>
      </c>
      <c r="E72" s="79">
        <f>' 2018-2019'!I72+'2019-2020 New'!I72+'2020-2021 New'!I72+'2021-2022 (A) New'!J72</f>
        <v>7100</v>
      </c>
      <c r="F72" s="78">
        <f t="shared" si="51"/>
        <v>1600</v>
      </c>
      <c r="G72" s="159">
        <f t="shared" si="52"/>
        <v>0</v>
      </c>
      <c r="H72" s="78">
        <f t="shared" si="53"/>
        <v>1600</v>
      </c>
      <c r="I72" s="78">
        <f t="shared" si="42"/>
        <v>11056.799473000001</v>
      </c>
      <c r="J72" s="78">
        <f t="shared" si="54"/>
        <v>0</v>
      </c>
      <c r="K72" s="78">
        <f t="shared" si="55"/>
        <v>0</v>
      </c>
      <c r="L72" s="78">
        <f t="shared" si="56"/>
        <v>2356.7994730000005</v>
      </c>
      <c r="M72" s="78">
        <f t="shared" si="43"/>
        <v>2356.7994730000005</v>
      </c>
      <c r="N72" s="78">
        <f t="shared" si="40"/>
        <v>-2356.7994730000005</v>
      </c>
      <c r="O72" s="165">
        <v>0</v>
      </c>
      <c r="P72" s="166">
        <f t="shared" si="57"/>
        <v>0</v>
      </c>
      <c r="Q72" s="119">
        <f t="shared" si="41"/>
        <v>7300</v>
      </c>
      <c r="R72" s="167">
        <f t="shared" si="58"/>
        <v>511.00000000000006</v>
      </c>
      <c r="S72" s="165">
        <v>0</v>
      </c>
      <c r="T72" s="166">
        <f t="shared" si="59"/>
        <v>0</v>
      </c>
      <c r="U72" s="33">
        <f t="shared" si="60"/>
        <v>8011</v>
      </c>
      <c r="V72" s="167">
        <f t="shared" si="61"/>
        <v>560.7700000000001</v>
      </c>
      <c r="W72" s="165">
        <v>0</v>
      </c>
      <c r="X72" s="166">
        <f t="shared" si="62"/>
        <v>0</v>
      </c>
      <c r="Y72" s="33">
        <f t="shared" si="63"/>
        <v>8771.77</v>
      </c>
      <c r="Z72" s="167">
        <f t="shared" si="64"/>
        <v>614.02390000000014</v>
      </c>
      <c r="AA72" s="165">
        <v>0</v>
      </c>
      <c r="AB72" s="166">
        <f t="shared" si="65"/>
        <v>0</v>
      </c>
      <c r="AC72" s="33">
        <f t="shared" si="66"/>
        <v>9585.7939000000006</v>
      </c>
      <c r="AD72" s="167">
        <f t="shared" si="67"/>
        <v>671.00557300000014</v>
      </c>
      <c r="AE72" s="220">
        <v>0</v>
      </c>
      <c r="AF72" s="221">
        <f t="shared" si="68"/>
        <v>0</v>
      </c>
      <c r="AG72" s="123">
        <f t="shared" si="69"/>
        <v>10456.799473000001</v>
      </c>
      <c r="AH72" s="222">
        <f t="shared" si="70"/>
        <v>731.97596311000018</v>
      </c>
      <c r="AI72" s="220">
        <v>0</v>
      </c>
      <c r="AJ72" s="221">
        <f t="shared" si="44"/>
        <v>0</v>
      </c>
      <c r="AK72" s="123">
        <f t="shared" si="71"/>
        <v>11388.775436110001</v>
      </c>
      <c r="AL72" s="222">
        <f t="shared" si="72"/>
        <v>797.21428052770023</v>
      </c>
      <c r="AM72" s="220">
        <v>0</v>
      </c>
      <c r="AN72" s="221">
        <f t="shared" si="45"/>
        <v>0</v>
      </c>
      <c r="AO72" s="123">
        <f t="shared" si="73"/>
        <v>12385.989716637701</v>
      </c>
      <c r="AP72" s="222">
        <f t="shared" si="74"/>
        <v>867.01928016463921</v>
      </c>
      <c r="AQ72" s="220">
        <v>0</v>
      </c>
      <c r="AR72" s="221">
        <f t="shared" si="46"/>
        <v>0</v>
      </c>
      <c r="AS72" s="123">
        <f t="shared" si="36"/>
        <v>13453.00899680234</v>
      </c>
      <c r="AT72" s="222">
        <f t="shared" si="47"/>
        <v>941.71062977616396</v>
      </c>
      <c r="AU72" s="231">
        <f t="shared" si="48"/>
        <v>0</v>
      </c>
      <c r="AV72" s="33">
        <f>' 2018-2019'!H72+'2019-2020 New'!H72+'2020-2021 New'!H72+'2021-2022 (A) New'!I72+'2021-2022 (B)'!G72+AY72</f>
        <v>1000</v>
      </c>
      <c r="AW72" s="233">
        <v>1900</v>
      </c>
      <c r="AX72" s="166">
        <f t="shared" si="49"/>
        <v>900</v>
      </c>
      <c r="AY72" s="10">
        <v>0</v>
      </c>
      <c r="AZ72" s="41" t="s">
        <v>488</v>
      </c>
      <c r="BA72" s="17">
        <v>1000</v>
      </c>
    </row>
    <row r="73" spans="1:53">
      <c r="A73" s="10" t="s">
        <v>644</v>
      </c>
      <c r="B73" s="10" t="s">
        <v>129</v>
      </c>
      <c r="C73" s="80">
        <v>0</v>
      </c>
      <c r="D73" s="79">
        <f t="shared" si="50"/>
        <v>1600</v>
      </c>
      <c r="E73" s="79">
        <f>' 2018-2019'!I73+'2019-2020 New'!I73+'2020-2021 New'!I73+'2021-2022 (A) New'!J73</f>
        <v>200</v>
      </c>
      <c r="F73" s="78">
        <f t="shared" si="51"/>
        <v>1600</v>
      </c>
      <c r="G73" s="159">
        <f t="shared" si="52"/>
        <v>1600</v>
      </c>
      <c r="H73" s="78">
        <f t="shared" si="53"/>
        <v>0</v>
      </c>
      <c r="I73" s="78">
        <f t="shared" si="42"/>
        <v>262.15920199999999</v>
      </c>
      <c r="J73" s="78">
        <f t="shared" si="54"/>
        <v>8.8000000000000007</v>
      </c>
      <c r="K73" s="78">
        <f t="shared" si="55"/>
        <v>87.516000000000005</v>
      </c>
      <c r="L73" s="78">
        <f t="shared" si="56"/>
        <v>62.159202000000008</v>
      </c>
      <c r="M73" s="78">
        <f t="shared" si="43"/>
        <v>62.159202000000008</v>
      </c>
      <c r="N73" s="78">
        <f t="shared" si="40"/>
        <v>1616.5567980000001</v>
      </c>
      <c r="O73" s="165">
        <v>200</v>
      </c>
      <c r="P73" s="166">
        <f t="shared" si="57"/>
        <v>2.2000000000000002</v>
      </c>
      <c r="Q73" s="119">
        <f t="shared" si="41"/>
        <v>400</v>
      </c>
      <c r="R73" s="167">
        <f t="shared" si="58"/>
        <v>14.000000000000002</v>
      </c>
      <c r="S73" s="165">
        <v>200</v>
      </c>
      <c r="T73" s="166">
        <f t="shared" si="59"/>
        <v>2.2000000000000002</v>
      </c>
      <c r="U73" s="33">
        <f t="shared" si="60"/>
        <v>414</v>
      </c>
      <c r="V73" s="167">
        <f t="shared" si="61"/>
        <v>14.980000000000002</v>
      </c>
      <c r="W73" s="165">
        <v>200</v>
      </c>
      <c r="X73" s="166">
        <f t="shared" si="62"/>
        <v>2.2000000000000002</v>
      </c>
      <c r="Y73" s="33">
        <f t="shared" si="63"/>
        <v>428.98</v>
      </c>
      <c r="Z73" s="167">
        <f t="shared" si="64"/>
        <v>16.028600000000004</v>
      </c>
      <c r="AA73" s="165">
        <v>200</v>
      </c>
      <c r="AB73" s="166">
        <f t="shared" si="65"/>
        <v>2.2000000000000002</v>
      </c>
      <c r="AC73" s="33">
        <f t="shared" si="66"/>
        <v>445.0086</v>
      </c>
      <c r="AD73" s="167">
        <f t="shared" si="67"/>
        <v>17.150602000000003</v>
      </c>
      <c r="AE73" s="220">
        <v>200</v>
      </c>
      <c r="AF73" s="221">
        <f t="shared" si="68"/>
        <v>2.2000000000000002</v>
      </c>
      <c r="AG73" s="123">
        <f t="shared" si="69"/>
        <v>462.15920199999999</v>
      </c>
      <c r="AH73" s="222">
        <f t="shared" si="70"/>
        <v>18.351144140000002</v>
      </c>
      <c r="AI73" s="220">
        <v>200</v>
      </c>
      <c r="AJ73" s="221">
        <f t="shared" si="44"/>
        <v>0</v>
      </c>
      <c r="AK73" s="123">
        <f t="shared" si="71"/>
        <v>480.51034614000002</v>
      </c>
      <c r="AL73" s="222">
        <f t="shared" si="72"/>
        <v>19.635724229800005</v>
      </c>
      <c r="AM73" s="220">
        <v>200</v>
      </c>
      <c r="AN73" s="221">
        <f t="shared" si="45"/>
        <v>0</v>
      </c>
      <c r="AO73" s="123">
        <f t="shared" si="73"/>
        <v>500.14607036980004</v>
      </c>
      <c r="AP73" s="222">
        <f t="shared" si="74"/>
        <v>21.010224925886003</v>
      </c>
      <c r="AQ73" s="220">
        <v>200</v>
      </c>
      <c r="AR73" s="221">
        <f t="shared" si="46"/>
        <v>0</v>
      </c>
      <c r="AS73" s="123">
        <f t="shared" si="36"/>
        <v>521.15629529568605</v>
      </c>
      <c r="AT73" s="222">
        <f t="shared" si="47"/>
        <v>22.480940670698025</v>
      </c>
      <c r="AU73" s="231">
        <f>O73+S73+W73+AA73+AE73+AM73+AQ73+AI73</f>
        <v>1600</v>
      </c>
      <c r="AV73" s="33">
        <f>' 2018-2019'!H73+'2019-2020 New'!H73+'2020-2021 New'!H73+'2021-2022 (A) New'!I73+'2021-2022 (B)'!G73</f>
        <v>9500</v>
      </c>
      <c r="AW73" s="233">
        <v>9500</v>
      </c>
      <c r="AX73" s="33">
        <f t="shared" si="49"/>
        <v>0</v>
      </c>
      <c r="AY73" s="10">
        <v>200</v>
      </c>
    </row>
    <row r="74" spans="1:53">
      <c r="A74" s="10" t="s">
        <v>645</v>
      </c>
      <c r="B74" s="10" t="s">
        <v>130</v>
      </c>
      <c r="C74" s="80">
        <v>0</v>
      </c>
      <c r="D74" s="79">
        <f t="shared" si="50"/>
        <v>1600</v>
      </c>
      <c r="E74" s="79">
        <f>' 2018-2019'!I74+'2019-2020 New'!I74+'2020-2021 New'!I74+'2021-2022 (A) New'!J74</f>
        <v>2584.85</v>
      </c>
      <c r="F74" s="78">
        <f t="shared" si="51"/>
        <v>1600</v>
      </c>
      <c r="G74" s="159">
        <f t="shared" si="52"/>
        <v>0</v>
      </c>
      <c r="H74" s="78">
        <f t="shared" si="53"/>
        <v>1600</v>
      </c>
      <c r="I74" s="78">
        <f t="shared" si="42"/>
        <v>5138.3588684485003</v>
      </c>
      <c r="J74" s="78">
        <f t="shared" si="54"/>
        <v>0</v>
      </c>
      <c r="K74" s="78">
        <f t="shared" si="55"/>
        <v>0</v>
      </c>
      <c r="L74" s="78">
        <f t="shared" si="56"/>
        <v>953.50886844850004</v>
      </c>
      <c r="M74" s="78">
        <f t="shared" si="43"/>
        <v>953.50886844850004</v>
      </c>
      <c r="N74" s="78">
        <f t="shared" si="40"/>
        <v>-953.50886844850004</v>
      </c>
      <c r="O74" s="165">
        <v>0</v>
      </c>
      <c r="P74" s="166">
        <f t="shared" si="57"/>
        <v>0</v>
      </c>
      <c r="Q74" s="119">
        <f t="shared" si="41"/>
        <v>2784.85</v>
      </c>
      <c r="R74" s="167">
        <f t="shared" si="58"/>
        <v>194.93950000000001</v>
      </c>
      <c r="S74" s="165">
        <v>0</v>
      </c>
      <c r="T74" s="166">
        <f t="shared" si="59"/>
        <v>0</v>
      </c>
      <c r="U74" s="33">
        <f t="shared" si="60"/>
        <v>3179.7894999999999</v>
      </c>
      <c r="V74" s="167">
        <f t="shared" si="61"/>
        <v>222.58526500000002</v>
      </c>
      <c r="W74" s="165">
        <v>0</v>
      </c>
      <c r="X74" s="166">
        <f t="shared" si="62"/>
        <v>0</v>
      </c>
      <c r="Y74" s="33">
        <f t="shared" si="63"/>
        <v>3602.374765</v>
      </c>
      <c r="Z74" s="167">
        <f t="shared" si="64"/>
        <v>252.16623355000002</v>
      </c>
      <c r="AA74" s="165">
        <v>0</v>
      </c>
      <c r="AB74" s="166">
        <f t="shared" si="65"/>
        <v>0</v>
      </c>
      <c r="AC74" s="33">
        <f t="shared" si="66"/>
        <v>4054.54099855</v>
      </c>
      <c r="AD74" s="167">
        <f t="shared" si="67"/>
        <v>283.81786989850002</v>
      </c>
      <c r="AE74" s="220">
        <v>0</v>
      </c>
      <c r="AF74" s="221">
        <f t="shared" si="68"/>
        <v>0</v>
      </c>
      <c r="AG74" s="123">
        <f t="shared" si="69"/>
        <v>4538.3588684485003</v>
      </c>
      <c r="AH74" s="222">
        <f t="shared" si="70"/>
        <v>317.68512079139504</v>
      </c>
      <c r="AI74" s="220">
        <v>0</v>
      </c>
      <c r="AJ74" s="221">
        <f t="shared" si="44"/>
        <v>0</v>
      </c>
      <c r="AK74" s="123">
        <f t="shared" si="71"/>
        <v>5056.0439892398954</v>
      </c>
      <c r="AL74" s="222">
        <f t="shared" si="72"/>
        <v>353.92307924679272</v>
      </c>
      <c r="AM74" s="220">
        <v>0</v>
      </c>
      <c r="AN74" s="221">
        <f t="shared" si="45"/>
        <v>0</v>
      </c>
      <c r="AO74" s="123">
        <f t="shared" si="73"/>
        <v>5609.9670684866878</v>
      </c>
      <c r="AP74" s="222">
        <f t="shared" si="74"/>
        <v>392.69769479406818</v>
      </c>
      <c r="AQ74" s="220">
        <v>0</v>
      </c>
      <c r="AR74" s="221">
        <f t="shared" si="46"/>
        <v>0</v>
      </c>
      <c r="AS74" s="123">
        <f t="shared" ref="AS74:AS90" si="75">AO74-AQ74+200+AP74</f>
        <v>6202.6647632807562</v>
      </c>
      <c r="AT74" s="222">
        <f t="shared" si="47"/>
        <v>434.18653342965297</v>
      </c>
      <c r="AU74" s="231">
        <f t="shared" si="48"/>
        <v>0</v>
      </c>
      <c r="AV74" s="33">
        <f>' 2018-2019'!H74+'2019-2020 New'!H74+'2020-2021 New'!H74+'2021-2022 (A) New'!I74+'2021-2022 (B)'!G74+AY74</f>
        <v>5515.15</v>
      </c>
      <c r="AW74" s="233" t="s">
        <v>485</v>
      </c>
      <c r="AX74" s="33">
        <v>0</v>
      </c>
      <c r="AY74" s="10">
        <v>0</v>
      </c>
    </row>
    <row r="75" spans="1:53">
      <c r="A75" s="10" t="s">
        <v>646</v>
      </c>
      <c r="B75" s="10" t="s">
        <v>125</v>
      </c>
      <c r="C75" s="80">
        <v>0</v>
      </c>
      <c r="D75" s="79">
        <f t="shared" si="50"/>
        <v>1600</v>
      </c>
      <c r="E75" s="79">
        <f>' 2018-2019'!I75+'2019-2020 New'!I75+'2020-2021 New'!I75+'2021-2022 (A) New'!J75</f>
        <v>2600</v>
      </c>
      <c r="F75" s="78">
        <f t="shared" si="51"/>
        <v>1600</v>
      </c>
      <c r="G75" s="159">
        <f t="shared" si="52"/>
        <v>200</v>
      </c>
      <c r="H75" s="78">
        <f t="shared" si="53"/>
        <v>1400</v>
      </c>
      <c r="I75" s="78">
        <f t="shared" si="42"/>
        <v>4958.2174279999999</v>
      </c>
      <c r="J75" s="78">
        <f t="shared" si="54"/>
        <v>0</v>
      </c>
      <c r="K75" s="78">
        <f t="shared" si="55"/>
        <v>11</v>
      </c>
      <c r="L75" s="78">
        <f t="shared" si="56"/>
        <v>958.21742800000015</v>
      </c>
      <c r="M75" s="78">
        <f t="shared" si="43"/>
        <v>958.21742800000015</v>
      </c>
      <c r="N75" s="78">
        <f t="shared" si="40"/>
        <v>-747.21742800000015</v>
      </c>
      <c r="O75" s="165">
        <v>0</v>
      </c>
      <c r="P75" s="166">
        <f t="shared" si="57"/>
        <v>0</v>
      </c>
      <c r="Q75" s="119">
        <f t="shared" si="41"/>
        <v>2800</v>
      </c>
      <c r="R75" s="167">
        <f t="shared" si="58"/>
        <v>196.00000000000003</v>
      </c>
      <c r="S75" s="165">
        <v>0</v>
      </c>
      <c r="T75" s="166">
        <f t="shared" si="59"/>
        <v>0</v>
      </c>
      <c r="U75" s="33">
        <f t="shared" si="60"/>
        <v>3196</v>
      </c>
      <c r="V75" s="167">
        <f t="shared" si="61"/>
        <v>223.72000000000003</v>
      </c>
      <c r="W75" s="165">
        <v>0</v>
      </c>
      <c r="X75" s="166">
        <f t="shared" si="62"/>
        <v>0</v>
      </c>
      <c r="Y75" s="33">
        <f t="shared" si="63"/>
        <v>3619.7200000000003</v>
      </c>
      <c r="Z75" s="167">
        <f t="shared" si="64"/>
        <v>253.38040000000004</v>
      </c>
      <c r="AA75" s="165">
        <v>0</v>
      </c>
      <c r="AB75" s="166">
        <f t="shared" si="65"/>
        <v>0</v>
      </c>
      <c r="AC75" s="33">
        <f t="shared" si="66"/>
        <v>4073.1004000000003</v>
      </c>
      <c r="AD75" s="167">
        <f t="shared" si="67"/>
        <v>285.11702800000006</v>
      </c>
      <c r="AE75" s="220">
        <v>0</v>
      </c>
      <c r="AF75" s="221">
        <f t="shared" si="68"/>
        <v>0</v>
      </c>
      <c r="AG75" s="123">
        <f t="shared" si="69"/>
        <v>4558.2174279999999</v>
      </c>
      <c r="AH75" s="222">
        <f t="shared" si="70"/>
        <v>319.07521996000003</v>
      </c>
      <c r="AI75" s="220">
        <v>200</v>
      </c>
      <c r="AJ75" s="221">
        <f t="shared" si="44"/>
        <v>0</v>
      </c>
      <c r="AK75" s="123">
        <f t="shared" si="71"/>
        <v>4877.2926479600001</v>
      </c>
      <c r="AL75" s="222">
        <f t="shared" si="72"/>
        <v>327.41048535720006</v>
      </c>
      <c r="AM75" s="220">
        <v>0</v>
      </c>
      <c r="AN75" s="221">
        <f t="shared" si="45"/>
        <v>0</v>
      </c>
      <c r="AO75" s="123">
        <f t="shared" si="73"/>
        <v>5404.7031333171999</v>
      </c>
      <c r="AP75" s="222">
        <f t="shared" si="74"/>
        <v>378.32921933220405</v>
      </c>
      <c r="AQ75" s="220">
        <v>0</v>
      </c>
      <c r="AR75" s="221">
        <f t="shared" si="46"/>
        <v>0</v>
      </c>
      <c r="AS75" s="123">
        <f t="shared" si="75"/>
        <v>5983.0323526494039</v>
      </c>
      <c r="AT75" s="222">
        <f t="shared" si="47"/>
        <v>418.81226468545833</v>
      </c>
      <c r="AU75" s="231">
        <f t="shared" si="48"/>
        <v>200</v>
      </c>
      <c r="AV75" s="33">
        <f>' 2018-2019'!H75+'2019-2020 New'!H75+'2020-2021 New'!H75+'2021-2022 (A) New'!I75+'2021-2022 (B)'!G75+AY75</f>
        <v>5700</v>
      </c>
      <c r="AW75" s="233">
        <v>5700</v>
      </c>
      <c r="AX75" s="33">
        <f t="shared" si="49"/>
        <v>0</v>
      </c>
      <c r="AY75" s="10">
        <v>0</v>
      </c>
    </row>
    <row r="76" spans="1:53">
      <c r="A76" s="10" t="s">
        <v>647</v>
      </c>
      <c r="B76" s="10" t="s">
        <v>131</v>
      </c>
      <c r="C76" s="80">
        <v>0</v>
      </c>
      <c r="D76" s="79">
        <f t="shared" si="50"/>
        <v>1600</v>
      </c>
      <c r="E76" s="79">
        <f>' 2018-2019'!I76+'2019-2020 New'!I76+'2020-2021 New'!I76+'2021-2022 (A) New'!J76</f>
        <v>5800</v>
      </c>
      <c r="F76" s="78">
        <f t="shared" si="51"/>
        <v>1600</v>
      </c>
      <c r="G76" s="159">
        <f t="shared" si="52"/>
        <v>0</v>
      </c>
      <c r="H76" s="78">
        <f t="shared" si="53"/>
        <v>1600</v>
      </c>
      <c r="I76" s="78">
        <f t="shared" si="42"/>
        <v>9352.7646600000007</v>
      </c>
      <c r="J76" s="78">
        <f t="shared" si="54"/>
        <v>0</v>
      </c>
      <c r="K76" s="78">
        <f t="shared" si="55"/>
        <v>0</v>
      </c>
      <c r="L76" s="78">
        <f t="shared" si="56"/>
        <v>1952.76466</v>
      </c>
      <c r="M76" s="78">
        <f t="shared" si="43"/>
        <v>1952.76466</v>
      </c>
      <c r="N76" s="78">
        <f t="shared" si="40"/>
        <v>-1952.76466</v>
      </c>
      <c r="O76" s="165">
        <v>0</v>
      </c>
      <c r="P76" s="166">
        <f t="shared" si="57"/>
        <v>0</v>
      </c>
      <c r="Q76" s="119">
        <f t="shared" si="41"/>
        <v>6000</v>
      </c>
      <c r="R76" s="167">
        <f t="shared" si="58"/>
        <v>420.00000000000006</v>
      </c>
      <c r="S76" s="165">
        <v>0</v>
      </c>
      <c r="T76" s="166">
        <f t="shared" si="59"/>
        <v>0</v>
      </c>
      <c r="U76" s="33">
        <f t="shared" si="60"/>
        <v>6620</v>
      </c>
      <c r="V76" s="167">
        <f t="shared" si="61"/>
        <v>463.40000000000003</v>
      </c>
      <c r="W76" s="165">
        <v>0</v>
      </c>
      <c r="X76" s="166">
        <f t="shared" si="62"/>
        <v>0</v>
      </c>
      <c r="Y76" s="33">
        <f t="shared" si="63"/>
        <v>7283.4</v>
      </c>
      <c r="Z76" s="167">
        <f t="shared" si="64"/>
        <v>509.83800000000002</v>
      </c>
      <c r="AA76" s="165">
        <v>0</v>
      </c>
      <c r="AB76" s="166">
        <f t="shared" si="65"/>
        <v>0</v>
      </c>
      <c r="AC76" s="33">
        <f t="shared" si="66"/>
        <v>7993.2379999999994</v>
      </c>
      <c r="AD76" s="167">
        <f t="shared" si="67"/>
        <v>559.52665999999999</v>
      </c>
      <c r="AE76" s="220">
        <v>0</v>
      </c>
      <c r="AF76" s="221">
        <f t="shared" si="68"/>
        <v>0</v>
      </c>
      <c r="AG76" s="123">
        <f t="shared" si="69"/>
        <v>8752.7646599999989</v>
      </c>
      <c r="AH76" s="222">
        <f t="shared" si="70"/>
        <v>612.69352619999995</v>
      </c>
      <c r="AI76" s="220">
        <v>0</v>
      </c>
      <c r="AJ76" s="221">
        <f t="shared" si="44"/>
        <v>0</v>
      </c>
      <c r="AK76" s="123">
        <f t="shared" si="71"/>
        <v>9565.4581861999995</v>
      </c>
      <c r="AL76" s="222">
        <f t="shared" si="72"/>
        <v>669.58207303400002</v>
      </c>
      <c r="AM76" s="220">
        <v>0</v>
      </c>
      <c r="AN76" s="221">
        <f t="shared" si="45"/>
        <v>0</v>
      </c>
      <c r="AO76" s="123">
        <f t="shared" si="73"/>
        <v>10435.040259234</v>
      </c>
      <c r="AP76" s="222">
        <f t="shared" si="74"/>
        <v>730.45281814638008</v>
      </c>
      <c r="AQ76" s="220">
        <v>0</v>
      </c>
      <c r="AR76" s="221">
        <f t="shared" si="46"/>
        <v>0</v>
      </c>
      <c r="AS76" s="123">
        <f t="shared" si="75"/>
        <v>11365.493077380379</v>
      </c>
      <c r="AT76" s="222">
        <f t="shared" si="47"/>
        <v>795.58451541662657</v>
      </c>
      <c r="AU76" s="231">
        <f t="shared" si="48"/>
        <v>0</v>
      </c>
      <c r="AV76" s="33">
        <f>' 2018-2019'!H76+'2019-2020 New'!H76+'2020-2021 New'!H76+'2021-2022 (A) New'!I76+'2021-2022 (B)'!G76+AY76</f>
        <v>2300</v>
      </c>
      <c r="AW76" s="233">
        <v>2300</v>
      </c>
      <c r="AX76" s="33">
        <f t="shared" si="49"/>
        <v>0</v>
      </c>
      <c r="AY76" s="10">
        <v>0</v>
      </c>
      <c r="AZ76" s="252"/>
    </row>
    <row r="77" spans="1:53">
      <c r="A77" s="10" t="s">
        <v>648</v>
      </c>
      <c r="B77" s="10" t="s">
        <v>116</v>
      </c>
      <c r="C77" s="80">
        <v>0</v>
      </c>
      <c r="D77" s="79">
        <f t="shared" si="50"/>
        <v>1600</v>
      </c>
      <c r="E77" s="79">
        <f>' 2018-2019'!I77+'2019-2020 New'!I77+'2020-2021 New'!I77+'2021-2022 (A) New'!J77</f>
        <v>7700</v>
      </c>
      <c r="F77" s="78">
        <f t="shared" si="51"/>
        <v>1600</v>
      </c>
      <c r="G77" s="159">
        <f t="shared" si="52"/>
        <v>0</v>
      </c>
      <c r="H77" s="78">
        <f t="shared" si="53"/>
        <v>1600</v>
      </c>
      <c r="I77" s="78">
        <f t="shared" si="42"/>
        <v>11843.277079</v>
      </c>
      <c r="J77" s="78">
        <f t="shared" si="54"/>
        <v>0</v>
      </c>
      <c r="K77" s="78">
        <f t="shared" si="55"/>
        <v>0</v>
      </c>
      <c r="L77" s="78">
        <f t="shared" si="56"/>
        <v>2543.277079</v>
      </c>
      <c r="M77" s="78">
        <f t="shared" si="43"/>
        <v>2543.277079</v>
      </c>
      <c r="N77" s="78">
        <f t="shared" si="40"/>
        <v>-2543.277079</v>
      </c>
      <c r="O77" s="165">
        <v>0</v>
      </c>
      <c r="P77" s="166">
        <f t="shared" si="57"/>
        <v>0</v>
      </c>
      <c r="Q77" s="119">
        <f t="shared" si="41"/>
        <v>7900</v>
      </c>
      <c r="R77" s="167">
        <f t="shared" si="58"/>
        <v>553</v>
      </c>
      <c r="S77" s="165">
        <v>0</v>
      </c>
      <c r="T77" s="166">
        <f t="shared" si="59"/>
        <v>0</v>
      </c>
      <c r="U77" s="33">
        <f t="shared" si="60"/>
        <v>8653</v>
      </c>
      <c r="V77" s="167">
        <f t="shared" si="61"/>
        <v>605.71</v>
      </c>
      <c r="W77" s="165">
        <v>0</v>
      </c>
      <c r="X77" s="166">
        <f t="shared" si="62"/>
        <v>0</v>
      </c>
      <c r="Y77" s="33">
        <f t="shared" si="63"/>
        <v>9458.7099999999991</v>
      </c>
      <c r="Z77" s="167">
        <f t="shared" si="64"/>
        <v>662.10969999999998</v>
      </c>
      <c r="AA77" s="165">
        <v>0</v>
      </c>
      <c r="AB77" s="166">
        <f t="shared" si="65"/>
        <v>0</v>
      </c>
      <c r="AC77" s="33">
        <f t="shared" si="66"/>
        <v>10320.8197</v>
      </c>
      <c r="AD77" s="167">
        <f t="shared" si="67"/>
        <v>722.45737900000006</v>
      </c>
      <c r="AE77" s="220">
        <v>0</v>
      </c>
      <c r="AF77" s="221">
        <f t="shared" si="68"/>
        <v>0</v>
      </c>
      <c r="AG77" s="123">
        <f t="shared" si="69"/>
        <v>11243.277079</v>
      </c>
      <c r="AH77" s="222">
        <f t="shared" si="70"/>
        <v>787.02939552999999</v>
      </c>
      <c r="AI77" s="220">
        <v>0</v>
      </c>
      <c r="AJ77" s="221">
        <f t="shared" si="44"/>
        <v>0</v>
      </c>
      <c r="AK77" s="123">
        <f t="shared" si="71"/>
        <v>12230.30647453</v>
      </c>
      <c r="AL77" s="222">
        <f t="shared" si="72"/>
        <v>856.12145321710011</v>
      </c>
      <c r="AM77" s="220">
        <v>0</v>
      </c>
      <c r="AN77" s="221">
        <f t="shared" si="45"/>
        <v>0</v>
      </c>
      <c r="AO77" s="123">
        <f t="shared" si="73"/>
        <v>13286.4279277471</v>
      </c>
      <c r="AP77" s="222">
        <f t="shared" si="74"/>
        <v>930.04995494229706</v>
      </c>
      <c r="AQ77" s="220">
        <v>0</v>
      </c>
      <c r="AR77" s="221">
        <f t="shared" si="46"/>
        <v>0</v>
      </c>
      <c r="AS77" s="123">
        <f t="shared" si="75"/>
        <v>14416.477882689396</v>
      </c>
      <c r="AT77" s="222">
        <f t="shared" si="47"/>
        <v>1009.1534517882578</v>
      </c>
      <c r="AU77" s="231">
        <f t="shared" si="48"/>
        <v>0</v>
      </c>
      <c r="AV77" s="33">
        <f>' 2018-2019'!H77+'2019-2020 New'!H77+'2020-2021 New'!H77+'2021-2022 (A) New'!I77+'2021-2022 (B)'!G77+AY77</f>
        <v>300</v>
      </c>
      <c r="AW77" s="233">
        <v>300</v>
      </c>
      <c r="AX77" s="33">
        <f t="shared" si="49"/>
        <v>0</v>
      </c>
      <c r="AY77" s="10">
        <v>0</v>
      </c>
    </row>
    <row r="78" spans="1:53">
      <c r="A78" s="10" t="s">
        <v>649</v>
      </c>
      <c r="B78" s="10" t="s">
        <v>132</v>
      </c>
      <c r="C78" s="80">
        <v>0</v>
      </c>
      <c r="D78" s="79">
        <f t="shared" si="50"/>
        <v>1600</v>
      </c>
      <c r="E78" s="79">
        <f>' 2018-2019'!I78+'2019-2020 New'!I78+'2020-2021 New'!I78+'2021-2022 (A) New'!J78</f>
        <v>3500</v>
      </c>
      <c r="F78" s="78">
        <f t="shared" si="51"/>
        <v>1600</v>
      </c>
      <c r="G78" s="159">
        <f t="shared" si="52"/>
        <v>0</v>
      </c>
      <c r="H78" s="78">
        <f t="shared" si="53"/>
        <v>1600</v>
      </c>
      <c r="I78" s="78">
        <f t="shared" si="42"/>
        <v>6337.9338370000005</v>
      </c>
      <c r="J78" s="78">
        <f t="shared" si="54"/>
        <v>0</v>
      </c>
      <c r="K78" s="78">
        <f t="shared" si="55"/>
        <v>0</v>
      </c>
      <c r="L78" s="78">
        <f t="shared" si="56"/>
        <v>1237.933837</v>
      </c>
      <c r="M78" s="78">
        <f t="shared" si="43"/>
        <v>1237.933837</v>
      </c>
      <c r="N78" s="78">
        <f t="shared" si="40"/>
        <v>-1237.933837</v>
      </c>
      <c r="O78" s="165">
        <v>0</v>
      </c>
      <c r="P78" s="166">
        <f t="shared" si="57"/>
        <v>0</v>
      </c>
      <c r="Q78" s="119">
        <f t="shared" si="41"/>
        <v>3700</v>
      </c>
      <c r="R78" s="167">
        <f t="shared" si="58"/>
        <v>259</v>
      </c>
      <c r="S78" s="165">
        <v>0</v>
      </c>
      <c r="T78" s="166">
        <f t="shared" si="59"/>
        <v>0</v>
      </c>
      <c r="U78" s="33">
        <f t="shared" si="60"/>
        <v>4159</v>
      </c>
      <c r="V78" s="167">
        <f t="shared" si="61"/>
        <v>291.13000000000005</v>
      </c>
      <c r="W78" s="165">
        <v>0</v>
      </c>
      <c r="X78" s="166">
        <f t="shared" si="62"/>
        <v>0</v>
      </c>
      <c r="Y78" s="33">
        <f t="shared" si="63"/>
        <v>4650.13</v>
      </c>
      <c r="Z78" s="167">
        <f t="shared" si="64"/>
        <v>325.50910000000005</v>
      </c>
      <c r="AA78" s="165">
        <v>0</v>
      </c>
      <c r="AB78" s="166">
        <f t="shared" si="65"/>
        <v>0</v>
      </c>
      <c r="AC78" s="33">
        <f t="shared" si="66"/>
        <v>5175.6391000000003</v>
      </c>
      <c r="AD78" s="167">
        <f t="shared" si="67"/>
        <v>362.29473700000005</v>
      </c>
      <c r="AE78" s="220">
        <v>0</v>
      </c>
      <c r="AF78" s="221">
        <f t="shared" si="68"/>
        <v>0</v>
      </c>
      <c r="AG78" s="123">
        <f t="shared" si="69"/>
        <v>5737.9338370000005</v>
      </c>
      <c r="AH78" s="222">
        <f t="shared" si="70"/>
        <v>401.65536859000008</v>
      </c>
      <c r="AI78" s="220">
        <v>0</v>
      </c>
      <c r="AJ78" s="221">
        <f t="shared" si="44"/>
        <v>0</v>
      </c>
      <c r="AK78" s="123">
        <f t="shared" si="71"/>
        <v>6339.5892055900003</v>
      </c>
      <c r="AL78" s="222">
        <f t="shared" si="72"/>
        <v>443.77124439130006</v>
      </c>
      <c r="AM78" s="220">
        <v>0</v>
      </c>
      <c r="AN78" s="221">
        <f t="shared" si="45"/>
        <v>0</v>
      </c>
      <c r="AO78" s="123">
        <f t="shared" si="73"/>
        <v>6983.3604499813</v>
      </c>
      <c r="AP78" s="222">
        <f t="shared" si="74"/>
        <v>488.83523149869103</v>
      </c>
      <c r="AQ78" s="220">
        <v>0</v>
      </c>
      <c r="AR78" s="221">
        <f t="shared" si="46"/>
        <v>0</v>
      </c>
      <c r="AS78" s="123">
        <f t="shared" si="75"/>
        <v>7672.1956814799914</v>
      </c>
      <c r="AT78" s="222">
        <f t="shared" si="47"/>
        <v>537.05369770359948</v>
      </c>
      <c r="AU78" s="231">
        <f t="shared" si="48"/>
        <v>0</v>
      </c>
      <c r="AV78" s="33">
        <f>' 2018-2019'!H78+'2019-2020 New'!H78+'2020-2021 New'!H78+'2021-2022 (A) New'!I78+'2021-2022 (B)'!G78+AY78</f>
        <v>4500</v>
      </c>
      <c r="AW78" s="233">
        <v>4500</v>
      </c>
      <c r="AX78" s="33">
        <f t="shared" si="49"/>
        <v>0</v>
      </c>
      <c r="AY78" s="10">
        <v>0</v>
      </c>
    </row>
    <row r="79" spans="1:53">
      <c r="A79" s="10" t="s">
        <v>650</v>
      </c>
      <c r="B79" s="10" t="s">
        <v>113</v>
      </c>
      <c r="C79" s="80">
        <v>0</v>
      </c>
      <c r="D79" s="79">
        <f t="shared" si="50"/>
        <v>1600</v>
      </c>
      <c r="E79" s="79">
        <f>' 2018-2019'!I79+'2019-2020 New'!I79+'2020-2021 New'!I79+'2021-2022 (A) New'!J79</f>
        <v>7300</v>
      </c>
      <c r="F79" s="78">
        <f t="shared" si="51"/>
        <v>1600</v>
      </c>
      <c r="G79" s="159">
        <f t="shared" si="52"/>
        <v>0</v>
      </c>
      <c r="H79" s="78">
        <f t="shared" si="53"/>
        <v>1600</v>
      </c>
      <c r="I79" s="78">
        <f t="shared" si="42"/>
        <v>11318.958675</v>
      </c>
      <c r="J79" s="78">
        <f t="shared" si="54"/>
        <v>0</v>
      </c>
      <c r="K79" s="78">
        <f t="shared" si="55"/>
        <v>0</v>
      </c>
      <c r="L79" s="78">
        <f t="shared" si="56"/>
        <v>2418.9586749999999</v>
      </c>
      <c r="M79" s="78">
        <f t="shared" si="43"/>
        <v>2418.9586749999999</v>
      </c>
      <c r="N79" s="78">
        <f t="shared" si="40"/>
        <v>-2418.9586749999999</v>
      </c>
      <c r="O79" s="165">
        <v>0</v>
      </c>
      <c r="P79" s="166">
        <f t="shared" si="57"/>
        <v>0</v>
      </c>
      <c r="Q79" s="119">
        <f t="shared" si="41"/>
        <v>7500</v>
      </c>
      <c r="R79" s="167">
        <f t="shared" si="58"/>
        <v>525</v>
      </c>
      <c r="S79" s="165">
        <v>0</v>
      </c>
      <c r="T79" s="166">
        <f t="shared" si="59"/>
        <v>0</v>
      </c>
      <c r="U79" s="33">
        <f t="shared" si="60"/>
        <v>8225</v>
      </c>
      <c r="V79" s="167">
        <f t="shared" si="61"/>
        <v>575.75</v>
      </c>
      <c r="W79" s="165">
        <v>0</v>
      </c>
      <c r="X79" s="166">
        <f t="shared" si="62"/>
        <v>0</v>
      </c>
      <c r="Y79" s="33">
        <f t="shared" si="63"/>
        <v>9000.75</v>
      </c>
      <c r="Z79" s="167">
        <f t="shared" si="64"/>
        <v>630.05250000000001</v>
      </c>
      <c r="AA79" s="165">
        <v>0</v>
      </c>
      <c r="AB79" s="166">
        <f t="shared" si="65"/>
        <v>0</v>
      </c>
      <c r="AC79" s="33">
        <f t="shared" si="66"/>
        <v>9830.8024999999998</v>
      </c>
      <c r="AD79" s="167">
        <f t="shared" si="67"/>
        <v>688.15617500000008</v>
      </c>
      <c r="AE79" s="220">
        <v>0</v>
      </c>
      <c r="AF79" s="221">
        <f t="shared" si="68"/>
        <v>0</v>
      </c>
      <c r="AG79" s="123">
        <f t="shared" si="69"/>
        <v>10718.958675</v>
      </c>
      <c r="AH79" s="222">
        <f t="shared" si="70"/>
        <v>750.32710725000004</v>
      </c>
      <c r="AI79" s="220">
        <v>0</v>
      </c>
      <c r="AJ79" s="221">
        <f t="shared" si="44"/>
        <v>0</v>
      </c>
      <c r="AK79" s="123">
        <f t="shared" si="71"/>
        <v>11669.285782249999</v>
      </c>
      <c r="AL79" s="222">
        <f t="shared" si="72"/>
        <v>816.85000475749996</v>
      </c>
      <c r="AM79" s="220">
        <v>0</v>
      </c>
      <c r="AN79" s="221">
        <f t="shared" si="45"/>
        <v>0</v>
      </c>
      <c r="AO79" s="123">
        <f t="shared" si="73"/>
        <v>12686.135787007499</v>
      </c>
      <c r="AP79" s="222">
        <f t="shared" si="74"/>
        <v>888.02950509052505</v>
      </c>
      <c r="AQ79" s="220">
        <v>0</v>
      </c>
      <c r="AR79" s="221">
        <f t="shared" si="46"/>
        <v>0</v>
      </c>
      <c r="AS79" s="123">
        <f t="shared" si="75"/>
        <v>13774.165292098023</v>
      </c>
      <c r="AT79" s="222">
        <f t="shared" si="47"/>
        <v>964.19157044686176</v>
      </c>
      <c r="AU79" s="231">
        <f t="shared" si="48"/>
        <v>0</v>
      </c>
      <c r="AV79" s="33">
        <f>' 2018-2019'!H79+'2019-2020 New'!H79+'2020-2021 New'!H79+'2021-2022 (A) New'!I79+'2021-2022 (B)'!G79+AY79</f>
        <v>800</v>
      </c>
      <c r="AW79" s="233">
        <v>800</v>
      </c>
      <c r="AX79" s="33">
        <f t="shared" si="49"/>
        <v>0</v>
      </c>
      <c r="AY79" s="10">
        <v>0</v>
      </c>
    </row>
    <row r="80" spans="1:53">
      <c r="A80" s="10" t="s">
        <v>651</v>
      </c>
      <c r="B80" s="10" t="s">
        <v>124</v>
      </c>
      <c r="C80" s="80">
        <v>0</v>
      </c>
      <c r="D80" s="79">
        <f t="shared" si="50"/>
        <v>1600</v>
      </c>
      <c r="E80" s="79">
        <f>' 2018-2019'!I80+'2019-2020 New'!I80+'2020-2021 New'!I80+'2021-2022 (A) New'!J80</f>
        <v>6100</v>
      </c>
      <c r="F80" s="78">
        <f t="shared" si="51"/>
        <v>1600</v>
      </c>
      <c r="G80" s="159">
        <f t="shared" si="52"/>
        <v>0</v>
      </c>
      <c r="H80" s="78">
        <f t="shared" si="53"/>
        <v>1600</v>
      </c>
      <c r="I80" s="78">
        <f t="shared" si="42"/>
        <v>9746.0034630000009</v>
      </c>
      <c r="J80" s="78">
        <f t="shared" si="54"/>
        <v>0</v>
      </c>
      <c r="K80" s="78">
        <f t="shared" si="55"/>
        <v>0</v>
      </c>
      <c r="L80" s="78">
        <f t="shared" si="56"/>
        <v>2046.003463</v>
      </c>
      <c r="M80" s="78">
        <f t="shared" si="43"/>
        <v>2046.003463</v>
      </c>
      <c r="N80" s="78">
        <f t="shared" si="40"/>
        <v>-2046.003463</v>
      </c>
      <c r="O80" s="165">
        <v>0</v>
      </c>
      <c r="P80" s="166">
        <f t="shared" si="57"/>
        <v>0</v>
      </c>
      <c r="Q80" s="119">
        <f t="shared" si="41"/>
        <v>6300</v>
      </c>
      <c r="R80" s="167">
        <f t="shared" si="58"/>
        <v>441.00000000000006</v>
      </c>
      <c r="S80" s="165">
        <v>0</v>
      </c>
      <c r="T80" s="166">
        <f t="shared" si="59"/>
        <v>0</v>
      </c>
      <c r="U80" s="33">
        <f t="shared" si="60"/>
        <v>6941</v>
      </c>
      <c r="V80" s="167">
        <f t="shared" si="61"/>
        <v>485.87000000000006</v>
      </c>
      <c r="W80" s="165">
        <v>0</v>
      </c>
      <c r="X80" s="166">
        <f t="shared" si="62"/>
        <v>0</v>
      </c>
      <c r="Y80" s="33">
        <f t="shared" si="63"/>
        <v>7626.87</v>
      </c>
      <c r="Z80" s="167">
        <f t="shared" si="64"/>
        <v>533.8809</v>
      </c>
      <c r="AA80" s="165">
        <v>0</v>
      </c>
      <c r="AB80" s="166">
        <f t="shared" si="65"/>
        <v>0</v>
      </c>
      <c r="AC80" s="33">
        <f t="shared" si="66"/>
        <v>8360.7508999999991</v>
      </c>
      <c r="AD80" s="167">
        <f t="shared" si="67"/>
        <v>585.25256300000001</v>
      </c>
      <c r="AE80" s="220">
        <v>0</v>
      </c>
      <c r="AF80" s="221">
        <f t="shared" si="68"/>
        <v>0</v>
      </c>
      <c r="AG80" s="123">
        <f t="shared" si="69"/>
        <v>9146.0034629999991</v>
      </c>
      <c r="AH80" s="222">
        <f t="shared" si="70"/>
        <v>640.22024240999997</v>
      </c>
      <c r="AI80" s="220">
        <v>0</v>
      </c>
      <c r="AJ80" s="221">
        <f t="shared" si="44"/>
        <v>0</v>
      </c>
      <c r="AK80" s="123">
        <f t="shared" si="71"/>
        <v>9986.2237054099987</v>
      </c>
      <c r="AL80" s="222">
        <f t="shared" si="72"/>
        <v>699.03565937869996</v>
      </c>
      <c r="AM80" s="220">
        <v>0</v>
      </c>
      <c r="AN80" s="221">
        <f t="shared" si="45"/>
        <v>0</v>
      </c>
      <c r="AO80" s="123">
        <f t="shared" si="73"/>
        <v>10885.259364788699</v>
      </c>
      <c r="AP80" s="222">
        <f t="shared" si="74"/>
        <v>761.96815553520901</v>
      </c>
      <c r="AQ80" s="220">
        <v>0</v>
      </c>
      <c r="AR80" s="221">
        <f t="shared" si="46"/>
        <v>0</v>
      </c>
      <c r="AS80" s="123">
        <f t="shared" si="75"/>
        <v>11847.227520323908</v>
      </c>
      <c r="AT80" s="222">
        <f t="shared" si="47"/>
        <v>829.30592642267368</v>
      </c>
      <c r="AU80" s="231">
        <f t="shared" si="48"/>
        <v>0</v>
      </c>
      <c r="AV80" s="33">
        <f>' 2018-2019'!H80+'2019-2020 New'!H80+'2020-2021 New'!H80+'2021-2022 (A) New'!I80+'2021-2022 (B)'!G80+AY80</f>
        <v>1900</v>
      </c>
      <c r="AW80" s="233">
        <v>1900</v>
      </c>
      <c r="AX80" s="33">
        <f t="shared" si="49"/>
        <v>0</v>
      </c>
      <c r="AY80" s="10">
        <v>0</v>
      </c>
    </row>
    <row r="81" spans="1:51">
      <c r="A81" s="10" t="s">
        <v>652</v>
      </c>
      <c r="B81" s="10" t="s">
        <v>149</v>
      </c>
      <c r="C81" s="80">
        <v>0</v>
      </c>
      <c r="D81" s="79">
        <f t="shared" si="50"/>
        <v>1600</v>
      </c>
      <c r="E81" s="79">
        <f>' 2018-2019'!I81+'2019-2020 New'!I81+'2020-2021 New'!I81+'2021-2022 (A) New'!J81</f>
        <v>3350</v>
      </c>
      <c r="F81" s="78">
        <f t="shared" si="51"/>
        <v>1600</v>
      </c>
      <c r="G81" s="159">
        <f t="shared" si="52"/>
        <v>900</v>
      </c>
      <c r="H81" s="78">
        <f t="shared" si="53"/>
        <v>700</v>
      </c>
      <c r="I81" s="78">
        <f t="shared" si="42"/>
        <v>5109.4344355000003</v>
      </c>
      <c r="J81" s="78">
        <f t="shared" si="54"/>
        <v>6.6000000000000005</v>
      </c>
      <c r="K81" s="78">
        <f t="shared" si="55"/>
        <v>49.137</v>
      </c>
      <c r="L81" s="78">
        <f t="shared" si="56"/>
        <v>1059.4344355000001</v>
      </c>
      <c r="M81" s="78">
        <f t="shared" si="43"/>
        <v>1059.4344355000001</v>
      </c>
      <c r="N81" s="78">
        <f t="shared" si="40"/>
        <v>-116.89743550000009</v>
      </c>
      <c r="O81" s="165">
        <v>0</v>
      </c>
      <c r="P81" s="166">
        <f t="shared" si="57"/>
        <v>0</v>
      </c>
      <c r="Q81" s="119">
        <f t="shared" si="41"/>
        <v>3550</v>
      </c>
      <c r="R81" s="167">
        <f t="shared" si="58"/>
        <v>248.50000000000003</v>
      </c>
      <c r="S81" s="165">
        <v>0</v>
      </c>
      <c r="T81" s="166">
        <f t="shared" si="59"/>
        <v>0</v>
      </c>
      <c r="U81" s="33">
        <f t="shared" si="60"/>
        <v>3998.5</v>
      </c>
      <c r="V81" s="167">
        <f t="shared" si="61"/>
        <v>279.89500000000004</v>
      </c>
      <c r="W81" s="165">
        <v>600</v>
      </c>
      <c r="X81" s="166">
        <f t="shared" si="62"/>
        <v>6.6000000000000005</v>
      </c>
      <c r="Y81" s="33">
        <f t="shared" si="63"/>
        <v>3878.395</v>
      </c>
      <c r="Z81" s="167">
        <f t="shared" si="64"/>
        <v>229.48765000000003</v>
      </c>
      <c r="AA81" s="165">
        <v>0</v>
      </c>
      <c r="AB81" s="166">
        <f t="shared" si="65"/>
        <v>0</v>
      </c>
      <c r="AC81" s="33">
        <f t="shared" si="66"/>
        <v>4307.8826499999996</v>
      </c>
      <c r="AD81" s="167">
        <f t="shared" si="67"/>
        <v>301.55178549999999</v>
      </c>
      <c r="AE81" s="220">
        <v>300</v>
      </c>
      <c r="AF81" s="221">
        <f t="shared" si="68"/>
        <v>3.3000000000000003</v>
      </c>
      <c r="AG81" s="123">
        <f t="shared" si="69"/>
        <v>4509.4344354999994</v>
      </c>
      <c r="AH81" s="222">
        <f t="shared" si="70"/>
        <v>294.660410485</v>
      </c>
      <c r="AI81" s="220">
        <v>0</v>
      </c>
      <c r="AJ81" s="221">
        <f t="shared" si="44"/>
        <v>0</v>
      </c>
      <c r="AK81" s="123">
        <f t="shared" si="71"/>
        <v>5004.0948459849997</v>
      </c>
      <c r="AL81" s="222">
        <f t="shared" si="72"/>
        <v>350.28663921895003</v>
      </c>
      <c r="AM81" s="220">
        <v>0</v>
      </c>
      <c r="AN81" s="221">
        <f t="shared" si="45"/>
        <v>0</v>
      </c>
      <c r="AO81" s="123">
        <f t="shared" si="73"/>
        <v>5554.3814852039495</v>
      </c>
      <c r="AP81" s="222">
        <f t="shared" si="74"/>
        <v>388.80670396427649</v>
      </c>
      <c r="AQ81" s="220">
        <v>0</v>
      </c>
      <c r="AR81" s="221">
        <f t="shared" si="46"/>
        <v>0</v>
      </c>
      <c r="AS81" s="123">
        <f t="shared" si="75"/>
        <v>6143.188189168226</v>
      </c>
      <c r="AT81" s="222">
        <f t="shared" si="47"/>
        <v>430.02317324177585</v>
      </c>
      <c r="AU81" s="231">
        <f t="shared" si="48"/>
        <v>900</v>
      </c>
      <c r="AV81" s="33">
        <f>' 2018-2019'!H81+'2019-2020 New'!H81+'2020-2021 New'!H81+'2021-2022 (A) New'!I81+'2021-2022 (B)'!G81+AY81</f>
        <v>5650</v>
      </c>
      <c r="AW81" s="233">
        <v>5650</v>
      </c>
      <c r="AX81" s="33">
        <f t="shared" si="49"/>
        <v>0</v>
      </c>
      <c r="AY81" s="10">
        <v>0</v>
      </c>
    </row>
    <row r="82" spans="1:51">
      <c r="A82" s="10" t="s">
        <v>653</v>
      </c>
      <c r="B82" s="10" t="s">
        <v>148</v>
      </c>
      <c r="C82" s="80">
        <v>0</v>
      </c>
      <c r="D82" s="79">
        <f t="shared" si="50"/>
        <v>1600</v>
      </c>
      <c r="E82" s="79">
        <f>' 2018-2019'!I82+'2019-2020 New'!I82+'2020-2021 New'!I82+'2021-2022 (A) New'!J82</f>
        <v>1600</v>
      </c>
      <c r="F82" s="78">
        <f t="shared" si="51"/>
        <v>1600</v>
      </c>
      <c r="G82" s="159">
        <f t="shared" si="52"/>
        <v>0</v>
      </c>
      <c r="H82" s="78">
        <f t="shared" si="53"/>
        <v>1600</v>
      </c>
      <c r="I82" s="78">
        <f t="shared" si="42"/>
        <v>3847.4214179999999</v>
      </c>
      <c r="J82" s="78">
        <f t="shared" si="54"/>
        <v>0</v>
      </c>
      <c r="K82" s="78">
        <f t="shared" si="55"/>
        <v>0</v>
      </c>
      <c r="L82" s="78">
        <f t="shared" si="56"/>
        <v>647.42141800000013</v>
      </c>
      <c r="M82" s="78">
        <f t="shared" si="43"/>
        <v>647.42141800000013</v>
      </c>
      <c r="N82" s="78">
        <f t="shared" si="40"/>
        <v>-647.42141800000013</v>
      </c>
      <c r="O82" s="165">
        <v>0</v>
      </c>
      <c r="P82" s="166">
        <f t="shared" si="57"/>
        <v>0</v>
      </c>
      <c r="Q82" s="119">
        <f t="shared" si="41"/>
        <v>1800</v>
      </c>
      <c r="R82" s="167">
        <f t="shared" si="58"/>
        <v>126.00000000000001</v>
      </c>
      <c r="S82" s="165">
        <v>0</v>
      </c>
      <c r="T82" s="166">
        <f t="shared" si="59"/>
        <v>0</v>
      </c>
      <c r="U82" s="33">
        <f t="shared" si="60"/>
        <v>2126</v>
      </c>
      <c r="V82" s="167">
        <f t="shared" si="61"/>
        <v>148.82000000000002</v>
      </c>
      <c r="W82" s="165">
        <v>0</v>
      </c>
      <c r="X82" s="166">
        <f t="shared" si="62"/>
        <v>0</v>
      </c>
      <c r="Y82" s="33">
        <f t="shared" si="63"/>
        <v>2474.8200000000002</v>
      </c>
      <c r="Z82" s="167">
        <f t="shared" si="64"/>
        <v>173.23740000000004</v>
      </c>
      <c r="AA82" s="165">
        <v>0</v>
      </c>
      <c r="AB82" s="166">
        <f t="shared" si="65"/>
        <v>0</v>
      </c>
      <c r="AC82" s="33">
        <f t="shared" si="66"/>
        <v>2848.0574000000001</v>
      </c>
      <c r="AD82" s="167">
        <f t="shared" si="67"/>
        <v>199.36401800000002</v>
      </c>
      <c r="AE82" s="220">
        <v>0</v>
      </c>
      <c r="AF82" s="221">
        <f t="shared" si="68"/>
        <v>0</v>
      </c>
      <c r="AG82" s="123">
        <f t="shared" si="69"/>
        <v>3247.4214180000004</v>
      </c>
      <c r="AH82" s="222">
        <f t="shared" si="70"/>
        <v>227.31949926000004</v>
      </c>
      <c r="AI82" s="220">
        <v>0</v>
      </c>
      <c r="AJ82" s="221">
        <f t="shared" si="44"/>
        <v>0</v>
      </c>
      <c r="AK82" s="123">
        <f t="shared" si="71"/>
        <v>3674.7409172600005</v>
      </c>
      <c r="AL82" s="222">
        <f t="shared" si="72"/>
        <v>257.23186420820008</v>
      </c>
      <c r="AM82" s="220">
        <v>0</v>
      </c>
      <c r="AN82" s="221">
        <f t="shared" si="45"/>
        <v>0</v>
      </c>
      <c r="AO82" s="123">
        <f t="shared" si="73"/>
        <v>4131.972781468201</v>
      </c>
      <c r="AP82" s="222">
        <f t="shared" si="74"/>
        <v>289.23809470277411</v>
      </c>
      <c r="AQ82" s="220">
        <v>0</v>
      </c>
      <c r="AR82" s="221">
        <f t="shared" si="46"/>
        <v>0</v>
      </c>
      <c r="AS82" s="123">
        <f t="shared" si="75"/>
        <v>4621.2108761709751</v>
      </c>
      <c r="AT82" s="222">
        <f t="shared" si="47"/>
        <v>323.48476133196829</v>
      </c>
      <c r="AU82" s="231">
        <f t="shared" si="48"/>
        <v>0</v>
      </c>
      <c r="AV82" s="33">
        <f>' 2018-2019'!H82+'2019-2020 New'!H82+'2020-2021 New'!H82+'2021-2022 (A) New'!I82+'2021-2022 (B)'!G82+AY82</f>
        <v>6500</v>
      </c>
      <c r="AW82" s="233">
        <v>6500</v>
      </c>
      <c r="AX82" s="33">
        <f t="shared" si="49"/>
        <v>0</v>
      </c>
      <c r="AY82" s="10">
        <v>0</v>
      </c>
    </row>
    <row r="83" spans="1:51">
      <c r="A83" s="10" t="s">
        <v>654</v>
      </c>
      <c r="B83" s="10" t="s">
        <v>127</v>
      </c>
      <c r="C83" s="80">
        <v>0</v>
      </c>
      <c r="D83" s="79">
        <f t="shared" si="50"/>
        <v>1600</v>
      </c>
      <c r="E83" s="79">
        <f>' 2018-2019'!I83+'2019-2020 New'!I83+'2020-2021 New'!I83+'2021-2022 (A) New'!J83</f>
        <v>1500</v>
      </c>
      <c r="F83" s="78">
        <f t="shared" si="51"/>
        <v>1600</v>
      </c>
      <c r="G83" s="159">
        <f t="shared" si="52"/>
        <v>0</v>
      </c>
      <c r="H83" s="78">
        <f t="shared" si="53"/>
        <v>1600</v>
      </c>
      <c r="I83" s="78">
        <f t="shared" si="42"/>
        <v>3716.341817</v>
      </c>
      <c r="J83" s="78">
        <f t="shared" si="54"/>
        <v>0</v>
      </c>
      <c r="K83" s="78">
        <f t="shared" si="55"/>
        <v>0</v>
      </c>
      <c r="L83" s="78">
        <f t="shared" si="56"/>
        <v>616.34181700000011</v>
      </c>
      <c r="M83" s="78">
        <f t="shared" si="43"/>
        <v>616.34181700000011</v>
      </c>
      <c r="N83" s="78">
        <f t="shared" si="40"/>
        <v>-616.34181700000011</v>
      </c>
      <c r="O83" s="165">
        <v>0</v>
      </c>
      <c r="P83" s="166">
        <f t="shared" si="57"/>
        <v>0</v>
      </c>
      <c r="Q83" s="119">
        <f t="shared" si="41"/>
        <v>1700</v>
      </c>
      <c r="R83" s="167">
        <f t="shared" si="58"/>
        <v>119.00000000000001</v>
      </c>
      <c r="S83" s="165">
        <v>0</v>
      </c>
      <c r="T83" s="166">
        <f t="shared" si="59"/>
        <v>0</v>
      </c>
      <c r="U83" s="33">
        <f t="shared" si="60"/>
        <v>2019</v>
      </c>
      <c r="V83" s="167">
        <f t="shared" si="61"/>
        <v>141.33000000000001</v>
      </c>
      <c r="W83" s="165">
        <v>0</v>
      </c>
      <c r="X83" s="166">
        <f t="shared" si="62"/>
        <v>0</v>
      </c>
      <c r="Y83" s="33">
        <f t="shared" si="63"/>
        <v>2360.33</v>
      </c>
      <c r="Z83" s="167">
        <f t="shared" si="64"/>
        <v>165.22310000000002</v>
      </c>
      <c r="AA83" s="165">
        <v>0</v>
      </c>
      <c r="AB83" s="166">
        <f t="shared" si="65"/>
        <v>0</v>
      </c>
      <c r="AC83" s="33">
        <f t="shared" si="66"/>
        <v>2725.5531000000001</v>
      </c>
      <c r="AD83" s="167">
        <f t="shared" si="67"/>
        <v>190.78871700000002</v>
      </c>
      <c r="AE83" s="220">
        <v>0</v>
      </c>
      <c r="AF83" s="221">
        <f t="shared" si="68"/>
        <v>0</v>
      </c>
      <c r="AG83" s="123">
        <f t="shared" si="69"/>
        <v>3116.341817</v>
      </c>
      <c r="AH83" s="222">
        <f t="shared" si="70"/>
        <v>218.14392719000003</v>
      </c>
      <c r="AI83" s="220">
        <v>0</v>
      </c>
      <c r="AJ83" s="221">
        <f t="shared" si="44"/>
        <v>0</v>
      </c>
      <c r="AK83" s="123">
        <f t="shared" si="71"/>
        <v>3534.4857441899999</v>
      </c>
      <c r="AL83" s="222">
        <f t="shared" si="72"/>
        <v>247.41400209330001</v>
      </c>
      <c r="AM83" s="220">
        <v>0</v>
      </c>
      <c r="AN83" s="221">
        <f t="shared" si="45"/>
        <v>0</v>
      </c>
      <c r="AO83" s="123">
        <f t="shared" si="73"/>
        <v>3981.8997462832999</v>
      </c>
      <c r="AP83" s="222">
        <f t="shared" si="74"/>
        <v>278.73298223983102</v>
      </c>
      <c r="AQ83" s="220">
        <v>0</v>
      </c>
      <c r="AR83" s="221">
        <f t="shared" si="46"/>
        <v>0</v>
      </c>
      <c r="AS83" s="123">
        <f t="shared" si="75"/>
        <v>4460.6327285231309</v>
      </c>
      <c r="AT83" s="222">
        <f t="shared" si="47"/>
        <v>312.24429099661921</v>
      </c>
      <c r="AU83" s="231">
        <f t="shared" si="48"/>
        <v>0</v>
      </c>
      <c r="AV83" s="33">
        <f>' 2018-2019'!H83+'2019-2020 New'!H83+'2020-2021 New'!H83+'2021-2022 (A) New'!I83+'2021-2022 (B)'!G83+AY83</f>
        <v>6600</v>
      </c>
      <c r="AW83" s="233">
        <v>6600</v>
      </c>
      <c r="AX83" s="33">
        <f t="shared" si="49"/>
        <v>0</v>
      </c>
      <c r="AY83" s="10">
        <v>0</v>
      </c>
    </row>
    <row r="84" spans="1:51">
      <c r="A84" s="10" t="s">
        <v>655</v>
      </c>
      <c r="B84" s="10" t="s">
        <v>147</v>
      </c>
      <c r="C84" s="80">
        <v>0</v>
      </c>
      <c r="D84" s="79">
        <f t="shared" si="50"/>
        <v>1600</v>
      </c>
      <c r="E84" s="79">
        <f>' 2018-2019'!I84+'2019-2020 New'!I84+'2020-2021 New'!I84+'2021-2022 (A) New'!J84</f>
        <v>5600</v>
      </c>
      <c r="F84" s="78">
        <f t="shared" si="51"/>
        <v>1600</v>
      </c>
      <c r="G84" s="159">
        <f t="shared" si="52"/>
        <v>0</v>
      </c>
      <c r="H84" s="78">
        <f t="shared" si="53"/>
        <v>1600</v>
      </c>
      <c r="I84" s="78">
        <f t="shared" si="42"/>
        <v>9090.605458</v>
      </c>
      <c r="J84" s="78">
        <f t="shared" si="54"/>
        <v>0</v>
      </c>
      <c r="K84" s="78">
        <f t="shared" si="55"/>
        <v>0</v>
      </c>
      <c r="L84" s="78">
        <f t="shared" si="56"/>
        <v>1890.6054580000002</v>
      </c>
      <c r="M84" s="78">
        <f t="shared" si="43"/>
        <v>1890.6054580000002</v>
      </c>
      <c r="N84" s="78">
        <f t="shared" si="40"/>
        <v>-1890.6054580000002</v>
      </c>
      <c r="O84" s="165">
        <v>0</v>
      </c>
      <c r="P84" s="166">
        <f t="shared" si="57"/>
        <v>0</v>
      </c>
      <c r="Q84" s="119">
        <f t="shared" si="41"/>
        <v>5800</v>
      </c>
      <c r="R84" s="167">
        <f t="shared" si="58"/>
        <v>406.00000000000006</v>
      </c>
      <c r="S84" s="165">
        <v>0</v>
      </c>
      <c r="T84" s="166">
        <f t="shared" si="59"/>
        <v>0</v>
      </c>
      <c r="U84" s="33">
        <f t="shared" si="60"/>
        <v>6406</v>
      </c>
      <c r="V84" s="167">
        <f t="shared" si="61"/>
        <v>448.42</v>
      </c>
      <c r="W84" s="165">
        <v>0</v>
      </c>
      <c r="X84" s="166">
        <f t="shared" si="62"/>
        <v>0</v>
      </c>
      <c r="Y84" s="33">
        <f t="shared" si="63"/>
        <v>7054.42</v>
      </c>
      <c r="Z84" s="167">
        <f t="shared" si="64"/>
        <v>493.80940000000004</v>
      </c>
      <c r="AA84" s="165">
        <v>0</v>
      </c>
      <c r="AB84" s="166">
        <f t="shared" si="65"/>
        <v>0</v>
      </c>
      <c r="AC84" s="33">
        <f t="shared" si="66"/>
        <v>7748.2294000000002</v>
      </c>
      <c r="AD84" s="167">
        <f t="shared" si="67"/>
        <v>542.37605800000006</v>
      </c>
      <c r="AE84" s="220">
        <v>0</v>
      </c>
      <c r="AF84" s="221">
        <f t="shared" si="68"/>
        <v>0</v>
      </c>
      <c r="AG84" s="123">
        <f t="shared" si="69"/>
        <v>8490.605458</v>
      </c>
      <c r="AH84" s="222">
        <f t="shared" si="70"/>
        <v>594.34238206000009</v>
      </c>
      <c r="AI84" s="220">
        <v>0</v>
      </c>
      <c r="AJ84" s="221">
        <f t="shared" si="44"/>
        <v>0</v>
      </c>
      <c r="AK84" s="123">
        <f t="shared" si="71"/>
        <v>9284.9478400600001</v>
      </c>
      <c r="AL84" s="222">
        <f t="shared" si="72"/>
        <v>649.94634880420006</v>
      </c>
      <c r="AM84" s="220">
        <v>0</v>
      </c>
      <c r="AN84" s="221">
        <f t="shared" si="45"/>
        <v>0</v>
      </c>
      <c r="AO84" s="123">
        <f t="shared" si="73"/>
        <v>10134.8941888642</v>
      </c>
      <c r="AP84" s="222">
        <f t="shared" si="74"/>
        <v>709.44259322049413</v>
      </c>
      <c r="AQ84" s="220">
        <v>0</v>
      </c>
      <c r="AR84" s="221">
        <f t="shared" si="46"/>
        <v>0</v>
      </c>
      <c r="AS84" s="123">
        <f t="shared" si="75"/>
        <v>11044.336782084694</v>
      </c>
      <c r="AT84" s="222">
        <f t="shared" si="47"/>
        <v>773.10357474592865</v>
      </c>
      <c r="AU84" s="231">
        <f t="shared" si="48"/>
        <v>0</v>
      </c>
      <c r="AV84" s="33">
        <f>' 2018-2019'!H84+'2019-2020 New'!H84+'2020-2021 New'!H84+'2021-2022 (A) New'!I84+'2021-2022 (B)'!G84+AY84</f>
        <v>2500</v>
      </c>
      <c r="AW84" s="233">
        <v>2500</v>
      </c>
      <c r="AX84" s="33">
        <f t="shared" si="49"/>
        <v>0</v>
      </c>
      <c r="AY84" s="10">
        <v>0</v>
      </c>
    </row>
    <row r="85" spans="1:51">
      <c r="A85" s="10" t="s">
        <v>656</v>
      </c>
      <c r="B85" s="10" t="s">
        <v>121</v>
      </c>
      <c r="C85" s="80">
        <v>0</v>
      </c>
      <c r="D85" s="79">
        <f t="shared" si="50"/>
        <v>1600</v>
      </c>
      <c r="E85" s="79">
        <f>' 2018-2019'!I85+'2019-2020 New'!I85+'2020-2021 New'!I85+'2021-2022 (A) New'!J85</f>
        <v>3150</v>
      </c>
      <c r="F85" s="78">
        <f t="shared" si="51"/>
        <v>1600</v>
      </c>
      <c r="G85" s="159">
        <f t="shared" si="52"/>
        <v>0</v>
      </c>
      <c r="H85" s="78">
        <f t="shared" si="53"/>
        <v>1600</v>
      </c>
      <c r="I85" s="78">
        <f t="shared" si="42"/>
        <v>5879.1552334999997</v>
      </c>
      <c r="J85" s="78">
        <f t="shared" si="54"/>
        <v>0</v>
      </c>
      <c r="K85" s="78">
        <f t="shared" si="55"/>
        <v>0</v>
      </c>
      <c r="L85" s="78">
        <f t="shared" si="56"/>
        <v>1129.1552335000001</v>
      </c>
      <c r="M85" s="78">
        <f t="shared" si="43"/>
        <v>1129.1552335000001</v>
      </c>
      <c r="N85" s="78">
        <f t="shared" si="40"/>
        <v>-1129.1552335000001</v>
      </c>
      <c r="O85" s="165">
        <v>0</v>
      </c>
      <c r="P85" s="166">
        <f t="shared" si="57"/>
        <v>0</v>
      </c>
      <c r="Q85" s="119">
        <f t="shared" si="41"/>
        <v>3350</v>
      </c>
      <c r="R85" s="167">
        <f t="shared" si="58"/>
        <v>234.50000000000003</v>
      </c>
      <c r="S85" s="165">
        <v>0</v>
      </c>
      <c r="T85" s="166">
        <f t="shared" si="59"/>
        <v>0</v>
      </c>
      <c r="U85" s="33">
        <f t="shared" si="60"/>
        <v>3784.5</v>
      </c>
      <c r="V85" s="167">
        <f t="shared" si="61"/>
        <v>264.91500000000002</v>
      </c>
      <c r="W85" s="165">
        <v>0</v>
      </c>
      <c r="X85" s="166">
        <f t="shared" si="62"/>
        <v>0</v>
      </c>
      <c r="Y85" s="33">
        <f t="shared" si="63"/>
        <v>4249.415</v>
      </c>
      <c r="Z85" s="167">
        <f t="shared" si="64"/>
        <v>297.45905000000005</v>
      </c>
      <c r="AA85" s="165">
        <v>0</v>
      </c>
      <c r="AB85" s="166">
        <f t="shared" si="65"/>
        <v>0</v>
      </c>
      <c r="AC85" s="33">
        <f t="shared" si="66"/>
        <v>4746.8740500000004</v>
      </c>
      <c r="AD85" s="167">
        <f t="shared" si="67"/>
        <v>332.28118350000005</v>
      </c>
      <c r="AE85" s="220">
        <v>0</v>
      </c>
      <c r="AF85" s="221">
        <f t="shared" si="68"/>
        <v>0</v>
      </c>
      <c r="AG85" s="123">
        <f t="shared" si="69"/>
        <v>5279.1552335000006</v>
      </c>
      <c r="AH85" s="222">
        <f t="shared" si="70"/>
        <v>369.5408663450001</v>
      </c>
      <c r="AI85" s="220">
        <v>0</v>
      </c>
      <c r="AJ85" s="221">
        <f t="shared" si="44"/>
        <v>0</v>
      </c>
      <c r="AK85" s="123">
        <f t="shared" si="71"/>
        <v>5848.6960998450004</v>
      </c>
      <c r="AL85" s="222">
        <f t="shared" si="72"/>
        <v>409.40872698915007</v>
      </c>
      <c r="AM85" s="220">
        <v>0</v>
      </c>
      <c r="AN85" s="221">
        <f t="shared" si="45"/>
        <v>0</v>
      </c>
      <c r="AO85" s="123">
        <f t="shared" si="73"/>
        <v>6458.1048268341501</v>
      </c>
      <c r="AP85" s="222">
        <f t="shared" si="74"/>
        <v>452.06733787839056</v>
      </c>
      <c r="AQ85" s="220">
        <v>0</v>
      </c>
      <c r="AR85" s="221">
        <f t="shared" si="46"/>
        <v>0</v>
      </c>
      <c r="AS85" s="123">
        <f t="shared" si="75"/>
        <v>7110.1721647125405</v>
      </c>
      <c r="AT85" s="222">
        <f t="shared" si="47"/>
        <v>497.7120515298779</v>
      </c>
      <c r="AU85" s="231">
        <f t="shared" si="48"/>
        <v>0</v>
      </c>
      <c r="AV85" s="33">
        <f>' 2018-2019'!H85+'2019-2020 New'!H85+'2020-2021 New'!H85+'2021-2022 (A) New'!I85+'2021-2022 (B)'!G85+AY85</f>
        <v>4850</v>
      </c>
      <c r="AW85" s="233">
        <v>4850</v>
      </c>
      <c r="AX85" s="33">
        <f t="shared" si="49"/>
        <v>0</v>
      </c>
      <c r="AY85" s="10">
        <v>0</v>
      </c>
    </row>
    <row r="86" spans="1:51">
      <c r="A86" s="10" t="s">
        <v>657</v>
      </c>
      <c r="B86" s="10" t="s">
        <v>145</v>
      </c>
      <c r="C86" s="80">
        <v>0</v>
      </c>
      <c r="D86" s="79">
        <f t="shared" si="50"/>
        <v>1600</v>
      </c>
      <c r="E86" s="79">
        <f>' 2018-2019'!I86+'2019-2020 New'!I86+'2020-2021 New'!I86+'2021-2022 (A) New'!J86</f>
        <v>4700</v>
      </c>
      <c r="F86" s="78">
        <f t="shared" si="51"/>
        <v>1600</v>
      </c>
      <c r="G86" s="159">
        <f t="shared" si="52"/>
        <v>2000</v>
      </c>
      <c r="H86" s="78">
        <f t="shared" si="53"/>
        <v>-400</v>
      </c>
      <c r="I86" s="78">
        <f t="shared" si="42"/>
        <v>5694.242647</v>
      </c>
      <c r="J86" s="78">
        <f t="shared" si="54"/>
        <v>12.100000000000001</v>
      </c>
      <c r="K86" s="78">
        <f t="shared" si="55"/>
        <v>109.33450000000001</v>
      </c>
      <c r="L86" s="78">
        <f t="shared" si="56"/>
        <v>1394.2426470000003</v>
      </c>
      <c r="M86" s="78">
        <f t="shared" si="43"/>
        <v>1394.2426470000003</v>
      </c>
      <c r="N86" s="78">
        <f t="shared" si="40"/>
        <v>702.99185299999988</v>
      </c>
      <c r="O86" s="165">
        <v>200</v>
      </c>
      <c r="P86" s="166">
        <f t="shared" si="57"/>
        <v>2.2000000000000002</v>
      </c>
      <c r="Q86" s="119">
        <f t="shared" si="41"/>
        <v>4900</v>
      </c>
      <c r="R86" s="167">
        <f t="shared" si="58"/>
        <v>329.00000000000006</v>
      </c>
      <c r="S86" s="165">
        <v>300</v>
      </c>
      <c r="T86" s="166">
        <f t="shared" si="59"/>
        <v>3.3000000000000003</v>
      </c>
      <c r="U86" s="33">
        <f t="shared" si="60"/>
        <v>5129</v>
      </c>
      <c r="V86" s="167">
        <f t="shared" si="61"/>
        <v>338.03000000000003</v>
      </c>
      <c r="W86" s="165">
        <v>300</v>
      </c>
      <c r="X86" s="166">
        <f t="shared" si="62"/>
        <v>3.3000000000000003</v>
      </c>
      <c r="Y86" s="33">
        <f t="shared" si="63"/>
        <v>5367.03</v>
      </c>
      <c r="Z86" s="167">
        <f t="shared" si="64"/>
        <v>354.69210000000004</v>
      </c>
      <c r="AA86" s="165">
        <v>300</v>
      </c>
      <c r="AB86" s="166">
        <f t="shared" si="65"/>
        <v>3.3000000000000003</v>
      </c>
      <c r="AC86" s="33">
        <f t="shared" si="66"/>
        <v>5621.7221</v>
      </c>
      <c r="AD86" s="167">
        <f t="shared" si="67"/>
        <v>372.52054700000002</v>
      </c>
      <c r="AE86" s="220">
        <v>300</v>
      </c>
      <c r="AF86" s="221">
        <f t="shared" si="68"/>
        <v>3.3000000000000003</v>
      </c>
      <c r="AG86" s="123">
        <f t="shared" si="69"/>
        <v>5894.242647</v>
      </c>
      <c r="AH86" s="222">
        <f t="shared" si="70"/>
        <v>391.59698529000002</v>
      </c>
      <c r="AI86" s="220">
        <v>300</v>
      </c>
      <c r="AJ86" s="221">
        <f t="shared" si="44"/>
        <v>0</v>
      </c>
      <c r="AK86" s="123">
        <f t="shared" si="71"/>
        <v>6185.8396322899998</v>
      </c>
      <c r="AL86" s="222">
        <f t="shared" si="72"/>
        <v>412.00877426030002</v>
      </c>
      <c r="AM86" s="220">
        <v>300</v>
      </c>
      <c r="AN86" s="221">
        <f t="shared" si="45"/>
        <v>0</v>
      </c>
      <c r="AO86" s="123">
        <f t="shared" si="73"/>
        <v>6497.8484065502998</v>
      </c>
      <c r="AP86" s="222">
        <f t="shared" si="74"/>
        <v>433.84938845852105</v>
      </c>
      <c r="AQ86" s="220">
        <v>0</v>
      </c>
      <c r="AR86" s="221">
        <f t="shared" si="46"/>
        <v>0</v>
      </c>
      <c r="AS86" s="123">
        <f t="shared" si="75"/>
        <v>7131.6977950088212</v>
      </c>
      <c r="AT86" s="222">
        <f t="shared" si="47"/>
        <v>499.21884565061754</v>
      </c>
      <c r="AU86" s="231">
        <f t="shared" si="48"/>
        <v>2000</v>
      </c>
      <c r="AV86" s="33">
        <f>' 2018-2019'!H86+'2019-2020 New'!H86+'2020-2021 New'!H86+'2021-2022 (A) New'!I86+'2021-2022 (B)'!G86+AY86</f>
        <v>5700</v>
      </c>
      <c r="AW86" s="233">
        <v>5700</v>
      </c>
      <c r="AX86" s="33">
        <f t="shared" si="49"/>
        <v>0</v>
      </c>
      <c r="AY86" s="10">
        <v>300</v>
      </c>
    </row>
    <row r="87" spans="1:51">
      <c r="A87" s="10" t="s">
        <v>658</v>
      </c>
      <c r="B87" s="10" t="s">
        <v>146</v>
      </c>
      <c r="C87" s="80">
        <v>0</v>
      </c>
      <c r="D87" s="79">
        <f t="shared" si="50"/>
        <v>1600</v>
      </c>
      <c r="E87" s="79">
        <f>' 2018-2019'!I87+'2019-2020 New'!I87+'2020-2021 New'!I87+'2021-2022 (A) New'!J87</f>
        <v>7900</v>
      </c>
      <c r="F87" s="78">
        <f t="shared" si="51"/>
        <v>1600</v>
      </c>
      <c r="G87" s="159">
        <f t="shared" si="52"/>
        <v>0</v>
      </c>
      <c r="H87" s="78">
        <f t="shared" si="53"/>
        <v>1600</v>
      </c>
      <c r="I87" s="78">
        <f t="shared" si="42"/>
        <v>12105.436281</v>
      </c>
      <c r="J87" s="78">
        <f t="shared" si="54"/>
        <v>0</v>
      </c>
      <c r="K87" s="78">
        <f t="shared" si="55"/>
        <v>0</v>
      </c>
      <c r="L87" s="78">
        <f t="shared" si="56"/>
        <v>2605.4362810000002</v>
      </c>
      <c r="M87" s="78">
        <f t="shared" si="43"/>
        <v>2605.4362810000002</v>
      </c>
      <c r="N87" s="78">
        <f t="shared" si="40"/>
        <v>-2605.4362810000002</v>
      </c>
      <c r="O87" s="165">
        <v>0</v>
      </c>
      <c r="P87" s="166">
        <f t="shared" si="57"/>
        <v>0</v>
      </c>
      <c r="Q87" s="119">
        <f t="shared" si="41"/>
        <v>8100</v>
      </c>
      <c r="R87" s="167">
        <f t="shared" si="58"/>
        <v>567</v>
      </c>
      <c r="S87" s="165">
        <v>0</v>
      </c>
      <c r="T87" s="166">
        <f t="shared" si="59"/>
        <v>0</v>
      </c>
      <c r="U87" s="33">
        <f t="shared" si="60"/>
        <v>8867</v>
      </c>
      <c r="V87" s="167">
        <f t="shared" si="61"/>
        <v>620.69000000000005</v>
      </c>
      <c r="W87" s="165">
        <v>0</v>
      </c>
      <c r="X87" s="166">
        <f t="shared" si="62"/>
        <v>0</v>
      </c>
      <c r="Y87" s="33">
        <f t="shared" si="63"/>
        <v>9687.69</v>
      </c>
      <c r="Z87" s="167">
        <f t="shared" si="64"/>
        <v>678.13830000000007</v>
      </c>
      <c r="AA87" s="165">
        <v>0</v>
      </c>
      <c r="AB87" s="166">
        <f t="shared" si="65"/>
        <v>0</v>
      </c>
      <c r="AC87" s="33">
        <f t="shared" si="66"/>
        <v>10565.828300000001</v>
      </c>
      <c r="AD87" s="167">
        <f t="shared" si="67"/>
        <v>739.60798100000011</v>
      </c>
      <c r="AE87" s="220">
        <v>0</v>
      </c>
      <c r="AF87" s="221">
        <f t="shared" si="68"/>
        <v>0</v>
      </c>
      <c r="AG87" s="123">
        <f t="shared" si="69"/>
        <v>11505.436281000002</v>
      </c>
      <c r="AH87" s="222">
        <f t="shared" si="70"/>
        <v>805.38053967000019</v>
      </c>
      <c r="AI87" s="220">
        <v>0</v>
      </c>
      <c r="AJ87" s="221">
        <f t="shared" si="44"/>
        <v>0</v>
      </c>
      <c r="AK87" s="123">
        <f t="shared" si="71"/>
        <v>12510.816820670003</v>
      </c>
      <c r="AL87" s="222">
        <f t="shared" si="72"/>
        <v>875.7571774469003</v>
      </c>
      <c r="AM87" s="220">
        <v>0</v>
      </c>
      <c r="AN87" s="221">
        <f t="shared" si="45"/>
        <v>0</v>
      </c>
      <c r="AO87" s="123">
        <f t="shared" si="73"/>
        <v>13586.573998116903</v>
      </c>
      <c r="AP87" s="222">
        <f t="shared" si="74"/>
        <v>951.06017986818324</v>
      </c>
      <c r="AQ87" s="220">
        <v>0</v>
      </c>
      <c r="AR87" s="221">
        <f t="shared" si="46"/>
        <v>0</v>
      </c>
      <c r="AS87" s="123">
        <f t="shared" si="75"/>
        <v>14737.634177985086</v>
      </c>
      <c r="AT87" s="222">
        <f t="shared" si="47"/>
        <v>1031.6343924589562</v>
      </c>
      <c r="AU87" s="231">
        <f t="shared" si="48"/>
        <v>0</v>
      </c>
      <c r="AV87" s="33">
        <f>' 2018-2019'!H87+'2019-2020 New'!H87+'2020-2021 New'!H87+'2021-2022 (A) New'!I87+'2021-2022 (B)'!G87+AY87</f>
        <v>100</v>
      </c>
      <c r="AW87" s="233">
        <v>100</v>
      </c>
      <c r="AX87" s="33">
        <f t="shared" si="49"/>
        <v>0</v>
      </c>
      <c r="AY87" s="10">
        <v>0</v>
      </c>
    </row>
    <row r="88" spans="1:51">
      <c r="A88" s="10" t="s">
        <v>659</v>
      </c>
      <c r="B88" s="10" t="s">
        <v>133</v>
      </c>
      <c r="C88" s="80">
        <v>0</v>
      </c>
      <c r="D88" s="79">
        <f t="shared" si="50"/>
        <v>1600</v>
      </c>
      <c r="E88" s="79">
        <f>' 2018-2019'!I88+'2019-2020 New'!I88+'2020-2021 New'!I88+'2021-2022 (A) New'!J88</f>
        <v>6900</v>
      </c>
      <c r="F88" s="78">
        <f t="shared" si="51"/>
        <v>1600</v>
      </c>
      <c r="G88" s="159">
        <f t="shared" si="52"/>
        <v>1600</v>
      </c>
      <c r="H88" s="78">
        <f t="shared" si="53"/>
        <v>0</v>
      </c>
      <c r="I88" s="78">
        <f t="shared" si="42"/>
        <v>9044.4924690000007</v>
      </c>
      <c r="J88" s="78">
        <f t="shared" si="54"/>
        <v>8.8000000000000007</v>
      </c>
      <c r="K88" s="78">
        <f t="shared" si="55"/>
        <v>87.516000000000005</v>
      </c>
      <c r="L88" s="78">
        <f t="shared" si="56"/>
        <v>2144.4924690000007</v>
      </c>
      <c r="M88" s="78">
        <f t="shared" si="43"/>
        <v>2144.4924690000007</v>
      </c>
      <c r="N88" s="78">
        <f t="shared" si="40"/>
        <v>-465.77646900000065</v>
      </c>
      <c r="O88" s="165">
        <v>200</v>
      </c>
      <c r="P88" s="166">
        <f t="shared" si="57"/>
        <v>2.2000000000000002</v>
      </c>
      <c r="Q88" s="119">
        <f t="shared" si="41"/>
        <v>7100</v>
      </c>
      <c r="R88" s="167">
        <f t="shared" si="58"/>
        <v>483.00000000000006</v>
      </c>
      <c r="S88" s="165">
        <v>200</v>
      </c>
      <c r="T88" s="166">
        <f t="shared" si="59"/>
        <v>2.2000000000000002</v>
      </c>
      <c r="U88" s="33">
        <f t="shared" si="60"/>
        <v>7583</v>
      </c>
      <c r="V88" s="167">
        <f t="shared" si="61"/>
        <v>516.81000000000006</v>
      </c>
      <c r="W88" s="165">
        <v>200</v>
      </c>
      <c r="X88" s="166">
        <f t="shared" si="62"/>
        <v>2.2000000000000002</v>
      </c>
      <c r="Y88" s="33">
        <f t="shared" si="63"/>
        <v>8099.81</v>
      </c>
      <c r="Z88" s="167">
        <f t="shared" si="64"/>
        <v>552.98670000000004</v>
      </c>
      <c r="AA88" s="165">
        <v>200</v>
      </c>
      <c r="AB88" s="166">
        <f t="shared" si="65"/>
        <v>2.2000000000000002</v>
      </c>
      <c r="AC88" s="33">
        <f t="shared" si="66"/>
        <v>8652.7967000000008</v>
      </c>
      <c r="AD88" s="167">
        <f t="shared" si="67"/>
        <v>591.69576900000015</v>
      </c>
      <c r="AE88" s="220">
        <v>200</v>
      </c>
      <c r="AF88" s="221">
        <f t="shared" si="68"/>
        <v>2.2000000000000002</v>
      </c>
      <c r="AG88" s="123">
        <f t="shared" si="69"/>
        <v>9244.4924690000007</v>
      </c>
      <c r="AH88" s="222">
        <f t="shared" si="70"/>
        <v>633.11447283000007</v>
      </c>
      <c r="AI88" s="220">
        <v>200</v>
      </c>
      <c r="AJ88" s="221">
        <f t="shared" si="44"/>
        <v>0</v>
      </c>
      <c r="AK88" s="123">
        <f t="shared" si="71"/>
        <v>9877.6069418300012</v>
      </c>
      <c r="AL88" s="222">
        <f t="shared" si="72"/>
        <v>677.43248592810016</v>
      </c>
      <c r="AM88" s="220">
        <v>200</v>
      </c>
      <c r="AN88" s="221">
        <f t="shared" si="45"/>
        <v>0</v>
      </c>
      <c r="AO88" s="123">
        <f t="shared" si="73"/>
        <v>10555.039427758102</v>
      </c>
      <c r="AP88" s="222">
        <f t="shared" si="74"/>
        <v>724.85275994306721</v>
      </c>
      <c r="AQ88" s="220">
        <v>200</v>
      </c>
      <c r="AR88" s="221">
        <f t="shared" si="46"/>
        <v>0</v>
      </c>
      <c r="AS88" s="123">
        <f t="shared" si="75"/>
        <v>11279.892187701169</v>
      </c>
      <c r="AT88" s="222">
        <f t="shared" si="47"/>
        <v>775.59245313908195</v>
      </c>
      <c r="AU88" s="231">
        <f t="shared" si="48"/>
        <v>1600</v>
      </c>
      <c r="AV88" s="33">
        <f>' 2018-2019'!H88+'2019-2020 New'!H88+'2020-2021 New'!H88+'2021-2022 (A) New'!I88+'2021-2022 (B)'!G88+AY88</f>
        <v>2900</v>
      </c>
      <c r="AW88" s="233">
        <v>2900</v>
      </c>
      <c r="AX88" s="33">
        <f t="shared" si="49"/>
        <v>0</v>
      </c>
      <c r="AY88" s="10">
        <v>200</v>
      </c>
    </row>
    <row r="89" spans="1:51">
      <c r="A89" s="10" t="s">
        <v>660</v>
      </c>
      <c r="B89" s="10" t="s">
        <v>134</v>
      </c>
      <c r="C89" s="80">
        <v>0</v>
      </c>
      <c r="D89" s="79">
        <f t="shared" si="50"/>
        <v>1600</v>
      </c>
      <c r="E89" s="79">
        <f>' 2018-2019'!I89+'2019-2020 New'!I89+'2020-2021 New'!I89+'2021-2022 (A) New'!J89</f>
        <v>7400</v>
      </c>
      <c r="F89" s="78">
        <f t="shared" si="51"/>
        <v>1600</v>
      </c>
      <c r="G89" s="159">
        <f t="shared" si="52"/>
        <v>0</v>
      </c>
      <c r="H89" s="78">
        <f t="shared" si="53"/>
        <v>1600</v>
      </c>
      <c r="I89" s="78">
        <f t="shared" si="42"/>
        <v>11450.038275999999</v>
      </c>
      <c r="J89" s="78">
        <f t="shared" si="54"/>
        <v>0</v>
      </c>
      <c r="K89" s="78">
        <f t="shared" si="55"/>
        <v>0</v>
      </c>
      <c r="L89" s="78">
        <f t="shared" si="56"/>
        <v>2450.0382760000002</v>
      </c>
      <c r="M89" s="78">
        <f t="shared" si="43"/>
        <v>2450.0382760000002</v>
      </c>
      <c r="N89" s="78">
        <f t="shared" si="40"/>
        <v>-2450.0382760000002</v>
      </c>
      <c r="O89" s="165">
        <v>0</v>
      </c>
      <c r="P89" s="166">
        <f t="shared" si="57"/>
        <v>0</v>
      </c>
      <c r="Q89" s="119">
        <f t="shared" si="41"/>
        <v>7600</v>
      </c>
      <c r="R89" s="167">
        <f t="shared" si="58"/>
        <v>532</v>
      </c>
      <c r="S89" s="165">
        <v>0</v>
      </c>
      <c r="T89" s="166">
        <f t="shared" si="59"/>
        <v>0</v>
      </c>
      <c r="U89" s="33">
        <f t="shared" si="60"/>
        <v>8332</v>
      </c>
      <c r="V89" s="167">
        <f t="shared" si="61"/>
        <v>583.24</v>
      </c>
      <c r="W89" s="165">
        <v>0</v>
      </c>
      <c r="X89" s="166">
        <f t="shared" si="62"/>
        <v>0</v>
      </c>
      <c r="Y89" s="33">
        <f t="shared" si="63"/>
        <v>9115.24</v>
      </c>
      <c r="Z89" s="167">
        <f t="shared" si="64"/>
        <v>638.06680000000006</v>
      </c>
      <c r="AA89" s="165">
        <v>0</v>
      </c>
      <c r="AB89" s="166">
        <f t="shared" si="65"/>
        <v>0</v>
      </c>
      <c r="AC89" s="33">
        <f t="shared" si="66"/>
        <v>9953.3068000000003</v>
      </c>
      <c r="AD89" s="167">
        <f t="shared" si="67"/>
        <v>696.73147600000004</v>
      </c>
      <c r="AE89" s="220">
        <v>0</v>
      </c>
      <c r="AF89" s="221">
        <f t="shared" si="68"/>
        <v>0</v>
      </c>
      <c r="AG89" s="123">
        <f t="shared" si="69"/>
        <v>10850.038276000001</v>
      </c>
      <c r="AH89" s="222">
        <f t="shared" si="70"/>
        <v>759.5026793200002</v>
      </c>
      <c r="AI89" s="220">
        <v>0</v>
      </c>
      <c r="AJ89" s="221">
        <f t="shared" si="44"/>
        <v>0</v>
      </c>
      <c r="AK89" s="123">
        <f t="shared" si="71"/>
        <v>11809.540955320001</v>
      </c>
      <c r="AL89" s="222">
        <f t="shared" si="72"/>
        <v>826.66786687240017</v>
      </c>
      <c r="AM89" s="220">
        <v>0</v>
      </c>
      <c r="AN89" s="221">
        <f t="shared" si="45"/>
        <v>0</v>
      </c>
      <c r="AO89" s="123">
        <f t="shared" si="73"/>
        <v>12836.2088221924</v>
      </c>
      <c r="AP89" s="222">
        <f t="shared" si="74"/>
        <v>898.53461755346814</v>
      </c>
      <c r="AQ89" s="220">
        <v>0</v>
      </c>
      <c r="AR89" s="221">
        <f t="shared" si="46"/>
        <v>0</v>
      </c>
      <c r="AS89" s="123">
        <f t="shared" si="75"/>
        <v>13934.743439745869</v>
      </c>
      <c r="AT89" s="222">
        <f t="shared" si="47"/>
        <v>975.43204078221095</v>
      </c>
      <c r="AU89" s="231">
        <f t="shared" si="48"/>
        <v>0</v>
      </c>
      <c r="AV89" s="33">
        <f>' 2018-2019'!H89+'2019-2020 New'!H89+'2020-2021 New'!H89+'2021-2022 (A) New'!I89+'2021-2022 (B)'!G89+AY89</f>
        <v>700</v>
      </c>
      <c r="AW89" s="233">
        <v>700</v>
      </c>
      <c r="AX89" s="33">
        <f t="shared" si="49"/>
        <v>0</v>
      </c>
      <c r="AY89" s="10">
        <v>0</v>
      </c>
    </row>
    <row r="90" spans="1:51">
      <c r="A90" s="10" t="s">
        <v>661</v>
      </c>
      <c r="B90" s="10" t="s">
        <v>116</v>
      </c>
      <c r="C90" s="80">
        <v>0</v>
      </c>
      <c r="D90" s="79">
        <f t="shared" si="50"/>
        <v>1600</v>
      </c>
      <c r="E90" s="79">
        <f>' 2018-2019'!I90+'2019-2020 New'!I90+'2020-2021 New'!I90+'2021-2022 (A) New'!J90</f>
        <v>2900</v>
      </c>
      <c r="F90" s="78">
        <f t="shared" si="51"/>
        <v>1600</v>
      </c>
      <c r="G90" s="159">
        <f t="shared" si="52"/>
        <v>1200</v>
      </c>
      <c r="H90" s="78">
        <f t="shared" si="53"/>
        <v>400</v>
      </c>
      <c r="I90" s="78">
        <f t="shared" si="42"/>
        <v>4248.552619</v>
      </c>
      <c r="J90" s="78">
        <f t="shared" si="54"/>
        <v>13.200000000000001</v>
      </c>
      <c r="K90" s="78">
        <f t="shared" si="55"/>
        <v>65.274000000000001</v>
      </c>
      <c r="L90" s="78">
        <f t="shared" si="56"/>
        <v>948.55261900000005</v>
      </c>
      <c r="M90" s="78">
        <f t="shared" si="43"/>
        <v>948.55261900000005</v>
      </c>
      <c r="N90" s="78">
        <f t="shared" si="40"/>
        <v>303.52138099999991</v>
      </c>
      <c r="O90" s="165">
        <v>1200</v>
      </c>
      <c r="P90" s="166">
        <f t="shared" si="57"/>
        <v>13.200000000000001</v>
      </c>
      <c r="Q90" s="119">
        <f t="shared" si="41"/>
        <v>3100</v>
      </c>
      <c r="R90" s="167">
        <f t="shared" si="58"/>
        <v>133</v>
      </c>
      <c r="S90" s="165">
        <v>0</v>
      </c>
      <c r="T90" s="166">
        <f t="shared" si="59"/>
        <v>0</v>
      </c>
      <c r="U90" s="33">
        <f t="shared" si="60"/>
        <v>3433</v>
      </c>
      <c r="V90" s="167">
        <f t="shared" si="61"/>
        <v>240.31000000000003</v>
      </c>
      <c r="W90" s="165">
        <v>0</v>
      </c>
      <c r="X90" s="166">
        <f t="shared" si="62"/>
        <v>0</v>
      </c>
      <c r="Y90" s="33">
        <f t="shared" si="63"/>
        <v>3873.31</v>
      </c>
      <c r="Z90" s="167">
        <f t="shared" si="64"/>
        <v>271.13170000000002</v>
      </c>
      <c r="AA90" s="165">
        <v>0</v>
      </c>
      <c r="AB90" s="166">
        <f t="shared" si="65"/>
        <v>0</v>
      </c>
      <c r="AC90" s="33">
        <f t="shared" si="66"/>
        <v>4344.4417000000003</v>
      </c>
      <c r="AD90" s="167">
        <f t="shared" si="67"/>
        <v>304.11091900000002</v>
      </c>
      <c r="AE90" s="220">
        <v>0</v>
      </c>
      <c r="AF90" s="221">
        <f t="shared" si="68"/>
        <v>0</v>
      </c>
      <c r="AG90" s="123">
        <f t="shared" si="69"/>
        <v>4848.552619</v>
      </c>
      <c r="AH90" s="222">
        <f t="shared" si="70"/>
        <v>339.39868333000004</v>
      </c>
      <c r="AI90" s="220">
        <v>0</v>
      </c>
      <c r="AJ90" s="221">
        <f t="shared" si="44"/>
        <v>0</v>
      </c>
      <c r="AK90" s="123">
        <f t="shared" si="71"/>
        <v>5387.9513023300005</v>
      </c>
      <c r="AL90" s="222">
        <f t="shared" si="72"/>
        <v>377.15659116310007</v>
      </c>
      <c r="AM90" s="220">
        <v>0</v>
      </c>
      <c r="AN90" s="221">
        <f t="shared" si="45"/>
        <v>0</v>
      </c>
      <c r="AO90" s="123">
        <f t="shared" si="73"/>
        <v>5965.1078934931011</v>
      </c>
      <c r="AP90" s="222">
        <f t="shared" si="74"/>
        <v>417.55755254451714</v>
      </c>
      <c r="AQ90" s="220">
        <v>0</v>
      </c>
      <c r="AR90" s="221">
        <f t="shared" si="46"/>
        <v>0</v>
      </c>
      <c r="AS90" s="123">
        <f t="shared" si="75"/>
        <v>6582.6654460376185</v>
      </c>
      <c r="AT90" s="222">
        <f t="shared" si="47"/>
        <v>460.78658122263334</v>
      </c>
      <c r="AU90" s="231">
        <f t="shared" si="48"/>
        <v>1200</v>
      </c>
      <c r="AV90" s="33">
        <f>' 2018-2019'!H90+'2019-2020 New'!H90+'2020-2021 New'!H90+'2021-2022 (A) New'!I90+'2021-2022 (B)'!G90+AY90</f>
        <v>6300</v>
      </c>
      <c r="AW90" s="233">
        <v>6300</v>
      </c>
      <c r="AX90" s="33">
        <f t="shared" si="49"/>
        <v>0</v>
      </c>
      <c r="AY90" s="10">
        <v>0</v>
      </c>
    </row>
    <row r="91" spans="1:51" ht="16.899999999999999" thickBot="1">
      <c r="C91" s="117">
        <f t="shared" ref="C91:AP91" si="76">SUM(C2:C90)</f>
        <v>100</v>
      </c>
      <c r="D91" s="117">
        <f t="shared" si="76"/>
        <v>142400</v>
      </c>
      <c r="E91" s="117">
        <f t="shared" si="76"/>
        <v>381387.29</v>
      </c>
      <c r="F91" s="117">
        <f t="shared" si="76"/>
        <v>142500</v>
      </c>
      <c r="G91" s="117">
        <f>SUM(G2:G90)</f>
        <v>51190</v>
      </c>
      <c r="H91" s="117">
        <f t="shared" si="76"/>
        <v>91210</v>
      </c>
      <c r="I91" s="117">
        <f t="shared" si="76"/>
        <v>597572.51682867738</v>
      </c>
      <c r="J91" s="117">
        <f t="shared" si="76"/>
        <v>314.49000000000007</v>
      </c>
      <c r="K91" s="117">
        <f t="shared" si="76"/>
        <v>2792.6530499999999</v>
      </c>
      <c r="L91" s="117">
        <f t="shared" si="76"/>
        <v>124975.22682867754</v>
      </c>
      <c r="M91" s="117">
        <f t="shared" si="76"/>
        <v>124975.22682867754</v>
      </c>
      <c r="N91" s="117">
        <f t="shared" si="76"/>
        <v>-71307.06377867749</v>
      </c>
      <c r="O91" s="172">
        <f t="shared" si="76"/>
        <v>7740</v>
      </c>
      <c r="P91" s="177">
        <f t="shared" si="76"/>
        <v>85.140000000000015</v>
      </c>
      <c r="Q91" s="117">
        <f t="shared" si="76"/>
        <v>391287.29</v>
      </c>
      <c r="R91" s="176">
        <f t="shared" si="76"/>
        <v>26848.310300000001</v>
      </c>
      <c r="S91" s="172">
        <f t="shared" si="76"/>
        <v>7550</v>
      </c>
      <c r="T91" s="177">
        <f t="shared" si="76"/>
        <v>83.050000000000011</v>
      </c>
      <c r="U91" s="117">
        <f t="shared" si="76"/>
        <v>428385.60029999993</v>
      </c>
      <c r="V91" s="176">
        <f t="shared" si="76"/>
        <v>29458.492020999998</v>
      </c>
      <c r="W91" s="172">
        <f t="shared" si="76"/>
        <v>9150</v>
      </c>
      <c r="X91" s="177">
        <f t="shared" si="76"/>
        <v>100.65</v>
      </c>
      <c r="Y91" s="117">
        <f t="shared" si="76"/>
        <v>466494.092321</v>
      </c>
      <c r="Z91" s="176">
        <f t="shared" si="76"/>
        <v>32014.086462470008</v>
      </c>
      <c r="AA91" s="172">
        <f t="shared" si="76"/>
        <v>4150</v>
      </c>
      <c r="AB91" s="177">
        <f t="shared" si="76"/>
        <v>45.650000000000006</v>
      </c>
      <c r="AC91" s="117">
        <f t="shared" si="76"/>
        <v>512158.17878346983</v>
      </c>
      <c r="AD91" s="176">
        <f t="shared" si="76"/>
        <v>35560.572514842905</v>
      </c>
      <c r="AE91" s="172">
        <f t="shared" si="76"/>
        <v>4850</v>
      </c>
      <c r="AF91" s="177">
        <f t="shared" si="76"/>
        <v>53.35</v>
      </c>
      <c r="AG91" s="117">
        <f t="shared" si="76"/>
        <v>560668.75129831303</v>
      </c>
      <c r="AH91" s="176">
        <f t="shared" si="76"/>
        <v>38907.312590881898</v>
      </c>
      <c r="AI91" s="172">
        <f t="shared" si="76"/>
        <v>9050</v>
      </c>
      <c r="AJ91" s="177">
        <f t="shared" si="76"/>
        <v>0</v>
      </c>
      <c r="AK91" s="117">
        <f t="shared" si="76"/>
        <v>608326.06388919475</v>
      </c>
      <c r="AL91" s="176">
        <f t="shared" si="76"/>
        <v>41949.324472243643</v>
      </c>
      <c r="AM91" s="172">
        <f t="shared" si="76"/>
        <v>4250</v>
      </c>
      <c r="AN91" s="177">
        <f t="shared" si="76"/>
        <v>0</v>
      </c>
      <c r="AO91" s="117">
        <f t="shared" si="76"/>
        <v>663825.38836143841</v>
      </c>
      <c r="AP91" s="176">
        <f t="shared" si="76"/>
        <v>46170.277185300707</v>
      </c>
      <c r="AQ91" s="172">
        <f>SUM(AQ2:AQ90)</f>
        <v>4450</v>
      </c>
      <c r="AR91" s="177">
        <f>SUM(AR2:AR90)</f>
        <v>0</v>
      </c>
      <c r="AS91" s="117">
        <f>SUM(AS2:AS90)</f>
        <v>723345.66554673924</v>
      </c>
      <c r="AT91" s="225">
        <f>N91+R91+V91+Z91+AD91+AL91</f>
        <v>94523.721991879051</v>
      </c>
      <c r="AU91" s="117">
        <f>SUM(AU2:AU90)</f>
        <v>51190</v>
      </c>
      <c r="AV91" s="117">
        <f>SUM(AV2:AV90)</f>
        <v>392552.71</v>
      </c>
      <c r="AW91" s="117">
        <f>SUM(AW2:AW90)</f>
        <v>381148.89</v>
      </c>
      <c r="AX91" s="117">
        <f>SUM(AX2:AX90)</f>
        <v>1800</v>
      </c>
      <c r="AY91" s="117">
        <f>SUM(AY2:AY90)</f>
        <v>7150</v>
      </c>
    </row>
    <row r="92" spans="1:51" ht="14.65" thickTop="1"/>
    <row r="93" spans="1:51">
      <c r="AW93" s="58"/>
    </row>
    <row r="94" spans="1:51" ht="24">
      <c r="G94" s="146"/>
      <c r="H94" s="207" t="s">
        <v>409</v>
      </c>
      <c r="AT94" t="s">
        <v>490</v>
      </c>
      <c r="AU94" t="s">
        <v>238</v>
      </c>
      <c r="AW94" s="58"/>
    </row>
    <row r="95" spans="1:51" ht="35.65">
      <c r="G95" s="205"/>
      <c r="H95" s="207" t="s">
        <v>408</v>
      </c>
      <c r="AT95" t="s">
        <v>490</v>
      </c>
      <c r="AU95" t="s">
        <v>239</v>
      </c>
    </row>
    <row r="96" spans="1:51" ht="35.65">
      <c r="G96" s="175"/>
      <c r="H96" s="207" t="s">
        <v>410</v>
      </c>
      <c r="AT96" t="s">
        <v>490</v>
      </c>
      <c r="AU96" t="s">
        <v>240</v>
      </c>
    </row>
    <row r="97" spans="46:49">
      <c r="AT97" t="s">
        <v>490</v>
      </c>
      <c r="AU97" t="s">
        <v>491</v>
      </c>
      <c r="AV97" s="58">
        <f>'Interest Earned'!N8</f>
        <v>18891.82</v>
      </c>
      <c r="AW97" s="58"/>
    </row>
    <row r="99" spans="46:49">
      <c r="AT99" s="168" t="s">
        <v>492</v>
      </c>
      <c r="AV99" s="58">
        <f>AV91+AV94+AV95+AV96+AV97</f>
        <v>411444.53</v>
      </c>
    </row>
    <row r="100" spans="46:49">
      <c r="AT100" s="168" t="s">
        <v>494</v>
      </c>
    </row>
  </sheetData>
  <autoFilter ref="A1:AX91" xr:uid="{00000000-0009-0000-0000-000006000000}"/>
  <conditionalFormatting sqref="G2:G90">
    <cfRule type="iconSet" priority="1">
      <iconSet iconSet="3Arrows">
        <cfvo type="percent" val="0"/>
        <cfvo type="percent" val="33"/>
        <cfvo type="percent" val="67"/>
      </iconSet>
    </cfRule>
    <cfRule type="cellIs" dxfId="27" priority="3" operator="lessThan">
      <formula>799.99</formula>
    </cfRule>
    <cfRule type="cellIs" dxfId="26" priority="4" operator="lessThan">
      <formula>800</formula>
    </cfRule>
    <cfRule type="cellIs" dxfId="25" priority="5" operator="greaterThan">
      <formula>1399.99</formula>
    </cfRule>
    <cfRule type="cellIs" dxfId="24" priority="6" operator="between">
      <formula>800</formula>
      <formula>1399.99</formula>
    </cfRule>
    <cfRule type="cellIs" dxfId="23" priority="9" operator="between">
      <formula>800</formula>
      <formula>1799.99</formula>
    </cfRule>
    <cfRule type="cellIs" dxfId="22" priority="10" operator="lessThan">
      <formula>1299.99</formula>
    </cfRule>
    <cfRule type="cellIs" dxfId="21" priority="11" operator="greaterThan">
      <formula>1600</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BM102"/>
  <sheetViews>
    <sheetView zoomScale="70" zoomScaleNormal="70" workbookViewId="0">
      <pane ySplit="1" topLeftCell="A2" activePane="bottomLeft" state="frozen"/>
      <selection pane="bottomLeft" activeCell="A2" sqref="A2:A90"/>
    </sheetView>
  </sheetViews>
  <sheetFormatPr defaultColWidth="9.1328125" defaultRowHeight="14.25"/>
  <cols>
    <col min="1" max="1" width="25.86328125" customWidth="1"/>
    <col min="2" max="2" width="15.59765625" customWidth="1"/>
    <col min="3" max="3" width="17" customWidth="1"/>
    <col min="4" max="4" width="15.59765625" customWidth="1"/>
    <col min="5" max="5" width="19.3984375" customWidth="1"/>
    <col min="6" max="6" width="14.3984375" customWidth="1"/>
    <col min="7" max="7" width="16.1328125" style="10" customWidth="1"/>
    <col min="8" max="9" width="13.1328125" customWidth="1"/>
    <col min="10" max="10" width="16.3984375" customWidth="1"/>
    <col min="11" max="11" width="11.265625" customWidth="1"/>
    <col min="12" max="12" width="17.3984375" customWidth="1"/>
    <col min="13" max="13" width="19.265625" style="196" customWidth="1"/>
    <col min="14" max="14" width="14.1328125" customWidth="1"/>
    <col min="15" max="15" width="12.3984375" style="125" customWidth="1"/>
    <col min="16" max="16" width="13.1328125" style="146" customWidth="1"/>
    <col min="17" max="17" width="18" customWidth="1"/>
    <col min="18" max="18" width="12.265625" style="168" customWidth="1"/>
    <col min="19" max="19" width="13.1328125" style="125" customWidth="1"/>
    <col min="20" max="20" width="9.1328125" style="146" customWidth="1"/>
    <col min="21" max="21" width="14.3984375" customWidth="1"/>
    <col min="22" max="22" width="12.73046875" style="168" customWidth="1"/>
    <col min="23" max="23" width="12.1328125" style="125" customWidth="1"/>
    <col min="24" max="24" width="11" style="146" customWidth="1"/>
    <col min="25" max="25" width="14.3984375" customWidth="1"/>
    <col min="26" max="26" width="12.73046875" style="168" customWidth="1"/>
    <col min="27" max="27" width="12" style="125" customWidth="1"/>
    <col min="28" max="28" width="9.1328125" style="146" customWidth="1"/>
    <col min="29" max="29" width="17.265625" customWidth="1"/>
    <col min="30" max="30" width="12.73046875" style="168" customWidth="1"/>
    <col min="31" max="31" width="12.59765625" style="125" customWidth="1"/>
    <col min="32" max="32" width="9.1328125" style="146" customWidth="1"/>
    <col min="33" max="33" width="14.3984375" customWidth="1"/>
    <col min="34" max="34" width="12.73046875" style="168" customWidth="1"/>
    <col min="35" max="35" width="12.1328125" style="125" customWidth="1"/>
    <col min="36" max="36" width="9.1328125" style="146" customWidth="1"/>
    <col min="37" max="37" width="14.3984375" customWidth="1"/>
    <col min="38" max="38" width="12.73046875" style="168" customWidth="1"/>
    <col min="39" max="39" width="12.1328125" style="125" customWidth="1"/>
    <col min="40" max="40" width="11.3984375" style="146" customWidth="1"/>
    <col min="41" max="41" width="17.265625" customWidth="1"/>
    <col min="42" max="42" width="12.73046875" style="168" customWidth="1"/>
    <col min="43" max="43" width="12.1328125" style="125" customWidth="1"/>
    <col min="44" max="44" width="9.1328125" style="146" customWidth="1"/>
    <col min="45" max="45" width="14.3984375" customWidth="1"/>
    <col min="46" max="46" width="12.73046875" style="168" customWidth="1"/>
    <col min="47" max="47" width="13.3984375" style="125" customWidth="1"/>
    <col min="48" max="48" width="9.1328125" style="146" customWidth="1"/>
    <col min="49" max="49" width="14.3984375" customWidth="1"/>
    <col min="50" max="50" width="12.73046875" style="168" customWidth="1"/>
    <col min="51" max="51" width="12.1328125" style="125" customWidth="1"/>
    <col min="52" max="52" width="9.1328125" style="146" customWidth="1"/>
    <col min="53" max="53" width="14.3984375" customWidth="1"/>
    <col min="54" max="54" width="12.73046875" style="168" customWidth="1"/>
    <col min="55" max="55" width="12.73046875" style="125" customWidth="1"/>
    <col min="56" max="56" width="9.1328125" style="146" customWidth="1"/>
    <col min="57" max="57" width="14.3984375" customWidth="1"/>
    <col min="58" max="58" width="12.73046875" style="168" customWidth="1"/>
    <col min="59" max="59" width="11.86328125" style="125" customWidth="1"/>
    <col min="60" max="60" width="9.1328125" style="146" customWidth="1"/>
    <col min="61" max="61" width="14.3984375" customWidth="1"/>
    <col min="62" max="62" width="12.73046875" style="168" customWidth="1"/>
    <col min="63" max="63" width="12.73046875" customWidth="1"/>
    <col min="64" max="64" width="12.86328125" customWidth="1"/>
    <col min="65" max="65" width="11.59765625" bestFit="1" customWidth="1"/>
  </cols>
  <sheetData>
    <row r="1" spans="1:65" s="14" customFormat="1" ht="78.75" customHeight="1">
      <c r="A1" s="11" t="s">
        <v>0</v>
      </c>
      <c r="B1" s="11" t="s">
        <v>106</v>
      </c>
      <c r="C1" s="113" t="s">
        <v>388</v>
      </c>
      <c r="D1" s="113" t="s">
        <v>389</v>
      </c>
      <c r="E1" s="113" t="s">
        <v>390</v>
      </c>
      <c r="F1" s="186" t="s">
        <v>511</v>
      </c>
      <c r="G1" s="12" t="s">
        <v>228</v>
      </c>
      <c r="H1" s="189" t="s">
        <v>227</v>
      </c>
      <c r="I1" s="12" t="s">
        <v>229</v>
      </c>
      <c r="J1" s="12" t="s">
        <v>226</v>
      </c>
      <c r="K1" s="12" t="s">
        <v>231</v>
      </c>
      <c r="L1" s="12" t="s">
        <v>510</v>
      </c>
      <c r="M1" s="193" t="s">
        <v>236</v>
      </c>
      <c r="N1" s="12" t="s">
        <v>230</v>
      </c>
      <c r="O1" s="115">
        <v>44743</v>
      </c>
      <c r="P1" s="114" t="s">
        <v>515</v>
      </c>
      <c r="Q1" s="118" t="s">
        <v>234</v>
      </c>
      <c r="R1" s="35" t="s">
        <v>99</v>
      </c>
      <c r="S1" s="115">
        <v>44774</v>
      </c>
      <c r="T1" s="114" t="s">
        <v>515</v>
      </c>
      <c r="U1" s="118" t="s">
        <v>234</v>
      </c>
      <c r="V1" s="35" t="s">
        <v>99</v>
      </c>
      <c r="W1" s="115">
        <v>44805</v>
      </c>
      <c r="X1" s="114" t="s">
        <v>515</v>
      </c>
      <c r="Y1" s="118" t="s">
        <v>234</v>
      </c>
      <c r="Z1" s="35" t="s">
        <v>99</v>
      </c>
      <c r="AA1" s="115">
        <v>44835</v>
      </c>
      <c r="AB1" s="114" t="s">
        <v>515</v>
      </c>
      <c r="AC1" s="118" t="s">
        <v>234</v>
      </c>
      <c r="AD1" s="35" t="s">
        <v>99</v>
      </c>
      <c r="AE1" s="115">
        <v>44866</v>
      </c>
      <c r="AF1" s="114" t="s">
        <v>515</v>
      </c>
      <c r="AG1" s="118" t="s">
        <v>234</v>
      </c>
      <c r="AH1" s="35" t="s">
        <v>99</v>
      </c>
      <c r="AI1" s="115">
        <v>44896</v>
      </c>
      <c r="AJ1" s="114" t="s">
        <v>515</v>
      </c>
      <c r="AK1" s="118" t="s">
        <v>234</v>
      </c>
      <c r="AL1" s="35" t="s">
        <v>99</v>
      </c>
      <c r="AM1" s="115">
        <v>44927</v>
      </c>
      <c r="AN1" s="114" t="s">
        <v>515</v>
      </c>
      <c r="AO1" s="118" t="s">
        <v>234</v>
      </c>
      <c r="AP1" s="35" t="s">
        <v>99</v>
      </c>
      <c r="AQ1" s="115">
        <v>44958</v>
      </c>
      <c r="AR1" s="114" t="s">
        <v>515</v>
      </c>
      <c r="AS1" s="118" t="s">
        <v>234</v>
      </c>
      <c r="AT1" s="35" t="s">
        <v>99</v>
      </c>
      <c r="AU1" s="115">
        <v>44986</v>
      </c>
      <c r="AV1" s="114" t="s">
        <v>515</v>
      </c>
      <c r="AW1" s="118" t="s">
        <v>234</v>
      </c>
      <c r="AX1" s="35" t="s">
        <v>99</v>
      </c>
      <c r="AY1" s="115">
        <v>45017</v>
      </c>
      <c r="AZ1" s="114" t="s">
        <v>515</v>
      </c>
      <c r="BA1" s="118" t="s">
        <v>234</v>
      </c>
      <c r="BB1" s="35" t="s">
        <v>99</v>
      </c>
      <c r="BC1" s="115">
        <v>45047</v>
      </c>
      <c r="BD1" s="114" t="s">
        <v>515</v>
      </c>
      <c r="BE1" s="118" t="s">
        <v>234</v>
      </c>
      <c r="BF1" s="35" t="s">
        <v>99</v>
      </c>
      <c r="BG1" s="115">
        <v>45078</v>
      </c>
      <c r="BH1" s="114" t="s">
        <v>515</v>
      </c>
      <c r="BI1" s="118" t="s">
        <v>234</v>
      </c>
      <c r="BJ1" s="35" t="s">
        <v>99</v>
      </c>
      <c r="BK1" s="86" t="s">
        <v>217</v>
      </c>
      <c r="BL1" s="86" t="s">
        <v>514</v>
      </c>
    </row>
    <row r="2" spans="1:65">
      <c r="A2" s="10" t="s">
        <v>573</v>
      </c>
      <c r="B2" s="121" t="s">
        <v>107</v>
      </c>
      <c r="C2" s="80">
        <v>0</v>
      </c>
      <c r="D2" s="79">
        <f t="shared" ref="D2:D65" si="0">200*12</f>
        <v>2400</v>
      </c>
      <c r="E2" s="78">
        <f>'2021-2022 (B)'!E2</f>
        <v>2600</v>
      </c>
      <c r="F2" s="187">
        <f t="shared" ref="F2:F65" si="1">C2+D2</f>
        <v>2400</v>
      </c>
      <c r="G2" s="159">
        <f t="shared" ref="G2:G65" si="2">BK2</f>
        <v>1800</v>
      </c>
      <c r="H2" s="190">
        <f t="shared" ref="H2:H65" si="3">F2-G2-C2</f>
        <v>600</v>
      </c>
      <c r="I2" s="78">
        <f>H2+L2+E2</f>
        <v>6178.1282752890093</v>
      </c>
      <c r="J2" s="78">
        <f t="shared" ref="J2:J65" si="4">P2+T2+X2+AB2+AF2+AJ2+AN2+AR2+AV2+AZ2+BD2+BH2</f>
        <v>0</v>
      </c>
      <c r="K2" s="78">
        <f t="shared" ref="K2:K65" si="5">(G2-J2-C2)*5.5%</f>
        <v>99</v>
      </c>
      <c r="L2" s="78">
        <f t="shared" ref="L2:L65" si="6">R2+V2+Z2+AD2+AH2+AL2+AP2+AT2+AX2+BB2+BF2+BJ2</f>
        <v>2978.1282752890088</v>
      </c>
      <c r="M2" s="194">
        <f t="shared" ref="M2:M65" si="7">L2</f>
        <v>2978.1282752890088</v>
      </c>
      <c r="N2" s="78">
        <f t="shared" ref="N2:N65" si="8">G2-J2-L2+K2</f>
        <v>-1079.1282752890088</v>
      </c>
      <c r="O2" s="165">
        <v>400</v>
      </c>
      <c r="P2" s="166">
        <f t="shared" ref="P2:P65" si="9">O2*0%</f>
        <v>0</v>
      </c>
      <c r="Q2" s="119">
        <f t="shared" ref="Q2:Q65" si="10">E2+200</f>
        <v>2800</v>
      </c>
      <c r="R2" s="167">
        <f t="shared" ref="R2:R65" si="11">(Q2-O2)*0.055</f>
        <v>132</v>
      </c>
      <c r="S2" s="165">
        <v>0</v>
      </c>
      <c r="T2" s="166">
        <f t="shared" ref="T2:T65" si="12">S2*0%</f>
        <v>0</v>
      </c>
      <c r="U2" s="33">
        <f t="shared" ref="U2:U65" si="13">Q2-S2+200+R2</f>
        <v>3132</v>
      </c>
      <c r="V2" s="167">
        <f t="shared" ref="V2:V65" si="14">(U2-S2)*0.055</f>
        <v>172.26</v>
      </c>
      <c r="W2" s="165">
        <v>400</v>
      </c>
      <c r="X2" s="166">
        <f t="shared" ref="X2:X65" si="15">W2*0%</f>
        <v>0</v>
      </c>
      <c r="Y2" s="33">
        <f t="shared" ref="Y2:Y65" si="16">U2-W2+200+V2</f>
        <v>3104.26</v>
      </c>
      <c r="Z2" s="167">
        <f t="shared" ref="Z2:Z65" si="17">(Y2-W2)*0.055</f>
        <v>148.73430000000002</v>
      </c>
      <c r="AA2" s="165">
        <v>0</v>
      </c>
      <c r="AB2" s="166">
        <f t="shared" ref="AB2:AB65" si="18">AA2*0%</f>
        <v>0</v>
      </c>
      <c r="AC2" s="33">
        <f t="shared" ref="AC2:AC65" si="19">Y2-AA2+200+Z2</f>
        <v>3452.9943000000003</v>
      </c>
      <c r="AD2" s="167">
        <f t="shared" ref="AD2:AD65" si="20">(AC2-AA2)*0.055</f>
        <v>189.91468650000002</v>
      </c>
      <c r="AE2" s="165">
        <v>400</v>
      </c>
      <c r="AF2" s="166">
        <f t="shared" ref="AF2:AF65" si="21">AE2*0%</f>
        <v>0</v>
      </c>
      <c r="AG2" s="33">
        <f t="shared" ref="AG2:AG65" si="22">AC2-AE2+200+AD2</f>
        <v>3442.9089865000005</v>
      </c>
      <c r="AH2" s="167">
        <f t="shared" ref="AH2:AH65" si="23">(AG2-AE2)*0.055</f>
        <v>167.35999425750003</v>
      </c>
      <c r="AI2" s="165">
        <v>0</v>
      </c>
      <c r="AJ2" s="166">
        <f t="shared" ref="AJ2:AJ65" si="24">AI2*0%</f>
        <v>0</v>
      </c>
      <c r="AK2" s="33">
        <f t="shared" ref="AK2:AK65" si="25">AG2-AI2+200+AH2</f>
        <v>3810.2689807575007</v>
      </c>
      <c r="AL2" s="167">
        <f t="shared" ref="AL2:AL65" si="26">(AK2-AI2)*0.055</f>
        <v>209.56479394166254</v>
      </c>
      <c r="AM2" s="165">
        <v>0</v>
      </c>
      <c r="AN2" s="166">
        <f t="shared" ref="AN2:AN65" si="27">AM2*0%</f>
        <v>0</v>
      </c>
      <c r="AO2" s="33">
        <f t="shared" ref="AO2:AO65" si="28">AK2-AM2+200+AL2</f>
        <v>4219.8337746991629</v>
      </c>
      <c r="AP2" s="167">
        <f t="shared" ref="AP2:AP65" si="29">(AO2-AM2)*0.055</f>
        <v>232.09085760845394</v>
      </c>
      <c r="AQ2" s="165">
        <v>600</v>
      </c>
      <c r="AR2" s="166">
        <f t="shared" ref="AR2:AR65" si="30">AQ2*0%</f>
        <v>0</v>
      </c>
      <c r="AS2" s="33">
        <f t="shared" ref="AS2:AS65" si="31">AO2-AQ2+200+AP2</f>
        <v>4051.9246323076168</v>
      </c>
      <c r="AT2" s="167">
        <f t="shared" ref="AT2:AT65" si="32">(AS2-AQ2)*0.07</f>
        <v>241.63472426153319</v>
      </c>
      <c r="AU2" s="165">
        <v>0</v>
      </c>
      <c r="AV2" s="166">
        <f t="shared" ref="AV2:AV65" si="33">AU2*0%</f>
        <v>0</v>
      </c>
      <c r="AW2" s="33">
        <f t="shared" ref="AW2:AW65" si="34">AS2-AU2+200+AT2</f>
        <v>4493.5593565691497</v>
      </c>
      <c r="AX2" s="167">
        <f t="shared" ref="AX2:AX65" si="35">(AW2-AU2)*0.07</f>
        <v>314.54915495984051</v>
      </c>
      <c r="AY2" s="165">
        <v>0</v>
      </c>
      <c r="AZ2" s="166">
        <f t="shared" ref="AZ2:AZ65" si="36">AY2*0%</f>
        <v>0</v>
      </c>
      <c r="BA2" s="33">
        <f t="shared" ref="BA2:BA65" si="37">AW2-AY2+200+AX2</f>
        <v>5008.1085115289898</v>
      </c>
      <c r="BB2" s="167">
        <f t="shared" ref="BB2:BB65" si="38">(BA2-AY2)*0.07</f>
        <v>350.56759580702931</v>
      </c>
      <c r="BC2" s="165">
        <v>0</v>
      </c>
      <c r="BD2" s="166">
        <f t="shared" ref="BD2:BD65" si="39">BC2*0%</f>
        <v>0</v>
      </c>
      <c r="BE2" s="33">
        <f t="shared" ref="BE2:BE65" si="40">BA2-BC2+200+BB2</f>
        <v>5558.6761073360194</v>
      </c>
      <c r="BF2" s="167">
        <f t="shared" ref="BF2:BF65" si="41">(BE2-BC2)*0.07</f>
        <v>389.1073275135214</v>
      </c>
      <c r="BG2" s="165">
        <v>0</v>
      </c>
      <c r="BH2" s="166">
        <f t="shared" ref="BH2:BH65" si="42">BG2*0%</f>
        <v>0</v>
      </c>
      <c r="BI2" s="33">
        <f t="shared" ref="BI2:BI65" si="43">BE2-BG2+200+BF2</f>
        <v>6147.7834348495408</v>
      </c>
      <c r="BJ2" s="167">
        <f t="shared" ref="BJ2:BJ65" si="44">(BI2-BG2)*0.07</f>
        <v>430.34484043946787</v>
      </c>
      <c r="BK2" s="87">
        <f t="shared" ref="BK2:BK65" si="45">O2+S2+W2+AA2+AE2+AI2+AQ2+AM2+AU2+AY2+BC2+BG2</f>
        <v>1800</v>
      </c>
      <c r="BL2" s="33">
        <f>'2021-2022 (B)'!AV2+'2022-2023'!BK2</f>
        <v>9100</v>
      </c>
    </row>
    <row r="3" spans="1:65">
      <c r="A3" s="10" t="s">
        <v>574</v>
      </c>
      <c r="B3" s="121" t="s">
        <v>136</v>
      </c>
      <c r="C3" s="80">
        <v>0</v>
      </c>
      <c r="D3" s="79">
        <f t="shared" si="0"/>
        <v>2400</v>
      </c>
      <c r="E3" s="78">
        <f>'2021-2022 (B)'!E3</f>
        <v>1600</v>
      </c>
      <c r="F3" s="187">
        <f t="shared" si="1"/>
        <v>2400</v>
      </c>
      <c r="G3" s="159">
        <f t="shared" si="2"/>
        <v>200</v>
      </c>
      <c r="H3" s="190">
        <f t="shared" si="3"/>
        <v>2200</v>
      </c>
      <c r="I3" s="78">
        <f t="shared" ref="I3:I65" si="46">H3+L3+E3</f>
        <v>6720.2971673190859</v>
      </c>
      <c r="J3" s="78">
        <f t="shared" si="4"/>
        <v>0</v>
      </c>
      <c r="K3" s="78">
        <f t="shared" si="5"/>
        <v>11</v>
      </c>
      <c r="L3" s="78">
        <f t="shared" si="6"/>
        <v>2920.2971673190855</v>
      </c>
      <c r="M3" s="194">
        <f t="shared" si="7"/>
        <v>2920.2971673190855</v>
      </c>
      <c r="N3" s="78">
        <f t="shared" si="8"/>
        <v>-2709.2971673190855</v>
      </c>
      <c r="O3" s="165">
        <v>200</v>
      </c>
      <c r="P3" s="166">
        <f t="shared" si="9"/>
        <v>0</v>
      </c>
      <c r="Q3" s="119">
        <f t="shared" si="10"/>
        <v>1800</v>
      </c>
      <c r="R3" s="167">
        <f t="shared" si="11"/>
        <v>88</v>
      </c>
      <c r="S3" s="165">
        <v>0</v>
      </c>
      <c r="T3" s="166">
        <f t="shared" si="12"/>
        <v>0</v>
      </c>
      <c r="U3" s="33">
        <f t="shared" si="13"/>
        <v>2088</v>
      </c>
      <c r="V3" s="167">
        <f t="shared" si="14"/>
        <v>114.84</v>
      </c>
      <c r="W3" s="165">
        <v>0</v>
      </c>
      <c r="X3" s="166">
        <f t="shared" si="15"/>
        <v>0</v>
      </c>
      <c r="Y3" s="33">
        <f t="shared" si="16"/>
        <v>2402.84</v>
      </c>
      <c r="Z3" s="167">
        <f t="shared" si="17"/>
        <v>132.15620000000001</v>
      </c>
      <c r="AA3" s="165">
        <v>0</v>
      </c>
      <c r="AB3" s="166">
        <f t="shared" si="18"/>
        <v>0</v>
      </c>
      <c r="AC3" s="33">
        <f t="shared" si="19"/>
        <v>2734.9962</v>
      </c>
      <c r="AD3" s="167">
        <f t="shared" si="20"/>
        <v>150.424791</v>
      </c>
      <c r="AE3" s="165">
        <v>0</v>
      </c>
      <c r="AF3" s="166">
        <f t="shared" si="21"/>
        <v>0</v>
      </c>
      <c r="AG3" s="33">
        <f t="shared" si="22"/>
        <v>3085.420991</v>
      </c>
      <c r="AH3" s="167">
        <f t="shared" si="23"/>
        <v>169.69815450499999</v>
      </c>
      <c r="AI3" s="165">
        <v>0</v>
      </c>
      <c r="AJ3" s="166">
        <f t="shared" si="24"/>
        <v>0</v>
      </c>
      <c r="AK3" s="33">
        <f t="shared" si="25"/>
        <v>3455.1191455049998</v>
      </c>
      <c r="AL3" s="167">
        <f t="shared" si="26"/>
        <v>190.03155300277498</v>
      </c>
      <c r="AM3" s="165">
        <v>0</v>
      </c>
      <c r="AN3" s="166">
        <f t="shared" si="27"/>
        <v>0</v>
      </c>
      <c r="AO3" s="33">
        <f t="shared" si="28"/>
        <v>3845.1506985077749</v>
      </c>
      <c r="AP3" s="167">
        <f t="shared" si="29"/>
        <v>211.48328841792761</v>
      </c>
      <c r="AQ3" s="165">
        <v>0</v>
      </c>
      <c r="AR3" s="166">
        <f t="shared" si="30"/>
        <v>0</v>
      </c>
      <c r="AS3" s="33">
        <f t="shared" si="31"/>
        <v>4256.6339869257026</v>
      </c>
      <c r="AT3" s="167">
        <f t="shared" si="32"/>
        <v>297.96437908479919</v>
      </c>
      <c r="AU3" s="165">
        <v>0</v>
      </c>
      <c r="AV3" s="166">
        <f t="shared" si="33"/>
        <v>0</v>
      </c>
      <c r="AW3" s="33">
        <f t="shared" si="34"/>
        <v>4754.5983660105021</v>
      </c>
      <c r="AX3" s="167">
        <f t="shared" si="35"/>
        <v>332.8218856207352</v>
      </c>
      <c r="AY3" s="165">
        <v>0</v>
      </c>
      <c r="AZ3" s="166">
        <f t="shared" si="36"/>
        <v>0</v>
      </c>
      <c r="BA3" s="33">
        <f t="shared" si="37"/>
        <v>5287.4202516312371</v>
      </c>
      <c r="BB3" s="167">
        <f t="shared" si="38"/>
        <v>370.1194176141866</v>
      </c>
      <c r="BC3" s="165">
        <v>0</v>
      </c>
      <c r="BD3" s="166">
        <f t="shared" si="39"/>
        <v>0</v>
      </c>
      <c r="BE3" s="33">
        <f t="shared" si="40"/>
        <v>5857.5396692454233</v>
      </c>
      <c r="BF3" s="167">
        <f t="shared" si="41"/>
        <v>410.02777684717967</v>
      </c>
      <c r="BG3" s="165">
        <v>0</v>
      </c>
      <c r="BH3" s="166">
        <f t="shared" si="42"/>
        <v>0</v>
      </c>
      <c r="BI3" s="33">
        <f t="shared" si="43"/>
        <v>6467.5674460926029</v>
      </c>
      <c r="BJ3" s="167">
        <f t="shared" si="44"/>
        <v>452.72972122648224</v>
      </c>
      <c r="BK3" s="87">
        <f t="shared" si="45"/>
        <v>200</v>
      </c>
      <c r="BL3" s="33">
        <f>'2021-2022 (B)'!AV3+'2022-2023'!BK3</f>
        <v>8700</v>
      </c>
    </row>
    <row r="4" spans="1:65">
      <c r="A4" s="10" t="s">
        <v>575</v>
      </c>
      <c r="B4" s="121" t="s">
        <v>108</v>
      </c>
      <c r="C4" s="80">
        <v>0</v>
      </c>
      <c r="D4" s="79">
        <f t="shared" si="0"/>
        <v>2400</v>
      </c>
      <c r="E4" s="78">
        <f>'2021-2022 (B)'!E4</f>
        <v>6500</v>
      </c>
      <c r="F4" s="187">
        <f t="shared" si="1"/>
        <v>2400</v>
      </c>
      <c r="G4" s="159">
        <f t="shared" si="2"/>
        <v>0</v>
      </c>
      <c r="H4" s="190">
        <f t="shared" si="3"/>
        <v>2400</v>
      </c>
      <c r="I4" s="78">
        <f t="shared" si="46"/>
        <v>16938.857647134941</v>
      </c>
      <c r="J4" s="78">
        <f t="shared" si="4"/>
        <v>0</v>
      </c>
      <c r="K4" s="78">
        <f t="shared" si="5"/>
        <v>0</v>
      </c>
      <c r="L4" s="78">
        <f t="shared" si="6"/>
        <v>8038.8576471349406</v>
      </c>
      <c r="M4" s="194">
        <f t="shared" si="7"/>
        <v>8038.8576471349406</v>
      </c>
      <c r="N4" s="78">
        <f t="shared" si="8"/>
        <v>-8038.8576471349406</v>
      </c>
      <c r="O4" s="165">
        <v>0</v>
      </c>
      <c r="P4" s="166">
        <f t="shared" si="9"/>
        <v>0</v>
      </c>
      <c r="Q4" s="119">
        <f t="shared" si="10"/>
        <v>6700</v>
      </c>
      <c r="R4" s="167">
        <f t="shared" si="11"/>
        <v>368.5</v>
      </c>
      <c r="S4" s="165">
        <v>0</v>
      </c>
      <c r="T4" s="166">
        <f t="shared" si="12"/>
        <v>0</v>
      </c>
      <c r="U4" s="33">
        <f t="shared" si="13"/>
        <v>7268.5</v>
      </c>
      <c r="V4" s="167">
        <f t="shared" si="14"/>
        <v>399.76749999999998</v>
      </c>
      <c r="W4" s="165">
        <v>0</v>
      </c>
      <c r="X4" s="166">
        <f t="shared" si="15"/>
        <v>0</v>
      </c>
      <c r="Y4" s="33">
        <f t="shared" si="16"/>
        <v>7868.2674999999999</v>
      </c>
      <c r="Z4" s="167">
        <f t="shared" si="17"/>
        <v>432.75471249999998</v>
      </c>
      <c r="AA4" s="165">
        <v>0</v>
      </c>
      <c r="AB4" s="166">
        <f t="shared" si="18"/>
        <v>0</v>
      </c>
      <c r="AC4" s="33">
        <f t="shared" si="19"/>
        <v>8501.0222125</v>
      </c>
      <c r="AD4" s="167">
        <f t="shared" si="20"/>
        <v>467.5562216875</v>
      </c>
      <c r="AE4" s="165">
        <v>0</v>
      </c>
      <c r="AF4" s="166">
        <f t="shared" si="21"/>
        <v>0</v>
      </c>
      <c r="AG4" s="33">
        <f t="shared" si="22"/>
        <v>9168.5784341875005</v>
      </c>
      <c r="AH4" s="167">
        <f t="shared" si="23"/>
        <v>504.27181388031255</v>
      </c>
      <c r="AI4" s="165">
        <v>0</v>
      </c>
      <c r="AJ4" s="166">
        <f t="shared" si="24"/>
        <v>0</v>
      </c>
      <c r="AK4" s="33">
        <f t="shared" si="25"/>
        <v>9872.8502480678126</v>
      </c>
      <c r="AL4" s="167">
        <f t="shared" si="26"/>
        <v>543.00676364372964</v>
      </c>
      <c r="AM4" s="165">
        <v>0</v>
      </c>
      <c r="AN4" s="166">
        <f t="shared" si="27"/>
        <v>0</v>
      </c>
      <c r="AO4" s="33">
        <f t="shared" si="28"/>
        <v>10615.857011711541</v>
      </c>
      <c r="AP4" s="167">
        <f t="shared" si="29"/>
        <v>583.8721356441348</v>
      </c>
      <c r="AQ4" s="165">
        <v>0</v>
      </c>
      <c r="AR4" s="166">
        <f t="shared" si="30"/>
        <v>0</v>
      </c>
      <c r="AS4" s="33">
        <f t="shared" si="31"/>
        <v>11399.729147355676</v>
      </c>
      <c r="AT4" s="167">
        <f t="shared" si="32"/>
        <v>797.98104031489743</v>
      </c>
      <c r="AU4" s="165">
        <v>0</v>
      </c>
      <c r="AV4" s="166">
        <f t="shared" si="33"/>
        <v>0</v>
      </c>
      <c r="AW4" s="33">
        <f t="shared" si="34"/>
        <v>12397.710187670573</v>
      </c>
      <c r="AX4" s="167">
        <f t="shared" si="35"/>
        <v>867.83971313694019</v>
      </c>
      <c r="AY4" s="165">
        <v>0</v>
      </c>
      <c r="AZ4" s="166">
        <f t="shared" si="36"/>
        <v>0</v>
      </c>
      <c r="BA4" s="33">
        <f t="shared" si="37"/>
        <v>13465.549900807513</v>
      </c>
      <c r="BB4" s="167">
        <f t="shared" si="38"/>
        <v>942.58849305652598</v>
      </c>
      <c r="BC4" s="165">
        <v>0</v>
      </c>
      <c r="BD4" s="166">
        <f t="shared" si="39"/>
        <v>0</v>
      </c>
      <c r="BE4" s="33">
        <f t="shared" si="40"/>
        <v>14608.138393864039</v>
      </c>
      <c r="BF4" s="167">
        <f t="shared" si="41"/>
        <v>1022.5696875704829</v>
      </c>
      <c r="BG4" s="165">
        <v>0</v>
      </c>
      <c r="BH4" s="166">
        <f t="shared" si="42"/>
        <v>0</v>
      </c>
      <c r="BI4" s="33">
        <f t="shared" si="43"/>
        <v>15830.708081434523</v>
      </c>
      <c r="BJ4" s="167">
        <f t="shared" si="44"/>
        <v>1108.1495657004166</v>
      </c>
      <c r="BK4" s="87">
        <f t="shared" si="45"/>
        <v>0</v>
      </c>
      <c r="BL4" s="33">
        <f>'2021-2022 (B)'!AV4+'2022-2023'!BK4</f>
        <v>1500</v>
      </c>
    </row>
    <row r="5" spans="1:65">
      <c r="A5" s="10" t="s">
        <v>576</v>
      </c>
      <c r="B5" s="121" t="s">
        <v>109</v>
      </c>
      <c r="C5" s="80">
        <v>0</v>
      </c>
      <c r="D5" s="79">
        <f t="shared" si="0"/>
        <v>2400</v>
      </c>
      <c r="E5" s="78">
        <f>'2021-2022 (B)'!E5</f>
        <v>7800</v>
      </c>
      <c r="F5" s="187">
        <f t="shared" si="1"/>
        <v>2400</v>
      </c>
      <c r="G5" s="159">
        <f t="shared" si="2"/>
        <v>0</v>
      </c>
      <c r="H5" s="190">
        <f t="shared" si="3"/>
        <v>2400</v>
      </c>
      <c r="I5" s="78">
        <f t="shared" si="46"/>
        <v>19591.199254714797</v>
      </c>
      <c r="J5" s="78">
        <f t="shared" si="4"/>
        <v>0</v>
      </c>
      <c r="K5" s="78">
        <f t="shared" si="5"/>
        <v>0</v>
      </c>
      <c r="L5" s="78">
        <f t="shared" si="6"/>
        <v>9391.1992547147966</v>
      </c>
      <c r="M5" s="194">
        <f t="shared" si="7"/>
        <v>9391.1992547147966</v>
      </c>
      <c r="N5" s="78">
        <f t="shared" si="8"/>
        <v>-9391.1992547147966</v>
      </c>
      <c r="O5" s="165">
        <v>0</v>
      </c>
      <c r="P5" s="166">
        <f t="shared" si="9"/>
        <v>0</v>
      </c>
      <c r="Q5" s="119">
        <f t="shared" si="10"/>
        <v>8000</v>
      </c>
      <c r="R5" s="167">
        <f t="shared" si="11"/>
        <v>440</v>
      </c>
      <c r="S5" s="165">
        <v>0</v>
      </c>
      <c r="T5" s="166">
        <f t="shared" si="12"/>
        <v>0</v>
      </c>
      <c r="U5" s="33">
        <f t="shared" si="13"/>
        <v>8640</v>
      </c>
      <c r="V5" s="167">
        <f t="shared" si="14"/>
        <v>475.2</v>
      </c>
      <c r="W5" s="165">
        <v>0</v>
      </c>
      <c r="X5" s="166">
        <f t="shared" si="15"/>
        <v>0</v>
      </c>
      <c r="Y5" s="33">
        <f t="shared" si="16"/>
        <v>9315.2000000000007</v>
      </c>
      <c r="Z5" s="167">
        <f t="shared" si="17"/>
        <v>512.33600000000001</v>
      </c>
      <c r="AA5" s="165">
        <v>0</v>
      </c>
      <c r="AB5" s="166">
        <f t="shared" si="18"/>
        <v>0</v>
      </c>
      <c r="AC5" s="33">
        <f t="shared" si="19"/>
        <v>10027.536</v>
      </c>
      <c r="AD5" s="167">
        <f t="shared" si="20"/>
        <v>551.51448000000005</v>
      </c>
      <c r="AE5" s="165">
        <v>0</v>
      </c>
      <c r="AF5" s="166">
        <f t="shared" si="21"/>
        <v>0</v>
      </c>
      <c r="AG5" s="33">
        <f t="shared" si="22"/>
        <v>10779.05048</v>
      </c>
      <c r="AH5" s="167">
        <f t="shared" si="23"/>
        <v>592.84777640000004</v>
      </c>
      <c r="AI5" s="165">
        <v>0</v>
      </c>
      <c r="AJ5" s="166">
        <f t="shared" si="24"/>
        <v>0</v>
      </c>
      <c r="AK5" s="33">
        <f t="shared" si="25"/>
        <v>11571.8982564</v>
      </c>
      <c r="AL5" s="167">
        <f t="shared" si="26"/>
        <v>636.45440410200001</v>
      </c>
      <c r="AM5" s="165">
        <v>0</v>
      </c>
      <c r="AN5" s="166">
        <f t="shared" si="27"/>
        <v>0</v>
      </c>
      <c r="AO5" s="33">
        <f t="shared" si="28"/>
        <v>12408.352660502</v>
      </c>
      <c r="AP5" s="167">
        <f t="shared" si="29"/>
        <v>682.45939632760997</v>
      </c>
      <c r="AQ5" s="165">
        <v>0</v>
      </c>
      <c r="AR5" s="166">
        <f t="shared" si="30"/>
        <v>0</v>
      </c>
      <c r="AS5" s="33">
        <f t="shared" si="31"/>
        <v>13290.812056829609</v>
      </c>
      <c r="AT5" s="167">
        <f t="shared" si="32"/>
        <v>930.35684397807267</v>
      </c>
      <c r="AU5" s="165">
        <v>0</v>
      </c>
      <c r="AV5" s="166">
        <f t="shared" si="33"/>
        <v>0</v>
      </c>
      <c r="AW5" s="33">
        <f t="shared" si="34"/>
        <v>14421.168900807681</v>
      </c>
      <c r="AX5" s="167">
        <f t="shared" si="35"/>
        <v>1009.4818230565378</v>
      </c>
      <c r="AY5" s="165">
        <v>0</v>
      </c>
      <c r="AZ5" s="166">
        <f t="shared" si="36"/>
        <v>0</v>
      </c>
      <c r="BA5" s="33">
        <f t="shared" si="37"/>
        <v>15630.650723864219</v>
      </c>
      <c r="BB5" s="167">
        <f t="shared" si="38"/>
        <v>1094.1455506704954</v>
      </c>
      <c r="BC5" s="165">
        <v>0</v>
      </c>
      <c r="BD5" s="166">
        <f t="shared" si="39"/>
        <v>0</v>
      </c>
      <c r="BE5" s="33">
        <f t="shared" si="40"/>
        <v>16924.796274534714</v>
      </c>
      <c r="BF5" s="167">
        <f t="shared" si="41"/>
        <v>1184.7357392174301</v>
      </c>
      <c r="BG5" s="165">
        <v>0</v>
      </c>
      <c r="BH5" s="166">
        <f t="shared" si="42"/>
        <v>0</v>
      </c>
      <c r="BI5" s="33">
        <f t="shared" si="43"/>
        <v>18309.532013752145</v>
      </c>
      <c r="BJ5" s="167">
        <f t="shared" si="44"/>
        <v>1281.6672409626503</v>
      </c>
      <c r="BK5" s="87">
        <f t="shared" si="45"/>
        <v>0</v>
      </c>
      <c r="BL5" s="33">
        <f>'2021-2022 (B)'!AV5+'2022-2023'!BK5</f>
        <v>200</v>
      </c>
    </row>
    <row r="6" spans="1:65" s="85" customFormat="1">
      <c r="A6" s="10" t="s">
        <v>577</v>
      </c>
      <c r="B6" s="121" t="s">
        <v>110</v>
      </c>
      <c r="C6" s="80">
        <v>0</v>
      </c>
      <c r="D6" s="79">
        <f t="shared" si="0"/>
        <v>2400</v>
      </c>
      <c r="E6" s="78">
        <f>'2021-2022 (B)'!E6</f>
        <v>2561.33</v>
      </c>
      <c r="F6" s="187">
        <f t="shared" si="1"/>
        <v>2400</v>
      </c>
      <c r="G6" s="159">
        <f t="shared" si="2"/>
        <v>0</v>
      </c>
      <c r="H6" s="190">
        <f t="shared" si="3"/>
        <v>2400</v>
      </c>
      <c r="I6" s="78">
        <f t="shared" si="46"/>
        <v>8902.9358628837472</v>
      </c>
      <c r="J6" s="78">
        <f t="shared" si="4"/>
        <v>0</v>
      </c>
      <c r="K6" s="78">
        <f t="shared" si="5"/>
        <v>0</v>
      </c>
      <c r="L6" s="78">
        <f t="shared" si="6"/>
        <v>3941.6058628837463</v>
      </c>
      <c r="M6" s="194">
        <f t="shared" si="7"/>
        <v>3941.6058628837463</v>
      </c>
      <c r="N6" s="78">
        <f t="shared" si="8"/>
        <v>-3941.6058628837463</v>
      </c>
      <c r="O6" s="165">
        <v>0</v>
      </c>
      <c r="P6" s="166">
        <f t="shared" si="9"/>
        <v>0</v>
      </c>
      <c r="Q6" s="119">
        <f t="shared" si="10"/>
        <v>2761.33</v>
      </c>
      <c r="R6" s="167">
        <f t="shared" si="11"/>
        <v>151.87315000000001</v>
      </c>
      <c r="S6" s="165">
        <v>0</v>
      </c>
      <c r="T6" s="166">
        <f t="shared" si="12"/>
        <v>0</v>
      </c>
      <c r="U6" s="33">
        <f t="shared" si="13"/>
        <v>3113.2031499999998</v>
      </c>
      <c r="V6" s="167">
        <f t="shared" si="14"/>
        <v>171.22617324999999</v>
      </c>
      <c r="W6" s="165">
        <v>0</v>
      </c>
      <c r="X6" s="166">
        <f t="shared" si="15"/>
        <v>0</v>
      </c>
      <c r="Y6" s="33">
        <f t="shared" si="16"/>
        <v>3484.4293232499999</v>
      </c>
      <c r="Z6" s="167">
        <f t="shared" si="17"/>
        <v>191.64361277875</v>
      </c>
      <c r="AA6" s="165">
        <v>0</v>
      </c>
      <c r="AB6" s="166">
        <f t="shared" si="18"/>
        <v>0</v>
      </c>
      <c r="AC6" s="33">
        <f t="shared" si="19"/>
        <v>3876.0729360287501</v>
      </c>
      <c r="AD6" s="167">
        <f t="shared" si="20"/>
        <v>213.18401148158125</v>
      </c>
      <c r="AE6" s="165">
        <v>0</v>
      </c>
      <c r="AF6" s="166">
        <f t="shared" si="21"/>
        <v>0</v>
      </c>
      <c r="AG6" s="33">
        <f t="shared" si="22"/>
        <v>4289.256947510331</v>
      </c>
      <c r="AH6" s="167">
        <f t="shared" si="23"/>
        <v>235.90913211306821</v>
      </c>
      <c r="AI6" s="165">
        <v>0</v>
      </c>
      <c r="AJ6" s="166">
        <f t="shared" si="24"/>
        <v>0</v>
      </c>
      <c r="AK6" s="33">
        <f t="shared" si="25"/>
        <v>4725.1660796233991</v>
      </c>
      <c r="AL6" s="167">
        <f t="shared" si="26"/>
        <v>259.88413437928693</v>
      </c>
      <c r="AM6" s="165">
        <v>0</v>
      </c>
      <c r="AN6" s="166">
        <f t="shared" si="27"/>
        <v>0</v>
      </c>
      <c r="AO6" s="33">
        <f t="shared" si="28"/>
        <v>5185.0502140026856</v>
      </c>
      <c r="AP6" s="167">
        <f t="shared" si="29"/>
        <v>285.1777617701477</v>
      </c>
      <c r="AQ6" s="165">
        <v>0</v>
      </c>
      <c r="AR6" s="166">
        <f t="shared" si="30"/>
        <v>0</v>
      </c>
      <c r="AS6" s="33">
        <f t="shared" si="31"/>
        <v>5670.2279757728329</v>
      </c>
      <c r="AT6" s="167">
        <f t="shared" si="32"/>
        <v>396.91595830409835</v>
      </c>
      <c r="AU6" s="165">
        <v>0</v>
      </c>
      <c r="AV6" s="166">
        <f t="shared" si="33"/>
        <v>0</v>
      </c>
      <c r="AW6" s="33">
        <f t="shared" si="34"/>
        <v>6267.1439340769311</v>
      </c>
      <c r="AX6" s="167">
        <f t="shared" si="35"/>
        <v>438.70007538538522</v>
      </c>
      <c r="AY6" s="165">
        <v>0</v>
      </c>
      <c r="AZ6" s="166">
        <f t="shared" si="36"/>
        <v>0</v>
      </c>
      <c r="BA6" s="33">
        <f t="shared" si="37"/>
        <v>6905.8440094623165</v>
      </c>
      <c r="BB6" s="167">
        <f t="shared" si="38"/>
        <v>483.40908066236221</v>
      </c>
      <c r="BC6" s="165">
        <v>0</v>
      </c>
      <c r="BD6" s="166">
        <f t="shared" si="39"/>
        <v>0</v>
      </c>
      <c r="BE6" s="33">
        <f t="shared" si="40"/>
        <v>7589.2530901246791</v>
      </c>
      <c r="BF6" s="167">
        <f t="shared" si="41"/>
        <v>531.2477163087276</v>
      </c>
      <c r="BG6" s="165">
        <v>0</v>
      </c>
      <c r="BH6" s="166">
        <f t="shared" si="42"/>
        <v>0</v>
      </c>
      <c r="BI6" s="33">
        <f t="shared" si="43"/>
        <v>8320.500806433407</v>
      </c>
      <c r="BJ6" s="167">
        <f t="shared" si="44"/>
        <v>582.43505645033849</v>
      </c>
      <c r="BK6" s="87">
        <f t="shared" si="45"/>
        <v>0</v>
      </c>
      <c r="BL6" s="33">
        <f>'2021-2022 (B)'!AV6+'2022-2023'!BK6</f>
        <v>5438.67</v>
      </c>
      <c r="BM6" s="17"/>
    </row>
    <row r="7" spans="1:65">
      <c r="A7" s="10" t="s">
        <v>578</v>
      </c>
      <c r="B7" s="121" t="s">
        <v>137</v>
      </c>
      <c r="C7" s="80">
        <v>0</v>
      </c>
      <c r="D7" s="79">
        <f t="shared" si="0"/>
        <v>2400</v>
      </c>
      <c r="E7" s="78">
        <f>'2021-2022 (B)'!E7</f>
        <v>3000</v>
      </c>
      <c r="F7" s="187">
        <f t="shared" si="1"/>
        <v>2400</v>
      </c>
      <c r="G7" s="159">
        <f t="shared" si="2"/>
        <v>0</v>
      </c>
      <c r="H7" s="190">
        <f t="shared" si="3"/>
        <v>2400</v>
      </c>
      <c r="I7" s="78">
        <f t="shared" si="46"/>
        <v>9797.9379344199442</v>
      </c>
      <c r="J7" s="78">
        <f t="shared" si="4"/>
        <v>0</v>
      </c>
      <c r="K7" s="78">
        <f t="shared" si="5"/>
        <v>0</v>
      </c>
      <c r="L7" s="78">
        <f t="shared" si="6"/>
        <v>4397.9379344199442</v>
      </c>
      <c r="M7" s="194">
        <f t="shared" si="7"/>
        <v>4397.9379344199442</v>
      </c>
      <c r="N7" s="78">
        <f t="shared" si="8"/>
        <v>-4397.9379344199442</v>
      </c>
      <c r="O7" s="165">
        <v>0</v>
      </c>
      <c r="P7" s="166">
        <f t="shared" si="9"/>
        <v>0</v>
      </c>
      <c r="Q7" s="119">
        <f t="shared" si="10"/>
        <v>3200</v>
      </c>
      <c r="R7" s="167">
        <f t="shared" si="11"/>
        <v>176</v>
      </c>
      <c r="S7" s="165">
        <v>0</v>
      </c>
      <c r="T7" s="166">
        <f t="shared" si="12"/>
        <v>0</v>
      </c>
      <c r="U7" s="33">
        <f t="shared" si="13"/>
        <v>3576</v>
      </c>
      <c r="V7" s="167">
        <f t="shared" si="14"/>
        <v>196.68</v>
      </c>
      <c r="W7" s="165">
        <v>0</v>
      </c>
      <c r="X7" s="166">
        <f t="shared" si="15"/>
        <v>0</v>
      </c>
      <c r="Y7" s="33">
        <f t="shared" si="16"/>
        <v>3972.68</v>
      </c>
      <c r="Z7" s="167">
        <f t="shared" si="17"/>
        <v>218.4974</v>
      </c>
      <c r="AA7" s="165">
        <v>0</v>
      </c>
      <c r="AB7" s="166">
        <f t="shared" si="18"/>
        <v>0</v>
      </c>
      <c r="AC7" s="33">
        <f t="shared" si="19"/>
        <v>4391.1774000000005</v>
      </c>
      <c r="AD7" s="167">
        <f t="shared" si="20"/>
        <v>241.51475700000003</v>
      </c>
      <c r="AE7" s="165">
        <v>0</v>
      </c>
      <c r="AF7" s="166">
        <f t="shared" si="21"/>
        <v>0</v>
      </c>
      <c r="AG7" s="33">
        <f t="shared" si="22"/>
        <v>4832.6921570000004</v>
      </c>
      <c r="AH7" s="167">
        <f t="shared" si="23"/>
        <v>265.79806863500005</v>
      </c>
      <c r="AI7" s="165">
        <v>0</v>
      </c>
      <c r="AJ7" s="166">
        <f t="shared" si="24"/>
        <v>0</v>
      </c>
      <c r="AK7" s="33">
        <f t="shared" si="25"/>
        <v>5298.4902256350006</v>
      </c>
      <c r="AL7" s="167">
        <f t="shared" si="26"/>
        <v>291.41696240992502</v>
      </c>
      <c r="AM7" s="165">
        <v>0</v>
      </c>
      <c r="AN7" s="166">
        <f t="shared" si="27"/>
        <v>0</v>
      </c>
      <c r="AO7" s="33">
        <f t="shared" si="28"/>
        <v>5789.9071880449255</v>
      </c>
      <c r="AP7" s="167">
        <f t="shared" si="29"/>
        <v>318.44489534247089</v>
      </c>
      <c r="AQ7" s="165">
        <v>0</v>
      </c>
      <c r="AR7" s="166">
        <f t="shared" si="30"/>
        <v>0</v>
      </c>
      <c r="AS7" s="33">
        <f t="shared" si="31"/>
        <v>6308.3520833873963</v>
      </c>
      <c r="AT7" s="167">
        <f t="shared" si="32"/>
        <v>441.58464583711776</v>
      </c>
      <c r="AU7" s="165">
        <v>0</v>
      </c>
      <c r="AV7" s="166">
        <f t="shared" si="33"/>
        <v>0</v>
      </c>
      <c r="AW7" s="33">
        <f t="shared" si="34"/>
        <v>6949.9367292245142</v>
      </c>
      <c r="AX7" s="167">
        <f t="shared" si="35"/>
        <v>486.49557104571602</v>
      </c>
      <c r="AY7" s="165">
        <v>0</v>
      </c>
      <c r="AZ7" s="166">
        <f t="shared" si="36"/>
        <v>0</v>
      </c>
      <c r="BA7" s="33">
        <f t="shared" si="37"/>
        <v>7636.4323002702304</v>
      </c>
      <c r="BB7" s="167">
        <f t="shared" si="38"/>
        <v>534.55026101891622</v>
      </c>
      <c r="BC7" s="165">
        <v>0</v>
      </c>
      <c r="BD7" s="166">
        <f t="shared" si="39"/>
        <v>0</v>
      </c>
      <c r="BE7" s="33">
        <f t="shared" si="40"/>
        <v>8370.9825612891473</v>
      </c>
      <c r="BF7" s="167">
        <f t="shared" si="41"/>
        <v>585.96877929024038</v>
      </c>
      <c r="BG7" s="165">
        <v>0</v>
      </c>
      <c r="BH7" s="166">
        <f t="shared" si="42"/>
        <v>0</v>
      </c>
      <c r="BI7" s="33">
        <f t="shared" si="43"/>
        <v>9156.9513405793878</v>
      </c>
      <c r="BJ7" s="167">
        <f t="shared" si="44"/>
        <v>640.98659384055725</v>
      </c>
      <c r="BK7" s="87">
        <f t="shared" si="45"/>
        <v>0</v>
      </c>
      <c r="BL7" s="33">
        <f>'2021-2022 (B)'!AV7+'2022-2023'!BK7</f>
        <v>5600</v>
      </c>
    </row>
    <row r="8" spans="1:65" s="41" customFormat="1">
      <c r="A8" s="10" t="s">
        <v>579</v>
      </c>
      <c r="B8" s="10" t="s">
        <v>175</v>
      </c>
      <c r="C8" s="80">
        <v>0</v>
      </c>
      <c r="D8" s="79">
        <f t="shared" si="0"/>
        <v>2400</v>
      </c>
      <c r="E8" s="78">
        <f>'2021-2022 (B)'!E8</f>
        <v>8000</v>
      </c>
      <c r="F8" s="187">
        <f t="shared" si="1"/>
        <v>2400</v>
      </c>
      <c r="G8" s="159">
        <f t="shared" si="2"/>
        <v>0</v>
      </c>
      <c r="H8" s="190">
        <f t="shared" si="3"/>
        <v>2400</v>
      </c>
      <c r="I8" s="78">
        <f t="shared" si="46"/>
        <v>19999.251809727084</v>
      </c>
      <c r="J8" s="78">
        <f t="shared" si="4"/>
        <v>0</v>
      </c>
      <c r="K8" s="78">
        <f t="shared" si="5"/>
        <v>0</v>
      </c>
      <c r="L8" s="78">
        <f t="shared" si="6"/>
        <v>9599.251809727084</v>
      </c>
      <c r="M8" s="194">
        <f t="shared" si="7"/>
        <v>9599.251809727084</v>
      </c>
      <c r="N8" s="78">
        <f t="shared" si="8"/>
        <v>-9599.251809727084</v>
      </c>
      <c r="O8" s="165">
        <v>0</v>
      </c>
      <c r="P8" s="166">
        <f t="shared" si="9"/>
        <v>0</v>
      </c>
      <c r="Q8" s="119">
        <f t="shared" si="10"/>
        <v>8200</v>
      </c>
      <c r="R8" s="167">
        <f t="shared" si="11"/>
        <v>451</v>
      </c>
      <c r="S8" s="165">
        <v>0</v>
      </c>
      <c r="T8" s="166">
        <f t="shared" si="12"/>
        <v>0</v>
      </c>
      <c r="U8" s="33">
        <f t="shared" si="13"/>
        <v>8851</v>
      </c>
      <c r="V8" s="167">
        <f t="shared" si="14"/>
        <v>486.80500000000001</v>
      </c>
      <c r="W8" s="165">
        <v>0</v>
      </c>
      <c r="X8" s="166">
        <f t="shared" si="15"/>
        <v>0</v>
      </c>
      <c r="Y8" s="33">
        <f t="shared" si="16"/>
        <v>9537.8050000000003</v>
      </c>
      <c r="Z8" s="167">
        <f t="shared" si="17"/>
        <v>524.57927500000005</v>
      </c>
      <c r="AA8" s="165">
        <v>0</v>
      </c>
      <c r="AB8" s="166">
        <f t="shared" si="18"/>
        <v>0</v>
      </c>
      <c r="AC8" s="33">
        <f t="shared" si="19"/>
        <v>10262.384275</v>
      </c>
      <c r="AD8" s="167">
        <f t="shared" si="20"/>
        <v>564.43113512499997</v>
      </c>
      <c r="AE8" s="165">
        <v>0</v>
      </c>
      <c r="AF8" s="166">
        <f t="shared" si="21"/>
        <v>0</v>
      </c>
      <c r="AG8" s="33">
        <f t="shared" si="22"/>
        <v>11026.815410125</v>
      </c>
      <c r="AH8" s="167">
        <f t="shared" si="23"/>
        <v>606.47484755687503</v>
      </c>
      <c r="AI8" s="165">
        <v>0</v>
      </c>
      <c r="AJ8" s="166">
        <f t="shared" si="24"/>
        <v>0</v>
      </c>
      <c r="AK8" s="33">
        <f t="shared" si="25"/>
        <v>11833.290257681876</v>
      </c>
      <c r="AL8" s="167">
        <f t="shared" si="26"/>
        <v>650.83096417250317</v>
      </c>
      <c r="AM8" s="165">
        <v>0</v>
      </c>
      <c r="AN8" s="166">
        <f t="shared" si="27"/>
        <v>0</v>
      </c>
      <c r="AO8" s="33">
        <f t="shared" si="28"/>
        <v>12684.121221854379</v>
      </c>
      <c r="AP8" s="167">
        <f t="shared" si="29"/>
        <v>697.62666720199081</v>
      </c>
      <c r="AQ8" s="165">
        <v>0</v>
      </c>
      <c r="AR8" s="166">
        <f t="shared" si="30"/>
        <v>0</v>
      </c>
      <c r="AS8" s="33">
        <f t="shared" si="31"/>
        <v>13581.747889056369</v>
      </c>
      <c r="AT8" s="167">
        <f t="shared" si="32"/>
        <v>950.72235223394591</v>
      </c>
      <c r="AU8" s="165">
        <v>0</v>
      </c>
      <c r="AV8" s="166">
        <f t="shared" si="33"/>
        <v>0</v>
      </c>
      <c r="AW8" s="33">
        <f t="shared" si="34"/>
        <v>14732.470241290315</v>
      </c>
      <c r="AX8" s="167">
        <f t="shared" si="35"/>
        <v>1031.2729168903222</v>
      </c>
      <c r="AY8" s="165">
        <v>0</v>
      </c>
      <c r="AZ8" s="166">
        <f t="shared" si="36"/>
        <v>0</v>
      </c>
      <c r="BA8" s="33">
        <f t="shared" si="37"/>
        <v>15963.743158180638</v>
      </c>
      <c r="BB8" s="167">
        <f t="shared" si="38"/>
        <v>1117.4620210726448</v>
      </c>
      <c r="BC8" s="165">
        <v>0</v>
      </c>
      <c r="BD8" s="166">
        <f t="shared" si="39"/>
        <v>0</v>
      </c>
      <c r="BE8" s="33">
        <f t="shared" si="40"/>
        <v>17281.205179253284</v>
      </c>
      <c r="BF8" s="167">
        <f t="shared" si="41"/>
        <v>1209.68436254773</v>
      </c>
      <c r="BG8" s="165">
        <v>0</v>
      </c>
      <c r="BH8" s="166">
        <f t="shared" si="42"/>
        <v>0</v>
      </c>
      <c r="BI8" s="33">
        <f t="shared" si="43"/>
        <v>18690.889541801014</v>
      </c>
      <c r="BJ8" s="167">
        <f t="shared" si="44"/>
        <v>1308.3622679260711</v>
      </c>
      <c r="BK8" s="87">
        <f t="shared" si="45"/>
        <v>0</v>
      </c>
      <c r="BL8" s="33">
        <f>'2021-2022 (B)'!AV8+'2022-2023'!BK8</f>
        <v>0</v>
      </c>
    </row>
    <row r="9" spans="1:65">
      <c r="A9" s="10" t="s">
        <v>580</v>
      </c>
      <c r="B9" s="10" t="s">
        <v>111</v>
      </c>
      <c r="C9" s="80">
        <v>0</v>
      </c>
      <c r="D9" s="79">
        <f t="shared" si="0"/>
        <v>2400</v>
      </c>
      <c r="E9" s="78">
        <f>'2021-2022 (B)'!E9</f>
        <v>5900</v>
      </c>
      <c r="F9" s="187">
        <f t="shared" si="1"/>
        <v>2400</v>
      </c>
      <c r="G9" s="159">
        <f t="shared" si="2"/>
        <v>0</v>
      </c>
      <c r="H9" s="190">
        <f t="shared" si="3"/>
        <v>2400</v>
      </c>
      <c r="I9" s="78">
        <f t="shared" si="46"/>
        <v>15714.699982098082</v>
      </c>
      <c r="J9" s="78">
        <f t="shared" si="4"/>
        <v>0</v>
      </c>
      <c r="K9" s="78">
        <f t="shared" si="5"/>
        <v>0</v>
      </c>
      <c r="L9" s="78">
        <f t="shared" si="6"/>
        <v>7414.6999820980827</v>
      </c>
      <c r="M9" s="194">
        <f t="shared" si="7"/>
        <v>7414.6999820980827</v>
      </c>
      <c r="N9" s="78">
        <f t="shared" si="8"/>
        <v>-7414.6999820980827</v>
      </c>
      <c r="O9" s="165">
        <v>0</v>
      </c>
      <c r="P9" s="166">
        <f t="shared" si="9"/>
        <v>0</v>
      </c>
      <c r="Q9" s="119">
        <f t="shared" si="10"/>
        <v>6100</v>
      </c>
      <c r="R9" s="167">
        <f t="shared" si="11"/>
        <v>335.5</v>
      </c>
      <c r="S9" s="165">
        <v>0</v>
      </c>
      <c r="T9" s="166">
        <f t="shared" si="12"/>
        <v>0</v>
      </c>
      <c r="U9" s="33">
        <f t="shared" si="13"/>
        <v>6635.5</v>
      </c>
      <c r="V9" s="167">
        <f t="shared" si="14"/>
        <v>364.95249999999999</v>
      </c>
      <c r="W9" s="165">
        <v>0</v>
      </c>
      <c r="X9" s="166">
        <f t="shared" si="15"/>
        <v>0</v>
      </c>
      <c r="Y9" s="33">
        <f t="shared" si="16"/>
        <v>7200.4525000000003</v>
      </c>
      <c r="Z9" s="167">
        <f t="shared" si="17"/>
        <v>396.02488750000003</v>
      </c>
      <c r="AA9" s="165">
        <v>0</v>
      </c>
      <c r="AB9" s="166">
        <f t="shared" si="18"/>
        <v>0</v>
      </c>
      <c r="AC9" s="33">
        <f t="shared" si="19"/>
        <v>7796.4773875000001</v>
      </c>
      <c r="AD9" s="167">
        <f t="shared" si="20"/>
        <v>428.80625631250001</v>
      </c>
      <c r="AE9" s="165">
        <v>0</v>
      </c>
      <c r="AF9" s="166">
        <f t="shared" si="21"/>
        <v>0</v>
      </c>
      <c r="AG9" s="33">
        <f t="shared" si="22"/>
        <v>8425.2836438124996</v>
      </c>
      <c r="AH9" s="167">
        <f t="shared" si="23"/>
        <v>463.39060040968747</v>
      </c>
      <c r="AI9" s="165">
        <v>0</v>
      </c>
      <c r="AJ9" s="166">
        <f t="shared" si="24"/>
        <v>0</v>
      </c>
      <c r="AK9" s="33">
        <f t="shared" si="25"/>
        <v>9088.6742442221876</v>
      </c>
      <c r="AL9" s="167">
        <f t="shared" si="26"/>
        <v>499.87708343222033</v>
      </c>
      <c r="AM9" s="165">
        <v>0</v>
      </c>
      <c r="AN9" s="166">
        <f t="shared" si="27"/>
        <v>0</v>
      </c>
      <c r="AO9" s="33">
        <f t="shared" si="28"/>
        <v>9788.5513276544079</v>
      </c>
      <c r="AP9" s="167">
        <f t="shared" si="29"/>
        <v>538.37032302099249</v>
      </c>
      <c r="AQ9" s="165">
        <v>0</v>
      </c>
      <c r="AR9" s="166">
        <f t="shared" si="30"/>
        <v>0</v>
      </c>
      <c r="AS9" s="33">
        <f t="shared" si="31"/>
        <v>10526.9216506754</v>
      </c>
      <c r="AT9" s="167">
        <f t="shared" si="32"/>
        <v>736.88451554727806</v>
      </c>
      <c r="AU9" s="165">
        <v>0</v>
      </c>
      <c r="AV9" s="166">
        <f t="shared" si="33"/>
        <v>0</v>
      </c>
      <c r="AW9" s="33">
        <f t="shared" si="34"/>
        <v>11463.806166222677</v>
      </c>
      <c r="AX9" s="167">
        <f t="shared" si="35"/>
        <v>802.46643163558747</v>
      </c>
      <c r="AY9" s="165">
        <v>0</v>
      </c>
      <c r="AZ9" s="166">
        <f t="shared" si="36"/>
        <v>0</v>
      </c>
      <c r="BA9" s="33">
        <f t="shared" si="37"/>
        <v>12466.272597858264</v>
      </c>
      <c r="BB9" s="167">
        <f t="shared" si="38"/>
        <v>872.63908185007858</v>
      </c>
      <c r="BC9" s="165">
        <v>0</v>
      </c>
      <c r="BD9" s="166">
        <f t="shared" si="39"/>
        <v>0</v>
      </c>
      <c r="BE9" s="33">
        <f t="shared" si="40"/>
        <v>13538.911679708342</v>
      </c>
      <c r="BF9" s="167">
        <f t="shared" si="41"/>
        <v>947.72381757958408</v>
      </c>
      <c r="BG9" s="165">
        <v>0</v>
      </c>
      <c r="BH9" s="166">
        <f t="shared" si="42"/>
        <v>0</v>
      </c>
      <c r="BI9" s="33">
        <f t="shared" si="43"/>
        <v>14686.635497287927</v>
      </c>
      <c r="BJ9" s="167">
        <f t="shared" si="44"/>
        <v>1028.0644848101549</v>
      </c>
      <c r="BK9" s="87">
        <f t="shared" si="45"/>
        <v>0</v>
      </c>
      <c r="BL9" s="33">
        <f>'2021-2022 (B)'!AV9+'2022-2023'!BK9</f>
        <v>2300</v>
      </c>
    </row>
    <row r="10" spans="1:65">
      <c r="A10" s="10" t="s">
        <v>581</v>
      </c>
      <c r="B10" s="10" t="s">
        <v>112</v>
      </c>
      <c r="C10" s="80">
        <v>0</v>
      </c>
      <c r="D10" s="79">
        <f t="shared" si="0"/>
        <v>2400</v>
      </c>
      <c r="E10" s="78">
        <f>'2021-2022 (B)'!E10</f>
        <v>2900</v>
      </c>
      <c r="F10" s="187">
        <f t="shared" si="1"/>
        <v>2400</v>
      </c>
      <c r="G10" s="159">
        <f t="shared" si="2"/>
        <v>0</v>
      </c>
      <c r="H10" s="190">
        <f t="shared" si="3"/>
        <v>2400</v>
      </c>
      <c r="I10" s="78">
        <f t="shared" si="46"/>
        <v>9593.9116569138005</v>
      </c>
      <c r="J10" s="78">
        <f t="shared" si="4"/>
        <v>0</v>
      </c>
      <c r="K10" s="78">
        <f t="shared" si="5"/>
        <v>0</v>
      </c>
      <c r="L10" s="78">
        <f t="shared" si="6"/>
        <v>4293.9116569138005</v>
      </c>
      <c r="M10" s="194">
        <f t="shared" si="7"/>
        <v>4293.9116569138005</v>
      </c>
      <c r="N10" s="78">
        <f t="shared" si="8"/>
        <v>-4293.9116569138005</v>
      </c>
      <c r="O10" s="165">
        <v>0</v>
      </c>
      <c r="P10" s="166">
        <f t="shared" si="9"/>
        <v>0</v>
      </c>
      <c r="Q10" s="119">
        <f t="shared" si="10"/>
        <v>3100</v>
      </c>
      <c r="R10" s="167">
        <f t="shared" si="11"/>
        <v>170.5</v>
      </c>
      <c r="S10" s="165">
        <v>0</v>
      </c>
      <c r="T10" s="166">
        <f t="shared" si="12"/>
        <v>0</v>
      </c>
      <c r="U10" s="33">
        <f t="shared" si="13"/>
        <v>3470.5</v>
      </c>
      <c r="V10" s="167">
        <f t="shared" si="14"/>
        <v>190.8775</v>
      </c>
      <c r="W10" s="165">
        <v>0</v>
      </c>
      <c r="X10" s="166">
        <f t="shared" si="15"/>
        <v>0</v>
      </c>
      <c r="Y10" s="33">
        <f t="shared" si="16"/>
        <v>3861.3775000000001</v>
      </c>
      <c r="Z10" s="167">
        <f t="shared" si="17"/>
        <v>212.37576250000001</v>
      </c>
      <c r="AA10" s="165">
        <v>0</v>
      </c>
      <c r="AB10" s="166">
        <f t="shared" si="18"/>
        <v>0</v>
      </c>
      <c r="AC10" s="33">
        <f t="shared" si="19"/>
        <v>4273.7532625000003</v>
      </c>
      <c r="AD10" s="167">
        <f t="shared" si="20"/>
        <v>235.05642943750001</v>
      </c>
      <c r="AE10" s="165">
        <v>0</v>
      </c>
      <c r="AF10" s="166">
        <f t="shared" si="21"/>
        <v>0</v>
      </c>
      <c r="AG10" s="33">
        <f t="shared" si="22"/>
        <v>4708.8096919375002</v>
      </c>
      <c r="AH10" s="167">
        <f t="shared" si="23"/>
        <v>258.9845330565625</v>
      </c>
      <c r="AI10" s="165">
        <v>0</v>
      </c>
      <c r="AJ10" s="166">
        <f t="shared" si="24"/>
        <v>0</v>
      </c>
      <c r="AK10" s="33">
        <f t="shared" si="25"/>
        <v>5167.7942249940625</v>
      </c>
      <c r="AL10" s="167">
        <f t="shared" si="26"/>
        <v>284.22868237467344</v>
      </c>
      <c r="AM10" s="165">
        <v>0</v>
      </c>
      <c r="AN10" s="166">
        <f t="shared" si="27"/>
        <v>0</v>
      </c>
      <c r="AO10" s="33">
        <f t="shared" si="28"/>
        <v>5652.022907368736</v>
      </c>
      <c r="AP10" s="167">
        <f t="shared" si="29"/>
        <v>310.86125990528046</v>
      </c>
      <c r="AQ10" s="165">
        <v>0</v>
      </c>
      <c r="AR10" s="166">
        <f t="shared" si="30"/>
        <v>0</v>
      </c>
      <c r="AS10" s="33">
        <f t="shared" si="31"/>
        <v>6162.8841672740164</v>
      </c>
      <c r="AT10" s="167">
        <f t="shared" si="32"/>
        <v>431.4018917091812</v>
      </c>
      <c r="AU10" s="165">
        <v>0</v>
      </c>
      <c r="AV10" s="166">
        <f t="shared" si="33"/>
        <v>0</v>
      </c>
      <c r="AW10" s="33">
        <f t="shared" si="34"/>
        <v>6794.286058983198</v>
      </c>
      <c r="AX10" s="167">
        <f t="shared" si="35"/>
        <v>475.60002412882392</v>
      </c>
      <c r="AY10" s="165">
        <v>0</v>
      </c>
      <c r="AZ10" s="166">
        <f t="shared" si="36"/>
        <v>0</v>
      </c>
      <c r="BA10" s="33">
        <f t="shared" si="37"/>
        <v>7469.8860831120219</v>
      </c>
      <c r="BB10" s="167">
        <f t="shared" si="38"/>
        <v>522.89202581784161</v>
      </c>
      <c r="BC10" s="165">
        <v>0</v>
      </c>
      <c r="BD10" s="166">
        <f t="shared" si="39"/>
        <v>0</v>
      </c>
      <c r="BE10" s="33">
        <f t="shared" si="40"/>
        <v>8192.7781089298642</v>
      </c>
      <c r="BF10" s="167">
        <f t="shared" si="41"/>
        <v>573.49446762509058</v>
      </c>
      <c r="BG10" s="165">
        <v>0</v>
      </c>
      <c r="BH10" s="166">
        <f t="shared" si="42"/>
        <v>0</v>
      </c>
      <c r="BI10" s="33">
        <f t="shared" si="43"/>
        <v>8966.2725765549549</v>
      </c>
      <c r="BJ10" s="167">
        <f t="shared" si="44"/>
        <v>627.63908035884685</v>
      </c>
      <c r="BK10" s="87">
        <f t="shared" si="45"/>
        <v>0</v>
      </c>
      <c r="BL10" s="33">
        <f>'2021-2022 (B)'!AV10+'2022-2023'!BK10</f>
        <v>5100</v>
      </c>
    </row>
    <row r="11" spans="1:65">
      <c r="A11" s="10" t="s">
        <v>582</v>
      </c>
      <c r="B11" s="10" t="s">
        <v>138</v>
      </c>
      <c r="C11" s="80">
        <v>0</v>
      </c>
      <c r="D11" s="79">
        <f t="shared" si="0"/>
        <v>2400</v>
      </c>
      <c r="E11" s="78">
        <f>'2021-2022 (B)'!E11</f>
        <v>6500</v>
      </c>
      <c r="F11" s="187">
        <f t="shared" si="1"/>
        <v>2400</v>
      </c>
      <c r="G11" s="159">
        <f t="shared" si="2"/>
        <v>1100</v>
      </c>
      <c r="H11" s="190">
        <f t="shared" si="3"/>
        <v>1300</v>
      </c>
      <c r="I11" s="78">
        <f t="shared" si="46"/>
        <v>15257.680145575805</v>
      </c>
      <c r="J11" s="78">
        <f t="shared" si="4"/>
        <v>0</v>
      </c>
      <c r="K11" s="78">
        <f t="shared" si="5"/>
        <v>60.5</v>
      </c>
      <c r="L11" s="78">
        <f t="shared" si="6"/>
        <v>7457.680145575805</v>
      </c>
      <c r="M11" s="194">
        <f t="shared" si="7"/>
        <v>7457.680145575805</v>
      </c>
      <c r="N11" s="78">
        <f t="shared" si="8"/>
        <v>-6297.180145575805</v>
      </c>
      <c r="O11" s="165">
        <v>600</v>
      </c>
      <c r="P11" s="166">
        <f t="shared" si="9"/>
        <v>0</v>
      </c>
      <c r="Q11" s="119">
        <f t="shared" si="10"/>
        <v>6700</v>
      </c>
      <c r="R11" s="167">
        <f t="shared" si="11"/>
        <v>335.5</v>
      </c>
      <c r="S11" s="165">
        <v>500</v>
      </c>
      <c r="T11" s="166">
        <f t="shared" si="12"/>
        <v>0</v>
      </c>
      <c r="U11" s="33">
        <f t="shared" si="13"/>
        <v>6735.5</v>
      </c>
      <c r="V11" s="167">
        <f t="shared" si="14"/>
        <v>342.95249999999999</v>
      </c>
      <c r="W11" s="165">
        <v>0</v>
      </c>
      <c r="X11" s="166">
        <f t="shared" si="15"/>
        <v>0</v>
      </c>
      <c r="Y11" s="33">
        <f t="shared" si="16"/>
        <v>7278.4525000000003</v>
      </c>
      <c r="Z11" s="167">
        <f t="shared" si="17"/>
        <v>400.3148875</v>
      </c>
      <c r="AA11" s="165">
        <v>0</v>
      </c>
      <c r="AB11" s="166">
        <f t="shared" si="18"/>
        <v>0</v>
      </c>
      <c r="AC11" s="33">
        <f t="shared" si="19"/>
        <v>7878.7673875</v>
      </c>
      <c r="AD11" s="167">
        <f t="shared" si="20"/>
        <v>433.33220631249998</v>
      </c>
      <c r="AE11" s="165">
        <v>0</v>
      </c>
      <c r="AF11" s="166">
        <f t="shared" si="21"/>
        <v>0</v>
      </c>
      <c r="AG11" s="33">
        <f t="shared" si="22"/>
        <v>8512.0995938124997</v>
      </c>
      <c r="AH11" s="167">
        <f t="shared" si="23"/>
        <v>468.1654776596875</v>
      </c>
      <c r="AI11" s="165">
        <v>0</v>
      </c>
      <c r="AJ11" s="166">
        <f t="shared" si="24"/>
        <v>0</v>
      </c>
      <c r="AK11" s="33">
        <f t="shared" si="25"/>
        <v>9180.2650714721876</v>
      </c>
      <c r="AL11" s="167">
        <f t="shared" si="26"/>
        <v>504.91457893097032</v>
      </c>
      <c r="AM11" s="165">
        <v>0</v>
      </c>
      <c r="AN11" s="166">
        <f t="shared" si="27"/>
        <v>0</v>
      </c>
      <c r="AO11" s="33">
        <f t="shared" si="28"/>
        <v>9885.1796504031572</v>
      </c>
      <c r="AP11" s="167">
        <f t="shared" si="29"/>
        <v>543.68488077217364</v>
      </c>
      <c r="AQ11" s="165">
        <v>0</v>
      </c>
      <c r="AR11" s="166">
        <f t="shared" si="30"/>
        <v>0</v>
      </c>
      <c r="AS11" s="33">
        <f t="shared" si="31"/>
        <v>10628.864531175332</v>
      </c>
      <c r="AT11" s="167">
        <f t="shared" si="32"/>
        <v>744.02051718227324</v>
      </c>
      <c r="AU11" s="165">
        <v>0</v>
      </c>
      <c r="AV11" s="166">
        <f t="shared" si="33"/>
        <v>0</v>
      </c>
      <c r="AW11" s="33">
        <f t="shared" si="34"/>
        <v>11572.885048357604</v>
      </c>
      <c r="AX11" s="167">
        <f t="shared" si="35"/>
        <v>810.1019533850324</v>
      </c>
      <c r="AY11" s="165">
        <v>0</v>
      </c>
      <c r="AZ11" s="166">
        <f t="shared" si="36"/>
        <v>0</v>
      </c>
      <c r="BA11" s="33">
        <f t="shared" si="37"/>
        <v>12582.987001742636</v>
      </c>
      <c r="BB11" s="167">
        <f t="shared" si="38"/>
        <v>880.80909012198458</v>
      </c>
      <c r="BC11" s="165">
        <v>0</v>
      </c>
      <c r="BD11" s="166">
        <f t="shared" si="39"/>
        <v>0</v>
      </c>
      <c r="BE11" s="33">
        <f t="shared" si="40"/>
        <v>13663.79609186462</v>
      </c>
      <c r="BF11" s="167">
        <f t="shared" si="41"/>
        <v>956.46572643052355</v>
      </c>
      <c r="BG11" s="165">
        <v>0</v>
      </c>
      <c r="BH11" s="166">
        <f t="shared" si="42"/>
        <v>0</v>
      </c>
      <c r="BI11" s="33">
        <f t="shared" si="43"/>
        <v>14820.261818295145</v>
      </c>
      <c r="BJ11" s="167">
        <f t="shared" si="44"/>
        <v>1037.4183272806602</v>
      </c>
      <c r="BK11" s="87">
        <f t="shared" si="45"/>
        <v>1100</v>
      </c>
      <c r="BL11" s="33">
        <f>'2021-2022 (B)'!AV11+'2022-2023'!BK11</f>
        <v>3700</v>
      </c>
    </row>
    <row r="12" spans="1:65">
      <c r="A12" s="10" t="s">
        <v>583</v>
      </c>
      <c r="B12" s="10" t="s">
        <v>113</v>
      </c>
      <c r="C12" s="80">
        <v>0</v>
      </c>
      <c r="D12" s="79">
        <f t="shared" si="0"/>
        <v>2400</v>
      </c>
      <c r="E12" s="78">
        <f>'2021-2022 (B)'!E12</f>
        <v>1750</v>
      </c>
      <c r="F12" s="187">
        <f t="shared" si="1"/>
        <v>2400</v>
      </c>
      <c r="G12" s="159">
        <f t="shared" si="2"/>
        <v>0</v>
      </c>
      <c r="H12" s="190">
        <f t="shared" si="3"/>
        <v>2400</v>
      </c>
      <c r="I12" s="78">
        <f t="shared" si="46"/>
        <v>7247.6094655931583</v>
      </c>
      <c r="J12" s="78">
        <f t="shared" si="4"/>
        <v>0</v>
      </c>
      <c r="K12" s="78">
        <f t="shared" si="5"/>
        <v>0</v>
      </c>
      <c r="L12" s="78">
        <f t="shared" si="6"/>
        <v>3097.6094655931583</v>
      </c>
      <c r="M12" s="194">
        <f t="shared" si="7"/>
        <v>3097.6094655931583</v>
      </c>
      <c r="N12" s="78">
        <f t="shared" si="8"/>
        <v>-3097.6094655931583</v>
      </c>
      <c r="O12" s="165">
        <v>0</v>
      </c>
      <c r="P12" s="166">
        <f t="shared" si="9"/>
        <v>0</v>
      </c>
      <c r="Q12" s="119">
        <f t="shared" si="10"/>
        <v>1950</v>
      </c>
      <c r="R12" s="167">
        <f t="shared" si="11"/>
        <v>107.25</v>
      </c>
      <c r="S12" s="165">
        <v>0</v>
      </c>
      <c r="T12" s="166">
        <f t="shared" si="12"/>
        <v>0</v>
      </c>
      <c r="U12" s="33">
        <f t="shared" si="13"/>
        <v>2257.25</v>
      </c>
      <c r="V12" s="167">
        <f t="shared" si="14"/>
        <v>124.14875000000001</v>
      </c>
      <c r="W12" s="165">
        <v>0</v>
      </c>
      <c r="X12" s="166">
        <f t="shared" si="15"/>
        <v>0</v>
      </c>
      <c r="Y12" s="33">
        <f t="shared" si="16"/>
        <v>2581.3987499999998</v>
      </c>
      <c r="Z12" s="167">
        <f t="shared" si="17"/>
        <v>141.97693124999998</v>
      </c>
      <c r="AA12" s="165">
        <v>0</v>
      </c>
      <c r="AB12" s="166">
        <f t="shared" si="18"/>
        <v>0</v>
      </c>
      <c r="AC12" s="33">
        <f t="shared" si="19"/>
        <v>2923.3756812499996</v>
      </c>
      <c r="AD12" s="167">
        <f t="shared" si="20"/>
        <v>160.78566246874999</v>
      </c>
      <c r="AE12" s="165">
        <v>0</v>
      </c>
      <c r="AF12" s="166">
        <f t="shared" si="21"/>
        <v>0</v>
      </c>
      <c r="AG12" s="33">
        <f t="shared" si="22"/>
        <v>3284.1613437187498</v>
      </c>
      <c r="AH12" s="167">
        <f t="shared" si="23"/>
        <v>180.62887390453125</v>
      </c>
      <c r="AI12" s="165">
        <v>0</v>
      </c>
      <c r="AJ12" s="166">
        <f t="shared" si="24"/>
        <v>0</v>
      </c>
      <c r="AK12" s="33">
        <f t="shared" si="25"/>
        <v>3664.790217623281</v>
      </c>
      <c r="AL12" s="167">
        <f t="shared" si="26"/>
        <v>201.56346196928047</v>
      </c>
      <c r="AM12" s="165">
        <v>0</v>
      </c>
      <c r="AN12" s="166">
        <f t="shared" si="27"/>
        <v>0</v>
      </c>
      <c r="AO12" s="33">
        <f t="shared" si="28"/>
        <v>4066.3536795925615</v>
      </c>
      <c r="AP12" s="167">
        <f t="shared" si="29"/>
        <v>223.64945237759088</v>
      </c>
      <c r="AQ12" s="165">
        <v>0</v>
      </c>
      <c r="AR12" s="166">
        <f t="shared" si="30"/>
        <v>0</v>
      </c>
      <c r="AS12" s="33">
        <f t="shared" si="31"/>
        <v>4490.003131970152</v>
      </c>
      <c r="AT12" s="167">
        <f t="shared" si="32"/>
        <v>314.30021923791065</v>
      </c>
      <c r="AU12" s="165">
        <v>0</v>
      </c>
      <c r="AV12" s="166">
        <f t="shared" si="33"/>
        <v>0</v>
      </c>
      <c r="AW12" s="33">
        <f t="shared" si="34"/>
        <v>5004.3033512080628</v>
      </c>
      <c r="AX12" s="167">
        <f t="shared" si="35"/>
        <v>350.30123458456444</v>
      </c>
      <c r="AY12" s="165">
        <v>0</v>
      </c>
      <c r="AZ12" s="166">
        <f t="shared" si="36"/>
        <v>0</v>
      </c>
      <c r="BA12" s="33">
        <f t="shared" si="37"/>
        <v>5554.6045857926274</v>
      </c>
      <c r="BB12" s="167">
        <f t="shared" si="38"/>
        <v>388.82232100548396</v>
      </c>
      <c r="BC12" s="165">
        <v>0</v>
      </c>
      <c r="BD12" s="166">
        <f t="shared" si="39"/>
        <v>0</v>
      </c>
      <c r="BE12" s="33">
        <f t="shared" si="40"/>
        <v>6143.4269067981113</v>
      </c>
      <c r="BF12" s="167">
        <f t="shared" si="41"/>
        <v>430.03988347586784</v>
      </c>
      <c r="BG12" s="165">
        <v>0</v>
      </c>
      <c r="BH12" s="166">
        <f t="shared" si="42"/>
        <v>0</v>
      </c>
      <c r="BI12" s="33">
        <f t="shared" si="43"/>
        <v>6773.4667902739793</v>
      </c>
      <c r="BJ12" s="167">
        <f t="shared" si="44"/>
        <v>474.14267531917858</v>
      </c>
      <c r="BK12" s="87">
        <f t="shared" si="45"/>
        <v>0</v>
      </c>
      <c r="BL12" s="33">
        <f>'2021-2022 (B)'!AV12+'2022-2023'!BK12</f>
        <v>6350</v>
      </c>
    </row>
    <row r="13" spans="1:65">
      <c r="A13" s="10" t="s">
        <v>584</v>
      </c>
      <c r="B13" s="10" t="s">
        <v>114</v>
      </c>
      <c r="C13" s="80">
        <v>0</v>
      </c>
      <c r="D13" s="79">
        <f t="shared" si="0"/>
        <v>2400</v>
      </c>
      <c r="E13" s="78">
        <f>'2021-2022 (B)'!E13</f>
        <v>150</v>
      </c>
      <c r="F13" s="187">
        <f t="shared" si="1"/>
        <v>2400</v>
      </c>
      <c r="G13" s="159">
        <f t="shared" si="2"/>
        <v>400</v>
      </c>
      <c r="H13" s="190">
        <f t="shared" si="3"/>
        <v>2000</v>
      </c>
      <c r="I13" s="78">
        <f t="shared" si="46"/>
        <v>3268.9689086231492</v>
      </c>
      <c r="J13" s="78">
        <f t="shared" si="4"/>
        <v>0</v>
      </c>
      <c r="K13" s="78">
        <f t="shared" si="5"/>
        <v>22</v>
      </c>
      <c r="L13" s="78">
        <f t="shared" si="6"/>
        <v>1118.9689086231492</v>
      </c>
      <c r="M13" s="194">
        <f t="shared" si="7"/>
        <v>1118.9689086231492</v>
      </c>
      <c r="N13" s="78">
        <f t="shared" si="8"/>
        <v>-696.96890862314922</v>
      </c>
      <c r="O13" s="165">
        <v>0</v>
      </c>
      <c r="P13" s="166">
        <f t="shared" si="9"/>
        <v>0</v>
      </c>
      <c r="Q13" s="119">
        <f t="shared" si="10"/>
        <v>350</v>
      </c>
      <c r="R13" s="167">
        <f t="shared" si="11"/>
        <v>19.25</v>
      </c>
      <c r="S13" s="165">
        <v>0</v>
      </c>
      <c r="T13" s="166">
        <f t="shared" si="12"/>
        <v>0</v>
      </c>
      <c r="U13" s="33">
        <f t="shared" si="13"/>
        <v>569.25</v>
      </c>
      <c r="V13" s="167">
        <f t="shared" si="14"/>
        <v>31.30875</v>
      </c>
      <c r="W13" s="165">
        <v>200</v>
      </c>
      <c r="X13" s="166">
        <f t="shared" si="15"/>
        <v>0</v>
      </c>
      <c r="Y13" s="33">
        <f t="shared" si="16"/>
        <v>600.55875000000003</v>
      </c>
      <c r="Z13" s="167">
        <f t="shared" si="17"/>
        <v>22.030731250000002</v>
      </c>
      <c r="AA13" s="165">
        <v>0</v>
      </c>
      <c r="AB13" s="166">
        <f t="shared" si="18"/>
        <v>0</v>
      </c>
      <c r="AC13" s="33">
        <f t="shared" si="19"/>
        <v>822.58948125000006</v>
      </c>
      <c r="AD13" s="167">
        <f t="shared" si="20"/>
        <v>45.242421468750003</v>
      </c>
      <c r="AE13" s="165">
        <v>0</v>
      </c>
      <c r="AF13" s="166">
        <f t="shared" si="21"/>
        <v>0</v>
      </c>
      <c r="AG13" s="33">
        <f t="shared" si="22"/>
        <v>1067.8319027187501</v>
      </c>
      <c r="AH13" s="167">
        <f t="shared" si="23"/>
        <v>58.730754649531256</v>
      </c>
      <c r="AI13" s="165">
        <v>200</v>
      </c>
      <c r="AJ13" s="166">
        <f t="shared" si="24"/>
        <v>0</v>
      </c>
      <c r="AK13" s="33">
        <f t="shared" si="25"/>
        <v>1126.5626573682814</v>
      </c>
      <c r="AL13" s="167">
        <f t="shared" si="26"/>
        <v>50.960946155255478</v>
      </c>
      <c r="AM13" s="165">
        <v>0</v>
      </c>
      <c r="AN13" s="166">
        <f t="shared" si="27"/>
        <v>0</v>
      </c>
      <c r="AO13" s="33">
        <f t="shared" si="28"/>
        <v>1377.5236035235368</v>
      </c>
      <c r="AP13" s="167">
        <f t="shared" si="29"/>
        <v>75.763798193794528</v>
      </c>
      <c r="AQ13" s="165">
        <v>0</v>
      </c>
      <c r="AR13" s="166">
        <f t="shared" si="30"/>
        <v>0</v>
      </c>
      <c r="AS13" s="33">
        <f t="shared" si="31"/>
        <v>1653.2874017173315</v>
      </c>
      <c r="AT13" s="167">
        <f t="shared" si="32"/>
        <v>115.73011812021322</v>
      </c>
      <c r="AU13" s="165">
        <v>0</v>
      </c>
      <c r="AV13" s="166">
        <f t="shared" si="33"/>
        <v>0</v>
      </c>
      <c r="AW13" s="33">
        <f t="shared" si="34"/>
        <v>1969.0175198375448</v>
      </c>
      <c r="AX13" s="167">
        <f t="shared" si="35"/>
        <v>137.83122638862815</v>
      </c>
      <c r="AY13" s="165">
        <v>0</v>
      </c>
      <c r="AZ13" s="166">
        <f t="shared" si="36"/>
        <v>0</v>
      </c>
      <c r="BA13" s="33">
        <f t="shared" si="37"/>
        <v>2306.8487462261728</v>
      </c>
      <c r="BB13" s="167">
        <f t="shared" si="38"/>
        <v>161.47941223583211</v>
      </c>
      <c r="BC13" s="165">
        <v>0</v>
      </c>
      <c r="BD13" s="166">
        <f t="shared" si="39"/>
        <v>0</v>
      </c>
      <c r="BE13" s="33">
        <f t="shared" si="40"/>
        <v>2668.3281584620049</v>
      </c>
      <c r="BF13" s="167">
        <f t="shared" si="41"/>
        <v>186.78297109234038</v>
      </c>
      <c r="BG13" s="165">
        <v>0</v>
      </c>
      <c r="BH13" s="166">
        <f t="shared" si="42"/>
        <v>0</v>
      </c>
      <c r="BI13" s="33">
        <f t="shared" si="43"/>
        <v>3055.1111295543451</v>
      </c>
      <c r="BJ13" s="167">
        <f t="shared" si="44"/>
        <v>213.85777906880418</v>
      </c>
      <c r="BK13" s="87">
        <f t="shared" si="45"/>
        <v>400</v>
      </c>
      <c r="BL13" s="33">
        <f>'2021-2022 (B)'!AV13+'2022-2023'!BK13</f>
        <v>9550</v>
      </c>
    </row>
    <row r="14" spans="1:65">
      <c r="A14" s="10" t="s">
        <v>585</v>
      </c>
      <c r="B14" s="10" t="s">
        <v>115</v>
      </c>
      <c r="C14" s="80">
        <v>0</v>
      </c>
      <c r="D14" s="79">
        <f t="shared" si="0"/>
        <v>2400</v>
      </c>
      <c r="E14" s="78">
        <f>'2021-2022 (B)'!E14</f>
        <v>1300</v>
      </c>
      <c r="F14" s="187">
        <f t="shared" si="1"/>
        <v>2400</v>
      </c>
      <c r="G14" s="159">
        <f t="shared" si="2"/>
        <v>0</v>
      </c>
      <c r="H14" s="190">
        <f t="shared" si="3"/>
        <v>2400</v>
      </c>
      <c r="I14" s="78">
        <f t="shared" si="46"/>
        <v>6329.4912168155151</v>
      </c>
      <c r="J14" s="78">
        <f t="shared" si="4"/>
        <v>0</v>
      </c>
      <c r="K14" s="78">
        <f t="shared" si="5"/>
        <v>0</v>
      </c>
      <c r="L14" s="78">
        <f t="shared" si="6"/>
        <v>2629.4912168155156</v>
      </c>
      <c r="M14" s="194">
        <f t="shared" si="7"/>
        <v>2629.4912168155156</v>
      </c>
      <c r="N14" s="78">
        <f t="shared" si="8"/>
        <v>-2629.4912168155156</v>
      </c>
      <c r="O14" s="165">
        <v>0</v>
      </c>
      <c r="P14" s="166">
        <f t="shared" si="9"/>
        <v>0</v>
      </c>
      <c r="Q14" s="119">
        <f t="shared" si="10"/>
        <v>1500</v>
      </c>
      <c r="R14" s="167">
        <f t="shared" si="11"/>
        <v>82.5</v>
      </c>
      <c r="S14" s="165">
        <v>0</v>
      </c>
      <c r="T14" s="166">
        <f t="shared" si="12"/>
        <v>0</v>
      </c>
      <c r="U14" s="33">
        <f t="shared" si="13"/>
        <v>1782.5</v>
      </c>
      <c r="V14" s="167">
        <f t="shared" si="14"/>
        <v>98.037499999999994</v>
      </c>
      <c r="W14" s="165">
        <v>0</v>
      </c>
      <c r="X14" s="166">
        <f t="shared" si="15"/>
        <v>0</v>
      </c>
      <c r="Y14" s="33">
        <f t="shared" si="16"/>
        <v>2080.5374999999999</v>
      </c>
      <c r="Z14" s="167">
        <f t="shared" si="17"/>
        <v>114.42956249999999</v>
      </c>
      <c r="AA14" s="165">
        <v>0</v>
      </c>
      <c r="AB14" s="166">
        <f t="shared" si="18"/>
        <v>0</v>
      </c>
      <c r="AC14" s="33">
        <f t="shared" si="19"/>
        <v>2394.9670624999999</v>
      </c>
      <c r="AD14" s="167">
        <f t="shared" si="20"/>
        <v>131.7231884375</v>
      </c>
      <c r="AE14" s="165">
        <v>0</v>
      </c>
      <c r="AF14" s="166">
        <f t="shared" si="21"/>
        <v>0</v>
      </c>
      <c r="AG14" s="33">
        <f t="shared" si="22"/>
        <v>2726.6902509375</v>
      </c>
      <c r="AH14" s="167">
        <f t="shared" si="23"/>
        <v>149.96796380156249</v>
      </c>
      <c r="AI14" s="165">
        <v>0</v>
      </c>
      <c r="AJ14" s="166">
        <f t="shared" si="24"/>
        <v>0</v>
      </c>
      <c r="AK14" s="33">
        <f t="shared" si="25"/>
        <v>3076.6582147390623</v>
      </c>
      <c r="AL14" s="167">
        <f t="shared" si="26"/>
        <v>169.21620181064841</v>
      </c>
      <c r="AM14" s="165">
        <v>0</v>
      </c>
      <c r="AN14" s="166">
        <f t="shared" si="27"/>
        <v>0</v>
      </c>
      <c r="AO14" s="33">
        <f t="shared" si="28"/>
        <v>3445.8744165497105</v>
      </c>
      <c r="AP14" s="167">
        <f t="shared" si="29"/>
        <v>189.52309291023408</v>
      </c>
      <c r="AQ14" s="165">
        <v>0</v>
      </c>
      <c r="AR14" s="166">
        <f t="shared" si="30"/>
        <v>0</v>
      </c>
      <c r="AS14" s="33">
        <f t="shared" si="31"/>
        <v>3835.3975094599446</v>
      </c>
      <c r="AT14" s="167">
        <f t="shared" si="32"/>
        <v>268.47782566219615</v>
      </c>
      <c r="AU14" s="165">
        <v>0</v>
      </c>
      <c r="AV14" s="166">
        <f t="shared" si="33"/>
        <v>0</v>
      </c>
      <c r="AW14" s="33">
        <f t="shared" si="34"/>
        <v>4303.8753351221403</v>
      </c>
      <c r="AX14" s="167">
        <f t="shared" si="35"/>
        <v>301.27127345854984</v>
      </c>
      <c r="AY14" s="165">
        <v>0</v>
      </c>
      <c r="AZ14" s="166">
        <f t="shared" si="36"/>
        <v>0</v>
      </c>
      <c r="BA14" s="33">
        <f t="shared" si="37"/>
        <v>4805.1466085806906</v>
      </c>
      <c r="BB14" s="167">
        <f t="shared" si="38"/>
        <v>336.36026260064835</v>
      </c>
      <c r="BC14" s="165">
        <v>0</v>
      </c>
      <c r="BD14" s="166">
        <f t="shared" si="39"/>
        <v>0</v>
      </c>
      <c r="BE14" s="33">
        <f t="shared" si="40"/>
        <v>5341.5068711813392</v>
      </c>
      <c r="BF14" s="167">
        <f t="shared" si="41"/>
        <v>373.9054809826938</v>
      </c>
      <c r="BG14" s="165">
        <v>0</v>
      </c>
      <c r="BH14" s="166">
        <f t="shared" si="42"/>
        <v>0</v>
      </c>
      <c r="BI14" s="33">
        <f t="shared" si="43"/>
        <v>5915.4123521640331</v>
      </c>
      <c r="BJ14" s="167">
        <f t="shared" si="44"/>
        <v>414.07886465148238</v>
      </c>
      <c r="BK14" s="87">
        <f t="shared" si="45"/>
        <v>0</v>
      </c>
      <c r="BL14" s="33">
        <f>'2021-2022 (B)'!AV14+'2022-2023'!BK14</f>
        <v>6700</v>
      </c>
    </row>
    <row r="15" spans="1:65">
      <c r="A15" s="10" t="s">
        <v>586</v>
      </c>
      <c r="B15" s="10" t="s">
        <v>116</v>
      </c>
      <c r="C15" s="80">
        <v>0</v>
      </c>
      <c r="D15" s="79">
        <f t="shared" si="0"/>
        <v>2400</v>
      </c>
      <c r="E15" s="78">
        <f>'2021-2022 (B)'!E15</f>
        <v>7900</v>
      </c>
      <c r="F15" s="187">
        <f t="shared" si="1"/>
        <v>2400</v>
      </c>
      <c r="G15" s="159">
        <f t="shared" si="2"/>
        <v>800</v>
      </c>
      <c r="H15" s="190">
        <f t="shared" si="3"/>
        <v>1600</v>
      </c>
      <c r="I15" s="78">
        <f t="shared" si="46"/>
        <v>18422.609308232593</v>
      </c>
      <c r="J15" s="78">
        <f t="shared" si="4"/>
        <v>0</v>
      </c>
      <c r="K15" s="78">
        <f t="shared" si="5"/>
        <v>44</v>
      </c>
      <c r="L15" s="78">
        <f t="shared" si="6"/>
        <v>8922.6093082325933</v>
      </c>
      <c r="M15" s="194">
        <f t="shared" si="7"/>
        <v>8922.6093082325933</v>
      </c>
      <c r="N15" s="78">
        <f t="shared" si="8"/>
        <v>-8078.6093082325933</v>
      </c>
      <c r="O15" s="165">
        <v>0</v>
      </c>
      <c r="P15" s="166">
        <f t="shared" si="9"/>
        <v>0</v>
      </c>
      <c r="Q15" s="119">
        <f t="shared" si="10"/>
        <v>8100</v>
      </c>
      <c r="R15" s="167">
        <f t="shared" si="11"/>
        <v>445.5</v>
      </c>
      <c r="S15" s="165">
        <v>0</v>
      </c>
      <c r="T15" s="166">
        <f t="shared" si="12"/>
        <v>0</v>
      </c>
      <c r="U15" s="33">
        <f t="shared" si="13"/>
        <v>8745.5</v>
      </c>
      <c r="V15" s="167">
        <f t="shared" si="14"/>
        <v>481.0025</v>
      </c>
      <c r="W15" s="165">
        <v>200</v>
      </c>
      <c r="X15" s="166">
        <f t="shared" si="15"/>
        <v>0</v>
      </c>
      <c r="Y15" s="33">
        <f t="shared" si="16"/>
        <v>9226.5025000000005</v>
      </c>
      <c r="Z15" s="167">
        <f t="shared" si="17"/>
        <v>496.45763750000003</v>
      </c>
      <c r="AA15" s="165">
        <v>0</v>
      </c>
      <c r="AB15" s="166">
        <f t="shared" si="18"/>
        <v>0</v>
      </c>
      <c r="AC15" s="33">
        <f t="shared" si="19"/>
        <v>9922.9601375000002</v>
      </c>
      <c r="AD15" s="167">
        <f t="shared" si="20"/>
        <v>545.76280756250003</v>
      </c>
      <c r="AE15" s="165">
        <v>300</v>
      </c>
      <c r="AF15" s="166">
        <f t="shared" si="21"/>
        <v>0</v>
      </c>
      <c r="AG15" s="33">
        <f t="shared" si="22"/>
        <v>10368.7229450625</v>
      </c>
      <c r="AH15" s="167">
        <f t="shared" si="23"/>
        <v>553.77976197843748</v>
      </c>
      <c r="AI15" s="165">
        <v>0</v>
      </c>
      <c r="AJ15" s="166">
        <f t="shared" si="24"/>
        <v>0</v>
      </c>
      <c r="AK15" s="33">
        <f t="shared" si="25"/>
        <v>11122.502707040938</v>
      </c>
      <c r="AL15" s="167">
        <f t="shared" si="26"/>
        <v>611.73764888725157</v>
      </c>
      <c r="AM15" s="165">
        <v>300</v>
      </c>
      <c r="AN15" s="166">
        <f t="shared" si="27"/>
        <v>0</v>
      </c>
      <c r="AO15" s="33">
        <f t="shared" si="28"/>
        <v>11634.24035592819</v>
      </c>
      <c r="AP15" s="167">
        <f t="shared" si="29"/>
        <v>623.38321957605046</v>
      </c>
      <c r="AQ15" s="165">
        <v>0</v>
      </c>
      <c r="AR15" s="166">
        <f t="shared" si="30"/>
        <v>0</v>
      </c>
      <c r="AS15" s="33">
        <f t="shared" si="31"/>
        <v>12457.62357550424</v>
      </c>
      <c r="AT15" s="167">
        <f t="shared" si="32"/>
        <v>872.03365028529686</v>
      </c>
      <c r="AU15" s="165">
        <v>0</v>
      </c>
      <c r="AV15" s="166">
        <f t="shared" si="33"/>
        <v>0</v>
      </c>
      <c r="AW15" s="33">
        <f t="shared" si="34"/>
        <v>13529.657225789537</v>
      </c>
      <c r="AX15" s="167">
        <f t="shared" si="35"/>
        <v>947.07600580526764</v>
      </c>
      <c r="AY15" s="165">
        <v>0</v>
      </c>
      <c r="AZ15" s="166">
        <f t="shared" si="36"/>
        <v>0</v>
      </c>
      <c r="BA15" s="33">
        <f t="shared" si="37"/>
        <v>14676.733231594804</v>
      </c>
      <c r="BB15" s="167">
        <f t="shared" si="38"/>
        <v>1027.3713262116364</v>
      </c>
      <c r="BC15" s="165">
        <v>0</v>
      </c>
      <c r="BD15" s="166">
        <f t="shared" si="39"/>
        <v>0</v>
      </c>
      <c r="BE15" s="33">
        <f t="shared" si="40"/>
        <v>15904.10455780644</v>
      </c>
      <c r="BF15" s="167">
        <f t="shared" si="41"/>
        <v>1113.2873190464509</v>
      </c>
      <c r="BG15" s="165">
        <v>0</v>
      </c>
      <c r="BH15" s="166">
        <f t="shared" si="42"/>
        <v>0</v>
      </c>
      <c r="BI15" s="33">
        <f t="shared" si="43"/>
        <v>17217.391876852893</v>
      </c>
      <c r="BJ15" s="167">
        <f t="shared" si="44"/>
        <v>1205.2174313797027</v>
      </c>
      <c r="BK15" s="87">
        <f t="shared" si="45"/>
        <v>800</v>
      </c>
      <c r="BL15" s="33">
        <f>'2021-2022 (B)'!AV15+'2022-2023'!BK15</f>
        <v>2100</v>
      </c>
    </row>
    <row r="16" spans="1:65">
      <c r="A16" s="10" t="s">
        <v>587</v>
      </c>
      <c r="B16" s="10"/>
      <c r="C16" s="80">
        <v>0</v>
      </c>
      <c r="D16" s="79">
        <f t="shared" si="0"/>
        <v>2400</v>
      </c>
      <c r="E16" s="78">
        <f>'2021-2022 (B)'!E16</f>
        <v>5900</v>
      </c>
      <c r="F16" s="187">
        <f t="shared" si="1"/>
        <v>2400</v>
      </c>
      <c r="G16" s="159">
        <f t="shared" si="2"/>
        <v>0</v>
      </c>
      <c r="H16" s="190">
        <f t="shared" si="3"/>
        <v>2400</v>
      </c>
      <c r="I16" s="78">
        <f t="shared" si="46"/>
        <v>15714.699982098082</v>
      </c>
      <c r="J16" s="78">
        <f t="shared" si="4"/>
        <v>0</v>
      </c>
      <c r="K16" s="78">
        <f t="shared" si="5"/>
        <v>0</v>
      </c>
      <c r="L16" s="78">
        <f t="shared" si="6"/>
        <v>7414.6999820980827</v>
      </c>
      <c r="M16" s="194">
        <f t="shared" si="7"/>
        <v>7414.6999820980827</v>
      </c>
      <c r="N16" s="78">
        <f t="shared" si="8"/>
        <v>-7414.6999820980827</v>
      </c>
      <c r="O16" s="165">
        <v>0</v>
      </c>
      <c r="P16" s="166">
        <f t="shared" si="9"/>
        <v>0</v>
      </c>
      <c r="Q16" s="119">
        <f t="shared" si="10"/>
        <v>6100</v>
      </c>
      <c r="R16" s="167">
        <f t="shared" si="11"/>
        <v>335.5</v>
      </c>
      <c r="S16" s="165">
        <v>0</v>
      </c>
      <c r="T16" s="166">
        <f t="shared" si="12"/>
        <v>0</v>
      </c>
      <c r="U16" s="33">
        <f t="shared" si="13"/>
        <v>6635.5</v>
      </c>
      <c r="V16" s="167">
        <f t="shared" si="14"/>
        <v>364.95249999999999</v>
      </c>
      <c r="W16" s="165">
        <v>0</v>
      </c>
      <c r="X16" s="166">
        <f t="shared" si="15"/>
        <v>0</v>
      </c>
      <c r="Y16" s="33">
        <f t="shared" si="16"/>
        <v>7200.4525000000003</v>
      </c>
      <c r="Z16" s="167">
        <f t="shared" si="17"/>
        <v>396.02488750000003</v>
      </c>
      <c r="AA16" s="165">
        <v>0</v>
      </c>
      <c r="AB16" s="166">
        <f t="shared" si="18"/>
        <v>0</v>
      </c>
      <c r="AC16" s="33">
        <f t="shared" si="19"/>
        <v>7796.4773875000001</v>
      </c>
      <c r="AD16" s="167">
        <f t="shared" si="20"/>
        <v>428.80625631250001</v>
      </c>
      <c r="AE16" s="165">
        <v>0</v>
      </c>
      <c r="AF16" s="166">
        <f t="shared" si="21"/>
        <v>0</v>
      </c>
      <c r="AG16" s="33">
        <f t="shared" si="22"/>
        <v>8425.2836438124996</v>
      </c>
      <c r="AH16" s="167">
        <f t="shared" si="23"/>
        <v>463.39060040968747</v>
      </c>
      <c r="AI16" s="165">
        <v>0</v>
      </c>
      <c r="AJ16" s="166">
        <f t="shared" si="24"/>
        <v>0</v>
      </c>
      <c r="AK16" s="33">
        <f t="shared" si="25"/>
        <v>9088.6742442221876</v>
      </c>
      <c r="AL16" s="167">
        <f t="shared" si="26"/>
        <v>499.87708343222033</v>
      </c>
      <c r="AM16" s="165">
        <v>0</v>
      </c>
      <c r="AN16" s="166">
        <f t="shared" si="27"/>
        <v>0</v>
      </c>
      <c r="AO16" s="33">
        <f t="shared" si="28"/>
        <v>9788.5513276544079</v>
      </c>
      <c r="AP16" s="167">
        <f t="shared" si="29"/>
        <v>538.37032302099249</v>
      </c>
      <c r="AQ16" s="165">
        <v>0</v>
      </c>
      <c r="AR16" s="166">
        <f t="shared" si="30"/>
        <v>0</v>
      </c>
      <c r="AS16" s="33">
        <f t="shared" si="31"/>
        <v>10526.9216506754</v>
      </c>
      <c r="AT16" s="167">
        <f t="shared" si="32"/>
        <v>736.88451554727806</v>
      </c>
      <c r="AU16" s="165">
        <v>0</v>
      </c>
      <c r="AV16" s="166">
        <f t="shared" si="33"/>
        <v>0</v>
      </c>
      <c r="AW16" s="33">
        <f t="shared" si="34"/>
        <v>11463.806166222677</v>
      </c>
      <c r="AX16" s="167">
        <f t="shared" si="35"/>
        <v>802.46643163558747</v>
      </c>
      <c r="AY16" s="165">
        <v>0</v>
      </c>
      <c r="AZ16" s="166">
        <f t="shared" si="36"/>
        <v>0</v>
      </c>
      <c r="BA16" s="33">
        <f t="shared" si="37"/>
        <v>12466.272597858264</v>
      </c>
      <c r="BB16" s="167">
        <f t="shared" si="38"/>
        <v>872.63908185007858</v>
      </c>
      <c r="BC16" s="165">
        <v>0</v>
      </c>
      <c r="BD16" s="166">
        <f t="shared" si="39"/>
        <v>0</v>
      </c>
      <c r="BE16" s="33">
        <f t="shared" si="40"/>
        <v>13538.911679708342</v>
      </c>
      <c r="BF16" s="167">
        <f t="shared" si="41"/>
        <v>947.72381757958408</v>
      </c>
      <c r="BG16" s="165">
        <v>0</v>
      </c>
      <c r="BH16" s="166">
        <f t="shared" si="42"/>
        <v>0</v>
      </c>
      <c r="BI16" s="33">
        <f t="shared" si="43"/>
        <v>14686.635497287927</v>
      </c>
      <c r="BJ16" s="167">
        <f t="shared" si="44"/>
        <v>1028.0644848101549</v>
      </c>
      <c r="BK16" s="87">
        <f t="shared" si="45"/>
        <v>0</v>
      </c>
      <c r="BL16" s="33">
        <f>'2021-2022 (B)'!AV16+'2022-2023'!BK16</f>
        <v>2100</v>
      </c>
    </row>
    <row r="17" spans="1:65">
      <c r="A17" s="10" t="s">
        <v>588</v>
      </c>
      <c r="B17" s="10" t="s">
        <v>115</v>
      </c>
      <c r="C17" s="80">
        <v>0</v>
      </c>
      <c r="D17" s="79">
        <f t="shared" si="0"/>
        <v>2400</v>
      </c>
      <c r="E17" s="78">
        <f>'2021-2022 (B)'!E17</f>
        <v>6700</v>
      </c>
      <c r="F17" s="187">
        <f t="shared" si="1"/>
        <v>2400</v>
      </c>
      <c r="G17" s="159">
        <f t="shared" si="2"/>
        <v>0</v>
      </c>
      <c r="H17" s="190">
        <f t="shared" si="3"/>
        <v>2400</v>
      </c>
      <c r="I17" s="78">
        <f t="shared" si="46"/>
        <v>17346.910202147228</v>
      </c>
      <c r="J17" s="78">
        <f t="shared" si="4"/>
        <v>0</v>
      </c>
      <c r="K17" s="78">
        <f t="shared" si="5"/>
        <v>0</v>
      </c>
      <c r="L17" s="78">
        <f t="shared" si="6"/>
        <v>8246.9102021472281</v>
      </c>
      <c r="M17" s="194">
        <f t="shared" si="7"/>
        <v>8246.9102021472281</v>
      </c>
      <c r="N17" s="78">
        <f t="shared" si="8"/>
        <v>-8246.9102021472281</v>
      </c>
      <c r="O17" s="165">
        <v>0</v>
      </c>
      <c r="P17" s="166">
        <f t="shared" si="9"/>
        <v>0</v>
      </c>
      <c r="Q17" s="119">
        <f t="shared" si="10"/>
        <v>6900</v>
      </c>
      <c r="R17" s="167">
        <f t="shared" si="11"/>
        <v>379.5</v>
      </c>
      <c r="S17" s="165">
        <v>0</v>
      </c>
      <c r="T17" s="166">
        <f t="shared" si="12"/>
        <v>0</v>
      </c>
      <c r="U17" s="33">
        <f t="shared" si="13"/>
        <v>7479.5</v>
      </c>
      <c r="V17" s="167">
        <f t="shared" si="14"/>
        <v>411.3725</v>
      </c>
      <c r="W17" s="165">
        <v>0</v>
      </c>
      <c r="X17" s="166">
        <f t="shared" si="15"/>
        <v>0</v>
      </c>
      <c r="Y17" s="33">
        <f t="shared" si="16"/>
        <v>8090.8725000000004</v>
      </c>
      <c r="Z17" s="167">
        <f t="shared" si="17"/>
        <v>444.99798750000002</v>
      </c>
      <c r="AA17" s="165">
        <v>0</v>
      </c>
      <c r="AB17" s="166">
        <f t="shared" si="18"/>
        <v>0</v>
      </c>
      <c r="AC17" s="33">
        <f t="shared" si="19"/>
        <v>8735.8704875000021</v>
      </c>
      <c r="AD17" s="167">
        <f t="shared" si="20"/>
        <v>480.47287681250015</v>
      </c>
      <c r="AE17" s="165">
        <v>0</v>
      </c>
      <c r="AF17" s="166">
        <f t="shared" si="21"/>
        <v>0</v>
      </c>
      <c r="AG17" s="33">
        <f t="shared" si="22"/>
        <v>9416.3433643125027</v>
      </c>
      <c r="AH17" s="167">
        <f t="shared" si="23"/>
        <v>517.8988850371876</v>
      </c>
      <c r="AI17" s="165">
        <v>0</v>
      </c>
      <c r="AJ17" s="166">
        <f t="shared" si="24"/>
        <v>0</v>
      </c>
      <c r="AK17" s="33">
        <f t="shared" si="25"/>
        <v>10134.242249349691</v>
      </c>
      <c r="AL17" s="167">
        <f t="shared" si="26"/>
        <v>557.38332371423303</v>
      </c>
      <c r="AM17" s="165">
        <v>0</v>
      </c>
      <c r="AN17" s="166">
        <f t="shared" si="27"/>
        <v>0</v>
      </c>
      <c r="AO17" s="33">
        <f t="shared" si="28"/>
        <v>10891.625573063924</v>
      </c>
      <c r="AP17" s="167">
        <f t="shared" si="29"/>
        <v>599.03940651851588</v>
      </c>
      <c r="AQ17" s="165">
        <v>0</v>
      </c>
      <c r="AR17" s="166">
        <f t="shared" si="30"/>
        <v>0</v>
      </c>
      <c r="AS17" s="33">
        <f t="shared" si="31"/>
        <v>11690.66497958244</v>
      </c>
      <c r="AT17" s="167">
        <f t="shared" si="32"/>
        <v>818.34654857077089</v>
      </c>
      <c r="AU17" s="165">
        <v>0</v>
      </c>
      <c r="AV17" s="166">
        <f t="shared" si="33"/>
        <v>0</v>
      </c>
      <c r="AW17" s="33">
        <f t="shared" si="34"/>
        <v>12709.011528153211</v>
      </c>
      <c r="AX17" s="167">
        <f t="shared" si="35"/>
        <v>889.63080697072485</v>
      </c>
      <c r="AY17" s="165">
        <v>0</v>
      </c>
      <c r="AZ17" s="166">
        <f t="shared" si="36"/>
        <v>0</v>
      </c>
      <c r="BA17" s="33">
        <f t="shared" si="37"/>
        <v>13798.642335123935</v>
      </c>
      <c r="BB17" s="167">
        <f t="shared" si="38"/>
        <v>965.90496345867552</v>
      </c>
      <c r="BC17" s="165">
        <v>0</v>
      </c>
      <c r="BD17" s="166">
        <f t="shared" si="39"/>
        <v>0</v>
      </c>
      <c r="BE17" s="33">
        <f t="shared" si="40"/>
        <v>14964.547298582611</v>
      </c>
      <c r="BF17" s="167">
        <f t="shared" si="41"/>
        <v>1047.5183109007828</v>
      </c>
      <c r="BG17" s="165">
        <v>0</v>
      </c>
      <c r="BH17" s="166">
        <f t="shared" si="42"/>
        <v>0</v>
      </c>
      <c r="BI17" s="33">
        <f t="shared" si="43"/>
        <v>16212.065609483394</v>
      </c>
      <c r="BJ17" s="167">
        <f t="shared" si="44"/>
        <v>1134.8445926638376</v>
      </c>
      <c r="BK17" s="87">
        <f t="shared" si="45"/>
        <v>0</v>
      </c>
      <c r="BL17" s="33">
        <f>'2021-2022 (B)'!AV17+'2022-2023'!BK17</f>
        <v>1300</v>
      </c>
    </row>
    <row r="18" spans="1:65">
      <c r="A18" s="10" t="s">
        <v>589</v>
      </c>
      <c r="B18" s="10" t="s">
        <v>139</v>
      </c>
      <c r="C18" s="80">
        <v>0</v>
      </c>
      <c r="D18" s="79">
        <f t="shared" si="0"/>
        <v>2400</v>
      </c>
      <c r="E18" s="78">
        <f>'2021-2022 (B)'!E18</f>
        <v>-3200</v>
      </c>
      <c r="F18" s="187">
        <f t="shared" si="1"/>
        <v>2400</v>
      </c>
      <c r="G18" s="159">
        <f t="shared" si="2"/>
        <v>2500</v>
      </c>
      <c r="H18" s="190">
        <f t="shared" si="3"/>
        <v>-100</v>
      </c>
      <c r="I18" s="78">
        <f t="shared" si="46"/>
        <v>-7278.9784219347866</v>
      </c>
      <c r="J18" s="78">
        <f t="shared" si="4"/>
        <v>0</v>
      </c>
      <c r="K18" s="78">
        <f t="shared" si="5"/>
        <v>137.5</v>
      </c>
      <c r="L18" s="78">
        <f t="shared" si="6"/>
        <v>-3978.9784219347866</v>
      </c>
      <c r="M18" s="194">
        <f t="shared" si="7"/>
        <v>-3978.9784219347866</v>
      </c>
      <c r="N18" s="78">
        <f t="shared" si="8"/>
        <v>6616.4784219347866</v>
      </c>
      <c r="O18" s="165">
        <v>0</v>
      </c>
      <c r="P18" s="166">
        <f t="shared" si="9"/>
        <v>0</v>
      </c>
      <c r="Q18" s="119">
        <f t="shared" si="10"/>
        <v>-3000</v>
      </c>
      <c r="R18" s="167">
        <f t="shared" si="11"/>
        <v>-165</v>
      </c>
      <c r="S18" s="165">
        <v>0</v>
      </c>
      <c r="T18" s="166">
        <f t="shared" si="12"/>
        <v>0</v>
      </c>
      <c r="U18" s="33">
        <f t="shared" si="13"/>
        <v>-2965</v>
      </c>
      <c r="V18" s="167">
        <f t="shared" si="14"/>
        <v>-163.07499999999999</v>
      </c>
      <c r="W18" s="165">
        <v>0</v>
      </c>
      <c r="X18" s="166">
        <f t="shared" si="15"/>
        <v>0</v>
      </c>
      <c r="Y18" s="33">
        <f t="shared" si="16"/>
        <v>-2928.0749999999998</v>
      </c>
      <c r="Z18" s="167">
        <f t="shared" si="17"/>
        <v>-161.04412499999998</v>
      </c>
      <c r="AA18" s="165">
        <v>1000</v>
      </c>
      <c r="AB18" s="166">
        <f t="shared" si="18"/>
        <v>0</v>
      </c>
      <c r="AC18" s="33">
        <f t="shared" si="19"/>
        <v>-3889.1191249999997</v>
      </c>
      <c r="AD18" s="167">
        <f t="shared" si="20"/>
        <v>-268.90155187499994</v>
      </c>
      <c r="AE18" s="165">
        <v>1500</v>
      </c>
      <c r="AF18" s="166">
        <f t="shared" si="21"/>
        <v>0</v>
      </c>
      <c r="AG18" s="33">
        <f t="shared" si="22"/>
        <v>-5458.0206768749995</v>
      </c>
      <c r="AH18" s="167">
        <f t="shared" si="23"/>
        <v>-382.691137228125</v>
      </c>
      <c r="AI18" s="165">
        <v>0</v>
      </c>
      <c r="AJ18" s="166">
        <f t="shared" si="24"/>
        <v>0</v>
      </c>
      <c r="AK18" s="33">
        <f t="shared" si="25"/>
        <v>-5640.7118141031242</v>
      </c>
      <c r="AL18" s="167">
        <f t="shared" si="26"/>
        <v>-310.23914977567182</v>
      </c>
      <c r="AM18" s="165">
        <v>0</v>
      </c>
      <c r="AN18" s="166">
        <f t="shared" si="27"/>
        <v>0</v>
      </c>
      <c r="AO18" s="33">
        <f t="shared" si="28"/>
        <v>-5750.9509638787958</v>
      </c>
      <c r="AP18" s="167">
        <f t="shared" si="29"/>
        <v>-316.30230301333376</v>
      </c>
      <c r="AQ18" s="165">
        <v>0</v>
      </c>
      <c r="AR18" s="166">
        <f t="shared" si="30"/>
        <v>0</v>
      </c>
      <c r="AS18" s="33">
        <f t="shared" si="31"/>
        <v>-5867.2532668921294</v>
      </c>
      <c r="AT18" s="167">
        <f t="shared" si="32"/>
        <v>-410.7077286824491</v>
      </c>
      <c r="AU18" s="165">
        <v>0</v>
      </c>
      <c r="AV18" s="166">
        <f t="shared" si="33"/>
        <v>0</v>
      </c>
      <c r="AW18" s="33">
        <f t="shared" si="34"/>
        <v>-6077.9609955745782</v>
      </c>
      <c r="AX18" s="167">
        <f t="shared" si="35"/>
        <v>-425.45726969022053</v>
      </c>
      <c r="AY18" s="165">
        <v>0</v>
      </c>
      <c r="AZ18" s="166">
        <f t="shared" si="36"/>
        <v>0</v>
      </c>
      <c r="BA18" s="33">
        <f t="shared" si="37"/>
        <v>-6303.4182652647987</v>
      </c>
      <c r="BB18" s="167">
        <f t="shared" si="38"/>
        <v>-441.23927856853595</v>
      </c>
      <c r="BC18" s="165">
        <v>0</v>
      </c>
      <c r="BD18" s="166">
        <f t="shared" si="39"/>
        <v>0</v>
      </c>
      <c r="BE18" s="33">
        <f t="shared" si="40"/>
        <v>-6544.6575438333348</v>
      </c>
      <c r="BF18" s="167">
        <f t="shared" si="41"/>
        <v>-458.12602806833348</v>
      </c>
      <c r="BG18" s="165">
        <v>0</v>
      </c>
      <c r="BH18" s="166">
        <f t="shared" si="42"/>
        <v>0</v>
      </c>
      <c r="BI18" s="33">
        <f t="shared" si="43"/>
        <v>-6802.7835719016684</v>
      </c>
      <c r="BJ18" s="167">
        <f t="shared" si="44"/>
        <v>-476.19485003311684</v>
      </c>
      <c r="BK18" s="87">
        <f t="shared" si="45"/>
        <v>2500</v>
      </c>
      <c r="BL18" s="33">
        <f>'2021-2022 (B)'!AV18+'2022-2023'!BK18</f>
        <v>16300</v>
      </c>
    </row>
    <row r="19" spans="1:65">
      <c r="A19" s="10" t="s">
        <v>590</v>
      </c>
      <c r="B19" s="10" t="s">
        <v>116</v>
      </c>
      <c r="C19" s="80">
        <v>0</v>
      </c>
      <c r="D19" s="79">
        <f t="shared" si="0"/>
        <v>2400</v>
      </c>
      <c r="E19" s="78">
        <f>'2021-2022 (B)'!E19</f>
        <v>900</v>
      </c>
      <c r="F19" s="187">
        <f t="shared" si="1"/>
        <v>2400</v>
      </c>
      <c r="G19" s="159">
        <f t="shared" si="2"/>
        <v>800</v>
      </c>
      <c r="H19" s="190">
        <f t="shared" si="3"/>
        <v>1600</v>
      </c>
      <c r="I19" s="78">
        <f t="shared" si="46"/>
        <v>4595.5167837686568</v>
      </c>
      <c r="J19" s="78">
        <f t="shared" si="4"/>
        <v>0</v>
      </c>
      <c r="K19" s="78">
        <f t="shared" si="5"/>
        <v>44</v>
      </c>
      <c r="L19" s="78">
        <f t="shared" si="6"/>
        <v>2095.5167837686563</v>
      </c>
      <c r="M19" s="194">
        <f t="shared" si="7"/>
        <v>2095.5167837686563</v>
      </c>
      <c r="N19" s="78">
        <f t="shared" si="8"/>
        <v>-1251.5167837686563</v>
      </c>
      <c r="O19" s="165">
        <v>300</v>
      </c>
      <c r="P19" s="166">
        <f t="shared" si="9"/>
        <v>0</v>
      </c>
      <c r="Q19" s="119">
        <f t="shared" si="10"/>
        <v>1100</v>
      </c>
      <c r="R19" s="167">
        <f t="shared" si="11"/>
        <v>44</v>
      </c>
      <c r="S19" s="165">
        <v>0</v>
      </c>
      <c r="T19" s="166">
        <f t="shared" si="12"/>
        <v>0</v>
      </c>
      <c r="U19" s="33">
        <f t="shared" si="13"/>
        <v>1344</v>
      </c>
      <c r="V19" s="167">
        <f t="shared" si="14"/>
        <v>73.92</v>
      </c>
      <c r="W19" s="165">
        <v>0</v>
      </c>
      <c r="X19" s="166">
        <f t="shared" si="15"/>
        <v>0</v>
      </c>
      <c r="Y19" s="33">
        <f t="shared" si="16"/>
        <v>1617.92</v>
      </c>
      <c r="Z19" s="167">
        <f t="shared" si="17"/>
        <v>88.985600000000005</v>
      </c>
      <c r="AA19" s="165">
        <v>0</v>
      </c>
      <c r="AB19" s="166">
        <f t="shared" si="18"/>
        <v>0</v>
      </c>
      <c r="AC19" s="33">
        <f t="shared" si="19"/>
        <v>1906.9056</v>
      </c>
      <c r="AD19" s="167">
        <f t="shared" si="20"/>
        <v>104.879808</v>
      </c>
      <c r="AE19" s="165">
        <v>0</v>
      </c>
      <c r="AF19" s="166">
        <f t="shared" si="21"/>
        <v>0</v>
      </c>
      <c r="AG19" s="33">
        <f t="shared" si="22"/>
        <v>2211.7854080000002</v>
      </c>
      <c r="AH19" s="167">
        <f t="shared" si="23"/>
        <v>121.64819744</v>
      </c>
      <c r="AI19" s="165">
        <v>0</v>
      </c>
      <c r="AJ19" s="166">
        <f t="shared" si="24"/>
        <v>0</v>
      </c>
      <c r="AK19" s="33">
        <f t="shared" si="25"/>
        <v>2533.4336054400001</v>
      </c>
      <c r="AL19" s="167">
        <f t="shared" si="26"/>
        <v>139.33884829920001</v>
      </c>
      <c r="AM19" s="165">
        <v>0</v>
      </c>
      <c r="AN19" s="166">
        <f t="shared" si="27"/>
        <v>0</v>
      </c>
      <c r="AO19" s="33">
        <f t="shared" si="28"/>
        <v>2872.7724537392</v>
      </c>
      <c r="AP19" s="167">
        <f t="shared" si="29"/>
        <v>158.002484955656</v>
      </c>
      <c r="AQ19" s="165">
        <v>0</v>
      </c>
      <c r="AR19" s="166">
        <f t="shared" si="30"/>
        <v>0</v>
      </c>
      <c r="AS19" s="33">
        <f t="shared" si="31"/>
        <v>3230.7749386948562</v>
      </c>
      <c r="AT19" s="167">
        <f t="shared" si="32"/>
        <v>226.15424570863996</v>
      </c>
      <c r="AU19" s="165">
        <v>0</v>
      </c>
      <c r="AV19" s="166">
        <f t="shared" si="33"/>
        <v>0</v>
      </c>
      <c r="AW19" s="33">
        <f t="shared" si="34"/>
        <v>3656.929184403496</v>
      </c>
      <c r="AX19" s="167">
        <f t="shared" si="35"/>
        <v>255.98504290824474</v>
      </c>
      <c r="AY19" s="165">
        <v>0</v>
      </c>
      <c r="AZ19" s="166">
        <f t="shared" si="36"/>
        <v>0</v>
      </c>
      <c r="BA19" s="33">
        <f t="shared" si="37"/>
        <v>4112.9142273117404</v>
      </c>
      <c r="BB19" s="167">
        <f t="shared" si="38"/>
        <v>287.90399591182188</v>
      </c>
      <c r="BC19" s="165">
        <v>200</v>
      </c>
      <c r="BD19" s="166">
        <f t="shared" si="39"/>
        <v>0</v>
      </c>
      <c r="BE19" s="33">
        <f t="shared" si="40"/>
        <v>4400.8182232235622</v>
      </c>
      <c r="BF19" s="167">
        <f t="shared" si="41"/>
        <v>294.05727562564937</v>
      </c>
      <c r="BG19" s="165">
        <v>300</v>
      </c>
      <c r="BH19" s="166">
        <f t="shared" si="42"/>
        <v>0</v>
      </c>
      <c r="BI19" s="33">
        <f t="shared" si="43"/>
        <v>4594.8754988492119</v>
      </c>
      <c r="BJ19" s="167">
        <f t="shared" si="44"/>
        <v>300.64128491944484</v>
      </c>
      <c r="BK19" s="87">
        <f t="shared" si="45"/>
        <v>800</v>
      </c>
      <c r="BL19" s="33">
        <f>'2021-2022 (B)'!AV19+'2022-2023'!BK19</f>
        <v>9600</v>
      </c>
    </row>
    <row r="20" spans="1:65">
      <c r="A20" s="10" t="s">
        <v>591</v>
      </c>
      <c r="B20" s="10" t="s">
        <v>140</v>
      </c>
      <c r="C20" s="80">
        <v>0</v>
      </c>
      <c r="D20" s="79">
        <f t="shared" si="0"/>
        <v>2400</v>
      </c>
      <c r="E20" s="78">
        <f>'2021-2022 (B)'!E20</f>
        <v>7500</v>
      </c>
      <c r="F20" s="187">
        <f t="shared" si="1"/>
        <v>2400</v>
      </c>
      <c r="G20" s="159">
        <f t="shared" si="2"/>
        <v>1250</v>
      </c>
      <c r="H20" s="190">
        <f t="shared" si="3"/>
        <v>1150</v>
      </c>
      <c r="I20" s="78">
        <f t="shared" si="46"/>
        <v>16990.413448238338</v>
      </c>
      <c r="J20" s="78">
        <f t="shared" si="4"/>
        <v>0</v>
      </c>
      <c r="K20" s="78">
        <f t="shared" si="5"/>
        <v>68.75</v>
      </c>
      <c r="L20" s="78">
        <f t="shared" si="6"/>
        <v>8340.4134482383361</v>
      </c>
      <c r="M20" s="194">
        <f t="shared" si="7"/>
        <v>8340.4134482383361</v>
      </c>
      <c r="N20" s="78">
        <f t="shared" si="8"/>
        <v>-7021.6634482383361</v>
      </c>
      <c r="O20" s="165">
        <v>0</v>
      </c>
      <c r="P20" s="166">
        <f t="shared" si="9"/>
        <v>0</v>
      </c>
      <c r="Q20" s="119">
        <f t="shared" si="10"/>
        <v>7700</v>
      </c>
      <c r="R20" s="167">
        <f t="shared" si="11"/>
        <v>423.5</v>
      </c>
      <c r="S20" s="165">
        <v>0</v>
      </c>
      <c r="T20" s="166">
        <f t="shared" si="12"/>
        <v>0</v>
      </c>
      <c r="U20" s="33">
        <f t="shared" si="13"/>
        <v>8323.5</v>
      </c>
      <c r="V20" s="167">
        <f t="shared" si="14"/>
        <v>457.79250000000002</v>
      </c>
      <c r="W20" s="165">
        <v>300</v>
      </c>
      <c r="X20" s="166">
        <f t="shared" si="15"/>
        <v>0</v>
      </c>
      <c r="Y20" s="33">
        <f t="shared" si="16"/>
        <v>8681.2924999999996</v>
      </c>
      <c r="Z20" s="167">
        <f t="shared" si="17"/>
        <v>460.97108749999995</v>
      </c>
      <c r="AA20" s="165">
        <v>200</v>
      </c>
      <c r="AB20" s="166">
        <f t="shared" si="18"/>
        <v>0</v>
      </c>
      <c r="AC20" s="33">
        <f t="shared" si="19"/>
        <v>9142.2635874999996</v>
      </c>
      <c r="AD20" s="167">
        <f t="shared" si="20"/>
        <v>491.8244973125</v>
      </c>
      <c r="AE20" s="165">
        <v>250</v>
      </c>
      <c r="AF20" s="166">
        <f t="shared" si="21"/>
        <v>0</v>
      </c>
      <c r="AG20" s="33">
        <f t="shared" si="22"/>
        <v>9584.0880848124998</v>
      </c>
      <c r="AH20" s="167">
        <f t="shared" si="23"/>
        <v>513.37484466468754</v>
      </c>
      <c r="AI20" s="165">
        <v>0</v>
      </c>
      <c r="AJ20" s="166">
        <f t="shared" si="24"/>
        <v>0</v>
      </c>
      <c r="AK20" s="33">
        <f t="shared" si="25"/>
        <v>10297.462929477188</v>
      </c>
      <c r="AL20" s="167">
        <f t="shared" si="26"/>
        <v>566.36046112124529</v>
      </c>
      <c r="AM20" s="165">
        <v>0</v>
      </c>
      <c r="AN20" s="166">
        <f t="shared" si="27"/>
        <v>0</v>
      </c>
      <c r="AO20" s="33">
        <f t="shared" si="28"/>
        <v>11063.823390598433</v>
      </c>
      <c r="AP20" s="167">
        <f t="shared" si="29"/>
        <v>608.51028648291378</v>
      </c>
      <c r="AQ20" s="165">
        <v>0</v>
      </c>
      <c r="AR20" s="166">
        <f t="shared" si="30"/>
        <v>0</v>
      </c>
      <c r="AS20" s="33">
        <f t="shared" si="31"/>
        <v>11872.333677081346</v>
      </c>
      <c r="AT20" s="167">
        <f t="shared" si="32"/>
        <v>831.06335739569431</v>
      </c>
      <c r="AU20" s="165">
        <v>0</v>
      </c>
      <c r="AV20" s="166">
        <f t="shared" si="33"/>
        <v>0</v>
      </c>
      <c r="AW20" s="33">
        <f t="shared" si="34"/>
        <v>12903.397034477041</v>
      </c>
      <c r="AX20" s="167">
        <f t="shared" si="35"/>
        <v>903.23779241339287</v>
      </c>
      <c r="AY20" s="165">
        <v>250</v>
      </c>
      <c r="AZ20" s="166">
        <f t="shared" si="36"/>
        <v>0</v>
      </c>
      <c r="BA20" s="33">
        <f t="shared" si="37"/>
        <v>13756.634826890433</v>
      </c>
      <c r="BB20" s="167">
        <f t="shared" si="38"/>
        <v>945.46443788233046</v>
      </c>
      <c r="BC20" s="165"/>
      <c r="BD20" s="166">
        <f t="shared" si="39"/>
        <v>0</v>
      </c>
      <c r="BE20" s="33">
        <f t="shared" si="40"/>
        <v>14902.099264772763</v>
      </c>
      <c r="BF20" s="167">
        <f t="shared" si="41"/>
        <v>1043.1469485340936</v>
      </c>
      <c r="BG20" s="165">
        <v>250</v>
      </c>
      <c r="BH20" s="166">
        <f t="shared" si="42"/>
        <v>0</v>
      </c>
      <c r="BI20" s="33">
        <f t="shared" si="43"/>
        <v>15895.246213306857</v>
      </c>
      <c r="BJ20" s="167">
        <f t="shared" si="44"/>
        <v>1095.1672349314802</v>
      </c>
      <c r="BK20" s="87">
        <f t="shared" si="45"/>
        <v>1250</v>
      </c>
      <c r="BL20" s="33">
        <f>'2021-2022 (B)'!AV20+'2022-2023'!BK20</f>
        <v>1750</v>
      </c>
    </row>
    <row r="21" spans="1:65">
      <c r="A21" s="10" t="s">
        <v>592</v>
      </c>
      <c r="B21" s="10" t="s">
        <v>117</v>
      </c>
      <c r="C21" s="80">
        <v>0</v>
      </c>
      <c r="D21" s="79">
        <f t="shared" si="0"/>
        <v>2400</v>
      </c>
      <c r="E21" s="78">
        <f>'2021-2022 (B)'!E21</f>
        <v>1230</v>
      </c>
      <c r="F21" s="187">
        <f t="shared" si="1"/>
        <v>2400</v>
      </c>
      <c r="G21" s="159">
        <f t="shared" si="2"/>
        <v>0</v>
      </c>
      <c r="H21" s="190">
        <f t="shared" si="3"/>
        <v>2400</v>
      </c>
      <c r="I21" s="78">
        <f t="shared" si="46"/>
        <v>6186.672822561216</v>
      </c>
      <c r="J21" s="78">
        <f t="shared" si="4"/>
        <v>0</v>
      </c>
      <c r="K21" s="78">
        <f t="shared" si="5"/>
        <v>0</v>
      </c>
      <c r="L21" s="78">
        <f t="shared" si="6"/>
        <v>2556.672822561216</v>
      </c>
      <c r="M21" s="194">
        <f t="shared" si="7"/>
        <v>2556.672822561216</v>
      </c>
      <c r="N21" s="78">
        <f t="shared" si="8"/>
        <v>-2556.672822561216</v>
      </c>
      <c r="O21" s="165">
        <v>0</v>
      </c>
      <c r="P21" s="166">
        <f t="shared" si="9"/>
        <v>0</v>
      </c>
      <c r="Q21" s="119">
        <f t="shared" si="10"/>
        <v>1430</v>
      </c>
      <c r="R21" s="167">
        <f t="shared" si="11"/>
        <v>78.650000000000006</v>
      </c>
      <c r="S21" s="165">
        <v>0</v>
      </c>
      <c r="T21" s="166">
        <f t="shared" si="12"/>
        <v>0</v>
      </c>
      <c r="U21" s="33">
        <f t="shared" si="13"/>
        <v>1708.65</v>
      </c>
      <c r="V21" s="167">
        <f t="shared" si="14"/>
        <v>93.975750000000005</v>
      </c>
      <c r="W21" s="165">
        <v>0</v>
      </c>
      <c r="X21" s="166">
        <f t="shared" si="15"/>
        <v>0</v>
      </c>
      <c r="Y21" s="33">
        <f t="shared" si="16"/>
        <v>2002.6257500000002</v>
      </c>
      <c r="Z21" s="167">
        <f t="shared" si="17"/>
        <v>110.14441625000001</v>
      </c>
      <c r="AA21" s="165">
        <v>0</v>
      </c>
      <c r="AB21" s="166">
        <f t="shared" si="18"/>
        <v>0</v>
      </c>
      <c r="AC21" s="33">
        <f t="shared" si="19"/>
        <v>2312.7701662500003</v>
      </c>
      <c r="AD21" s="167">
        <f t="shared" si="20"/>
        <v>127.20235914375002</v>
      </c>
      <c r="AE21" s="165">
        <v>0</v>
      </c>
      <c r="AF21" s="166">
        <f t="shared" si="21"/>
        <v>0</v>
      </c>
      <c r="AG21" s="33">
        <f t="shared" si="22"/>
        <v>2639.9725253937504</v>
      </c>
      <c r="AH21" s="167">
        <f t="shared" si="23"/>
        <v>145.19848889665627</v>
      </c>
      <c r="AI21" s="165">
        <v>0</v>
      </c>
      <c r="AJ21" s="166">
        <f t="shared" si="24"/>
        <v>0</v>
      </c>
      <c r="AK21" s="33">
        <f t="shared" si="25"/>
        <v>2985.1710142904067</v>
      </c>
      <c r="AL21" s="167">
        <f t="shared" si="26"/>
        <v>164.18440578597236</v>
      </c>
      <c r="AM21" s="165">
        <v>0</v>
      </c>
      <c r="AN21" s="166">
        <f t="shared" si="27"/>
        <v>0</v>
      </c>
      <c r="AO21" s="33">
        <f t="shared" si="28"/>
        <v>3349.3554200763792</v>
      </c>
      <c r="AP21" s="167">
        <f t="shared" si="29"/>
        <v>184.21454810420087</v>
      </c>
      <c r="AQ21" s="165">
        <v>0</v>
      </c>
      <c r="AR21" s="166">
        <f t="shared" si="30"/>
        <v>0</v>
      </c>
      <c r="AS21" s="33">
        <f t="shared" si="31"/>
        <v>3733.56996818058</v>
      </c>
      <c r="AT21" s="167">
        <f t="shared" si="32"/>
        <v>261.34989777264065</v>
      </c>
      <c r="AU21" s="165">
        <v>0</v>
      </c>
      <c r="AV21" s="166">
        <f t="shared" si="33"/>
        <v>0</v>
      </c>
      <c r="AW21" s="33">
        <f t="shared" si="34"/>
        <v>4194.9198659532203</v>
      </c>
      <c r="AX21" s="167">
        <f t="shared" si="35"/>
        <v>293.64439061672545</v>
      </c>
      <c r="AY21" s="165">
        <v>0</v>
      </c>
      <c r="AZ21" s="166">
        <f t="shared" si="36"/>
        <v>0</v>
      </c>
      <c r="BA21" s="33">
        <f t="shared" si="37"/>
        <v>4688.5642565699454</v>
      </c>
      <c r="BB21" s="167">
        <f t="shared" si="38"/>
        <v>328.19949795989623</v>
      </c>
      <c r="BC21" s="165">
        <v>0</v>
      </c>
      <c r="BD21" s="166">
        <f t="shared" si="39"/>
        <v>0</v>
      </c>
      <c r="BE21" s="33">
        <f t="shared" si="40"/>
        <v>5216.7637545298421</v>
      </c>
      <c r="BF21" s="167">
        <f t="shared" si="41"/>
        <v>365.17346281708899</v>
      </c>
      <c r="BG21" s="165">
        <v>0</v>
      </c>
      <c r="BH21" s="166">
        <f t="shared" si="42"/>
        <v>0</v>
      </c>
      <c r="BI21" s="33">
        <f t="shared" si="43"/>
        <v>5781.937217346931</v>
      </c>
      <c r="BJ21" s="167">
        <f t="shared" si="44"/>
        <v>404.73560521428521</v>
      </c>
      <c r="BK21" s="87">
        <f t="shared" si="45"/>
        <v>0</v>
      </c>
      <c r="BL21" s="33">
        <f>'2021-2022 (B)'!AV21+'2022-2023'!BK21</f>
        <v>6970</v>
      </c>
      <c r="BM21">
        <f>(60*200)</f>
        <v>12000</v>
      </c>
    </row>
    <row r="22" spans="1:65">
      <c r="A22" s="10" t="s">
        <v>593</v>
      </c>
      <c r="B22" s="10" t="s">
        <v>118</v>
      </c>
      <c r="C22" s="80">
        <v>0</v>
      </c>
      <c r="D22" s="79">
        <f t="shared" si="0"/>
        <v>2400</v>
      </c>
      <c r="E22" s="78">
        <f>'2021-2022 (B)'!E22</f>
        <v>6800</v>
      </c>
      <c r="F22" s="187">
        <f t="shared" si="1"/>
        <v>2400</v>
      </c>
      <c r="G22" s="159">
        <f t="shared" si="2"/>
        <v>0</v>
      </c>
      <c r="H22" s="190">
        <f t="shared" si="3"/>
        <v>2400</v>
      </c>
      <c r="I22" s="78">
        <f t="shared" si="46"/>
        <v>17550.936479653366</v>
      </c>
      <c r="J22" s="78">
        <f t="shared" si="4"/>
        <v>0</v>
      </c>
      <c r="K22" s="78">
        <f t="shared" si="5"/>
        <v>0</v>
      </c>
      <c r="L22" s="78">
        <f t="shared" si="6"/>
        <v>8350.9364796533664</v>
      </c>
      <c r="M22" s="194">
        <f t="shared" si="7"/>
        <v>8350.9364796533664</v>
      </c>
      <c r="N22" s="78">
        <f t="shared" si="8"/>
        <v>-8350.9364796533664</v>
      </c>
      <c r="O22" s="165">
        <v>0</v>
      </c>
      <c r="P22" s="166">
        <f t="shared" si="9"/>
        <v>0</v>
      </c>
      <c r="Q22" s="119">
        <f t="shared" si="10"/>
        <v>7000</v>
      </c>
      <c r="R22" s="167">
        <f t="shared" si="11"/>
        <v>385</v>
      </c>
      <c r="S22" s="165">
        <v>0</v>
      </c>
      <c r="T22" s="166">
        <f t="shared" si="12"/>
        <v>0</v>
      </c>
      <c r="U22" s="33">
        <f t="shared" si="13"/>
        <v>7585</v>
      </c>
      <c r="V22" s="167">
        <f t="shared" si="14"/>
        <v>417.17500000000001</v>
      </c>
      <c r="W22" s="165">
        <v>0</v>
      </c>
      <c r="X22" s="166">
        <f t="shared" si="15"/>
        <v>0</v>
      </c>
      <c r="Y22" s="33">
        <f t="shared" si="16"/>
        <v>8202.1749999999993</v>
      </c>
      <c r="Z22" s="167">
        <f t="shared" si="17"/>
        <v>451.11962499999998</v>
      </c>
      <c r="AA22" s="165">
        <v>0</v>
      </c>
      <c r="AB22" s="166">
        <f t="shared" si="18"/>
        <v>0</v>
      </c>
      <c r="AC22" s="33">
        <f t="shared" si="19"/>
        <v>8853.2946249999986</v>
      </c>
      <c r="AD22" s="167">
        <f t="shared" si="20"/>
        <v>486.93120437499994</v>
      </c>
      <c r="AE22" s="165">
        <v>0</v>
      </c>
      <c r="AF22" s="166">
        <f t="shared" si="21"/>
        <v>0</v>
      </c>
      <c r="AG22" s="33">
        <f t="shared" si="22"/>
        <v>9540.2258293749983</v>
      </c>
      <c r="AH22" s="167">
        <f t="shared" si="23"/>
        <v>524.71242061562486</v>
      </c>
      <c r="AI22" s="165">
        <v>0</v>
      </c>
      <c r="AJ22" s="166">
        <f t="shared" si="24"/>
        <v>0</v>
      </c>
      <c r="AK22" s="33">
        <f t="shared" si="25"/>
        <v>10264.938249990622</v>
      </c>
      <c r="AL22" s="167">
        <f t="shared" si="26"/>
        <v>564.57160374948421</v>
      </c>
      <c r="AM22" s="165">
        <v>0</v>
      </c>
      <c r="AN22" s="166">
        <f t="shared" si="27"/>
        <v>0</v>
      </c>
      <c r="AO22" s="33">
        <f t="shared" si="28"/>
        <v>11029.509853740106</v>
      </c>
      <c r="AP22" s="167">
        <f t="shared" si="29"/>
        <v>606.62304195570584</v>
      </c>
      <c r="AQ22" s="165">
        <v>0</v>
      </c>
      <c r="AR22" s="166">
        <f t="shared" si="30"/>
        <v>0</v>
      </c>
      <c r="AS22" s="33">
        <f t="shared" si="31"/>
        <v>11836.132895695811</v>
      </c>
      <c r="AT22" s="167">
        <f t="shared" si="32"/>
        <v>828.52930269870683</v>
      </c>
      <c r="AU22" s="165">
        <v>0</v>
      </c>
      <c r="AV22" s="166">
        <f t="shared" si="33"/>
        <v>0</v>
      </c>
      <c r="AW22" s="33">
        <f t="shared" si="34"/>
        <v>12864.662198394519</v>
      </c>
      <c r="AX22" s="167">
        <f t="shared" si="35"/>
        <v>900.52635388761644</v>
      </c>
      <c r="AY22" s="165">
        <v>0</v>
      </c>
      <c r="AZ22" s="166">
        <f t="shared" si="36"/>
        <v>0</v>
      </c>
      <c r="BA22" s="33">
        <f t="shared" si="37"/>
        <v>13965.188552282136</v>
      </c>
      <c r="BB22" s="167">
        <f t="shared" si="38"/>
        <v>977.56319865974956</v>
      </c>
      <c r="BC22" s="165">
        <v>0</v>
      </c>
      <c r="BD22" s="166">
        <f t="shared" si="39"/>
        <v>0</v>
      </c>
      <c r="BE22" s="33">
        <f t="shared" si="40"/>
        <v>15142.751750941885</v>
      </c>
      <c r="BF22" s="167">
        <f t="shared" si="41"/>
        <v>1059.9926225659322</v>
      </c>
      <c r="BG22" s="165">
        <v>0</v>
      </c>
      <c r="BH22" s="166">
        <f t="shared" si="42"/>
        <v>0</v>
      </c>
      <c r="BI22" s="33">
        <f t="shared" si="43"/>
        <v>16402.744373507816</v>
      </c>
      <c r="BJ22" s="167">
        <f t="shared" si="44"/>
        <v>1148.1921061455473</v>
      </c>
      <c r="BK22" s="87">
        <f t="shared" si="45"/>
        <v>0</v>
      </c>
      <c r="BL22" s="33">
        <f>'2021-2022 (B)'!AV22+'2022-2023'!BK22</f>
        <v>1300</v>
      </c>
      <c r="BM22" s="253">
        <f>BM21-BL21+100</f>
        <v>5130</v>
      </c>
    </row>
    <row r="23" spans="1:65">
      <c r="A23" s="10" t="s">
        <v>594</v>
      </c>
      <c r="B23" s="10" t="s">
        <v>119</v>
      </c>
      <c r="C23" s="80">
        <v>0</v>
      </c>
      <c r="D23" s="79">
        <f t="shared" si="0"/>
        <v>2400</v>
      </c>
      <c r="E23" s="78">
        <f>'2021-2022 (B)'!E23</f>
        <v>3600</v>
      </c>
      <c r="F23" s="187">
        <f t="shared" si="1"/>
        <v>2400</v>
      </c>
      <c r="G23" s="159">
        <f t="shared" si="2"/>
        <v>0</v>
      </c>
      <c r="H23" s="190">
        <f t="shared" si="3"/>
        <v>2400</v>
      </c>
      <c r="I23" s="78">
        <f t="shared" si="46"/>
        <v>11022.095599456799</v>
      </c>
      <c r="J23" s="78">
        <f t="shared" si="4"/>
        <v>0</v>
      </c>
      <c r="K23" s="78">
        <f t="shared" si="5"/>
        <v>0</v>
      </c>
      <c r="L23" s="78">
        <f t="shared" si="6"/>
        <v>5022.0955994568003</v>
      </c>
      <c r="M23" s="194">
        <f t="shared" si="7"/>
        <v>5022.0955994568003</v>
      </c>
      <c r="N23" s="78">
        <f t="shared" si="8"/>
        <v>-5022.0955994568003</v>
      </c>
      <c r="O23" s="165">
        <v>0</v>
      </c>
      <c r="P23" s="166">
        <f t="shared" si="9"/>
        <v>0</v>
      </c>
      <c r="Q23" s="119">
        <f t="shared" si="10"/>
        <v>3800</v>
      </c>
      <c r="R23" s="167">
        <f t="shared" si="11"/>
        <v>209</v>
      </c>
      <c r="S23" s="165">
        <v>0</v>
      </c>
      <c r="T23" s="166">
        <f t="shared" si="12"/>
        <v>0</v>
      </c>
      <c r="U23" s="33">
        <f t="shared" si="13"/>
        <v>4209</v>
      </c>
      <c r="V23" s="167">
        <f t="shared" si="14"/>
        <v>231.495</v>
      </c>
      <c r="W23" s="165">
        <v>0</v>
      </c>
      <c r="X23" s="166">
        <f t="shared" si="15"/>
        <v>0</v>
      </c>
      <c r="Y23" s="33">
        <f t="shared" si="16"/>
        <v>4640.4949999999999</v>
      </c>
      <c r="Z23" s="167">
        <f t="shared" si="17"/>
        <v>255.227225</v>
      </c>
      <c r="AA23" s="165">
        <v>0</v>
      </c>
      <c r="AB23" s="166">
        <f t="shared" si="18"/>
        <v>0</v>
      </c>
      <c r="AC23" s="33">
        <f t="shared" si="19"/>
        <v>5095.7222249999995</v>
      </c>
      <c r="AD23" s="167">
        <f t="shared" si="20"/>
        <v>280.26472237499996</v>
      </c>
      <c r="AE23" s="165">
        <v>0</v>
      </c>
      <c r="AF23" s="166">
        <f t="shared" si="21"/>
        <v>0</v>
      </c>
      <c r="AG23" s="33">
        <f t="shared" si="22"/>
        <v>5575.9869473749995</v>
      </c>
      <c r="AH23" s="167">
        <f t="shared" si="23"/>
        <v>306.67928210562496</v>
      </c>
      <c r="AI23" s="165">
        <v>0</v>
      </c>
      <c r="AJ23" s="166">
        <f t="shared" si="24"/>
        <v>0</v>
      </c>
      <c r="AK23" s="33">
        <f t="shared" si="25"/>
        <v>6082.6662294806247</v>
      </c>
      <c r="AL23" s="167">
        <f t="shared" si="26"/>
        <v>334.54664262143439</v>
      </c>
      <c r="AM23" s="165">
        <v>0</v>
      </c>
      <c r="AN23" s="166">
        <f t="shared" si="27"/>
        <v>0</v>
      </c>
      <c r="AO23" s="33">
        <f t="shared" si="28"/>
        <v>6617.212872102059</v>
      </c>
      <c r="AP23" s="167">
        <f t="shared" si="29"/>
        <v>363.94670796561326</v>
      </c>
      <c r="AQ23" s="165">
        <v>0</v>
      </c>
      <c r="AR23" s="166">
        <f t="shared" si="30"/>
        <v>0</v>
      </c>
      <c r="AS23" s="33">
        <f t="shared" si="31"/>
        <v>7181.1595800676723</v>
      </c>
      <c r="AT23" s="167">
        <f t="shared" si="32"/>
        <v>502.68117060473713</v>
      </c>
      <c r="AU23" s="165">
        <v>0</v>
      </c>
      <c r="AV23" s="166">
        <f t="shared" si="33"/>
        <v>0</v>
      </c>
      <c r="AW23" s="33">
        <f t="shared" si="34"/>
        <v>7883.8407506724097</v>
      </c>
      <c r="AX23" s="167">
        <f t="shared" si="35"/>
        <v>551.86885254706874</v>
      </c>
      <c r="AY23" s="165">
        <v>0</v>
      </c>
      <c r="AZ23" s="166">
        <f t="shared" si="36"/>
        <v>0</v>
      </c>
      <c r="BA23" s="33">
        <f t="shared" si="37"/>
        <v>8635.7096032194786</v>
      </c>
      <c r="BB23" s="167">
        <f t="shared" si="38"/>
        <v>604.49967222536361</v>
      </c>
      <c r="BC23" s="165">
        <v>0</v>
      </c>
      <c r="BD23" s="166">
        <f t="shared" si="39"/>
        <v>0</v>
      </c>
      <c r="BE23" s="33">
        <f t="shared" si="40"/>
        <v>9440.2092754448422</v>
      </c>
      <c r="BF23" s="167">
        <f t="shared" si="41"/>
        <v>660.81464928113905</v>
      </c>
      <c r="BG23" s="165">
        <v>0</v>
      </c>
      <c r="BH23" s="166">
        <f t="shared" si="42"/>
        <v>0</v>
      </c>
      <c r="BI23" s="33">
        <f t="shared" si="43"/>
        <v>10301.023924725981</v>
      </c>
      <c r="BJ23" s="167">
        <f t="shared" si="44"/>
        <v>721.07167473081881</v>
      </c>
      <c r="BK23" s="87">
        <f t="shared" si="45"/>
        <v>0</v>
      </c>
      <c r="BL23" s="33">
        <f>'2021-2022 (B)'!AV23+'2022-2023'!BK23</f>
        <v>4500</v>
      </c>
      <c r="BM23" s="252">
        <f>BM22-800</f>
        <v>4330</v>
      </c>
    </row>
    <row r="24" spans="1:65">
      <c r="A24" s="10" t="s">
        <v>595</v>
      </c>
      <c r="B24" s="10" t="s">
        <v>116</v>
      </c>
      <c r="C24" s="80">
        <v>0</v>
      </c>
      <c r="D24" s="79">
        <f t="shared" si="0"/>
        <v>2400</v>
      </c>
      <c r="E24" s="78">
        <f>'2021-2022 (B)'!E24</f>
        <v>7500</v>
      </c>
      <c r="F24" s="187">
        <f t="shared" si="1"/>
        <v>2400</v>
      </c>
      <c r="G24" s="159">
        <f t="shared" si="2"/>
        <v>0</v>
      </c>
      <c r="H24" s="190">
        <f t="shared" si="3"/>
        <v>2400</v>
      </c>
      <c r="I24" s="78">
        <f t="shared" si="46"/>
        <v>18979.120422196371</v>
      </c>
      <c r="J24" s="78">
        <f t="shared" si="4"/>
        <v>0</v>
      </c>
      <c r="K24" s="78">
        <f t="shared" si="5"/>
        <v>0</v>
      </c>
      <c r="L24" s="78">
        <f t="shared" si="6"/>
        <v>9079.120422196369</v>
      </c>
      <c r="M24" s="194">
        <f t="shared" si="7"/>
        <v>9079.120422196369</v>
      </c>
      <c r="N24" s="78">
        <f t="shared" si="8"/>
        <v>-9079.120422196369</v>
      </c>
      <c r="O24" s="165">
        <v>0</v>
      </c>
      <c r="P24" s="166">
        <f t="shared" si="9"/>
        <v>0</v>
      </c>
      <c r="Q24" s="119">
        <f t="shared" si="10"/>
        <v>7700</v>
      </c>
      <c r="R24" s="167">
        <f t="shared" si="11"/>
        <v>423.5</v>
      </c>
      <c r="S24" s="165">
        <v>0</v>
      </c>
      <c r="T24" s="166">
        <f t="shared" si="12"/>
        <v>0</v>
      </c>
      <c r="U24" s="33">
        <f t="shared" si="13"/>
        <v>8323.5</v>
      </c>
      <c r="V24" s="167">
        <f t="shared" si="14"/>
        <v>457.79250000000002</v>
      </c>
      <c r="W24" s="165">
        <v>0</v>
      </c>
      <c r="X24" s="166">
        <f t="shared" si="15"/>
        <v>0</v>
      </c>
      <c r="Y24" s="33">
        <f t="shared" si="16"/>
        <v>8981.2924999999996</v>
      </c>
      <c r="Z24" s="167">
        <f t="shared" si="17"/>
        <v>493.97108749999995</v>
      </c>
      <c r="AA24" s="165">
        <v>0</v>
      </c>
      <c r="AB24" s="166">
        <f t="shared" si="18"/>
        <v>0</v>
      </c>
      <c r="AC24" s="33">
        <f t="shared" si="19"/>
        <v>9675.2635874999996</v>
      </c>
      <c r="AD24" s="167">
        <f t="shared" si="20"/>
        <v>532.1394973125</v>
      </c>
      <c r="AE24" s="165">
        <v>0</v>
      </c>
      <c r="AF24" s="166">
        <f t="shared" si="21"/>
        <v>0</v>
      </c>
      <c r="AG24" s="33">
        <f t="shared" si="22"/>
        <v>10407.4030848125</v>
      </c>
      <c r="AH24" s="167">
        <f t="shared" si="23"/>
        <v>572.40716966468756</v>
      </c>
      <c r="AI24" s="165">
        <v>0</v>
      </c>
      <c r="AJ24" s="166">
        <f t="shared" si="24"/>
        <v>0</v>
      </c>
      <c r="AK24" s="33">
        <f t="shared" si="25"/>
        <v>11179.810254477188</v>
      </c>
      <c r="AL24" s="167">
        <f t="shared" si="26"/>
        <v>614.88956399624533</v>
      </c>
      <c r="AM24" s="165">
        <v>0</v>
      </c>
      <c r="AN24" s="166">
        <f t="shared" si="27"/>
        <v>0</v>
      </c>
      <c r="AO24" s="33">
        <f t="shared" si="28"/>
        <v>11994.699818473433</v>
      </c>
      <c r="AP24" s="167">
        <f t="shared" si="29"/>
        <v>659.70849001603881</v>
      </c>
      <c r="AQ24" s="165">
        <v>0</v>
      </c>
      <c r="AR24" s="166">
        <f t="shared" si="30"/>
        <v>0</v>
      </c>
      <c r="AS24" s="33">
        <f t="shared" si="31"/>
        <v>12854.408308489472</v>
      </c>
      <c r="AT24" s="167">
        <f t="shared" si="32"/>
        <v>899.80858159426316</v>
      </c>
      <c r="AU24" s="165">
        <v>0</v>
      </c>
      <c r="AV24" s="166">
        <f t="shared" si="33"/>
        <v>0</v>
      </c>
      <c r="AW24" s="33">
        <f t="shared" si="34"/>
        <v>13954.216890083735</v>
      </c>
      <c r="AX24" s="167">
        <f t="shared" si="35"/>
        <v>976.79518230586154</v>
      </c>
      <c r="AY24" s="165">
        <v>0</v>
      </c>
      <c r="AZ24" s="166">
        <f t="shared" si="36"/>
        <v>0</v>
      </c>
      <c r="BA24" s="33">
        <f t="shared" si="37"/>
        <v>15131.012072389596</v>
      </c>
      <c r="BB24" s="167">
        <f t="shared" si="38"/>
        <v>1059.1708450672718</v>
      </c>
      <c r="BC24" s="165">
        <v>0</v>
      </c>
      <c r="BD24" s="166">
        <f t="shared" si="39"/>
        <v>0</v>
      </c>
      <c r="BE24" s="33">
        <f t="shared" si="40"/>
        <v>16390.182917456867</v>
      </c>
      <c r="BF24" s="167">
        <f t="shared" si="41"/>
        <v>1147.3128042219807</v>
      </c>
      <c r="BG24" s="165">
        <v>0</v>
      </c>
      <c r="BH24" s="166">
        <f t="shared" si="42"/>
        <v>0</v>
      </c>
      <c r="BI24" s="33">
        <f t="shared" si="43"/>
        <v>17737.495721678846</v>
      </c>
      <c r="BJ24" s="167">
        <f t="shared" si="44"/>
        <v>1241.6247005175194</v>
      </c>
      <c r="BK24" s="87">
        <f t="shared" si="45"/>
        <v>0</v>
      </c>
      <c r="BL24" s="33">
        <f>'2021-2022 (B)'!AV24+'2022-2023'!BK24</f>
        <v>500</v>
      </c>
    </row>
    <row r="25" spans="1:65">
      <c r="A25" s="10" t="s">
        <v>596</v>
      </c>
      <c r="B25" s="10" t="s">
        <v>120</v>
      </c>
      <c r="C25" s="80">
        <v>0</v>
      </c>
      <c r="D25" s="79">
        <f t="shared" si="0"/>
        <v>2400</v>
      </c>
      <c r="E25" s="78">
        <f>'2021-2022 (B)'!E25</f>
        <v>300</v>
      </c>
      <c r="F25" s="187">
        <f t="shared" si="1"/>
        <v>2400</v>
      </c>
      <c r="G25" s="159">
        <f t="shared" si="2"/>
        <v>3600</v>
      </c>
      <c r="H25" s="190">
        <f t="shared" si="3"/>
        <v>-1200</v>
      </c>
      <c r="I25" s="78">
        <f t="shared" si="46"/>
        <v>-1226.4959720994013</v>
      </c>
      <c r="J25" s="78">
        <f t="shared" si="4"/>
        <v>0</v>
      </c>
      <c r="K25" s="78">
        <f t="shared" si="5"/>
        <v>198</v>
      </c>
      <c r="L25" s="78">
        <f t="shared" si="6"/>
        <v>-326.49597209940134</v>
      </c>
      <c r="M25" s="194">
        <f t="shared" si="7"/>
        <v>-326.49597209940134</v>
      </c>
      <c r="N25" s="78">
        <f t="shared" si="8"/>
        <v>4124.4959720994011</v>
      </c>
      <c r="O25" s="165">
        <v>300</v>
      </c>
      <c r="P25" s="166">
        <f t="shared" si="9"/>
        <v>0</v>
      </c>
      <c r="Q25" s="119">
        <f t="shared" si="10"/>
        <v>500</v>
      </c>
      <c r="R25" s="167">
        <f t="shared" si="11"/>
        <v>11</v>
      </c>
      <c r="S25" s="165">
        <v>300</v>
      </c>
      <c r="T25" s="166">
        <f t="shared" si="12"/>
        <v>0</v>
      </c>
      <c r="U25" s="33">
        <f t="shared" si="13"/>
        <v>411</v>
      </c>
      <c r="V25" s="167">
        <f t="shared" si="14"/>
        <v>6.1050000000000004</v>
      </c>
      <c r="W25" s="165">
        <v>300</v>
      </c>
      <c r="X25" s="166">
        <f t="shared" si="15"/>
        <v>0</v>
      </c>
      <c r="Y25" s="33">
        <f t="shared" si="16"/>
        <v>317.10500000000002</v>
      </c>
      <c r="Z25" s="167">
        <f t="shared" si="17"/>
        <v>0.94077500000000103</v>
      </c>
      <c r="AA25" s="165">
        <v>300</v>
      </c>
      <c r="AB25" s="166">
        <f t="shared" si="18"/>
        <v>0</v>
      </c>
      <c r="AC25" s="33">
        <f t="shared" si="19"/>
        <v>218.04577500000002</v>
      </c>
      <c r="AD25" s="167">
        <f t="shared" si="20"/>
        <v>-4.5074823749999986</v>
      </c>
      <c r="AE25" s="165">
        <v>300</v>
      </c>
      <c r="AF25" s="166">
        <f t="shared" si="21"/>
        <v>0</v>
      </c>
      <c r="AG25" s="33">
        <f t="shared" si="22"/>
        <v>113.53829262500003</v>
      </c>
      <c r="AH25" s="167">
        <f t="shared" si="23"/>
        <v>-10.255393905624999</v>
      </c>
      <c r="AI25" s="165">
        <v>300</v>
      </c>
      <c r="AJ25" s="166">
        <f t="shared" si="24"/>
        <v>0</v>
      </c>
      <c r="AK25" s="33">
        <f t="shared" si="25"/>
        <v>3.2828987193750265</v>
      </c>
      <c r="AL25" s="167">
        <f t="shared" si="26"/>
        <v>-16.319440570434374</v>
      </c>
      <c r="AM25" s="165">
        <v>300</v>
      </c>
      <c r="AN25" s="166">
        <f t="shared" si="27"/>
        <v>0</v>
      </c>
      <c r="AO25" s="33">
        <f t="shared" si="28"/>
        <v>-113.03654185105938</v>
      </c>
      <c r="AP25" s="167">
        <f t="shared" si="29"/>
        <v>-22.717009801808267</v>
      </c>
      <c r="AQ25" s="165">
        <f>300</f>
        <v>300</v>
      </c>
      <c r="AR25" s="166">
        <f t="shared" si="30"/>
        <v>0</v>
      </c>
      <c r="AS25" s="33">
        <f t="shared" si="31"/>
        <v>-235.75355165286766</v>
      </c>
      <c r="AT25" s="167">
        <f t="shared" si="32"/>
        <v>-37.502748615700739</v>
      </c>
      <c r="AU25" s="165">
        <f>300</f>
        <v>300</v>
      </c>
      <c r="AV25" s="166">
        <f t="shared" si="33"/>
        <v>0</v>
      </c>
      <c r="AW25" s="33">
        <f t="shared" si="34"/>
        <v>-373.25630026856834</v>
      </c>
      <c r="AX25" s="167">
        <f t="shared" si="35"/>
        <v>-47.127941018799788</v>
      </c>
      <c r="AY25" s="165">
        <v>300</v>
      </c>
      <c r="AZ25" s="166">
        <f t="shared" si="36"/>
        <v>0</v>
      </c>
      <c r="BA25" s="33">
        <f t="shared" si="37"/>
        <v>-520.38424128736813</v>
      </c>
      <c r="BB25" s="167">
        <f t="shared" si="38"/>
        <v>-57.426896890115778</v>
      </c>
      <c r="BC25" s="165">
        <v>300</v>
      </c>
      <c r="BD25" s="166">
        <f t="shared" si="39"/>
        <v>0</v>
      </c>
      <c r="BE25" s="33">
        <f t="shared" si="40"/>
        <v>-677.81113817748394</v>
      </c>
      <c r="BF25" s="167">
        <f t="shared" si="41"/>
        <v>-68.446779672423887</v>
      </c>
      <c r="BG25" s="165">
        <v>300</v>
      </c>
      <c r="BH25" s="166">
        <f t="shared" si="42"/>
        <v>0</v>
      </c>
      <c r="BI25" s="33">
        <f t="shared" si="43"/>
        <v>-846.25791784990781</v>
      </c>
      <c r="BJ25" s="167">
        <f t="shared" si="44"/>
        <v>-80.238054249493544</v>
      </c>
      <c r="BK25" s="87">
        <f t="shared" si="45"/>
        <v>3600</v>
      </c>
      <c r="BL25" s="33">
        <f>'2021-2022 (B)'!AV25+'2022-2023'!BK25</f>
        <v>14100</v>
      </c>
      <c r="BM25" s="252">
        <f>BM22+BL21</f>
        <v>12100</v>
      </c>
    </row>
    <row r="26" spans="1:65">
      <c r="A26" s="10" t="s">
        <v>597</v>
      </c>
      <c r="B26" s="10" t="s">
        <v>121</v>
      </c>
      <c r="C26" s="80">
        <v>0</v>
      </c>
      <c r="D26" s="79">
        <f t="shared" si="0"/>
        <v>2400</v>
      </c>
      <c r="E26" s="78">
        <f>'2021-2022 (B)'!E26</f>
        <v>3050</v>
      </c>
      <c r="F26" s="187">
        <f t="shared" si="1"/>
        <v>2400</v>
      </c>
      <c r="G26" s="159">
        <f t="shared" si="2"/>
        <v>800</v>
      </c>
      <c r="H26" s="190">
        <f t="shared" si="3"/>
        <v>1600</v>
      </c>
      <c r="I26" s="78">
        <f t="shared" si="46"/>
        <v>8357.0371690751053</v>
      </c>
      <c r="J26" s="78">
        <f t="shared" si="4"/>
        <v>0</v>
      </c>
      <c r="K26" s="78">
        <f t="shared" si="5"/>
        <v>44</v>
      </c>
      <c r="L26" s="78">
        <f t="shared" si="6"/>
        <v>3707.0371690751044</v>
      </c>
      <c r="M26" s="194">
        <f t="shared" si="7"/>
        <v>3707.0371690751044</v>
      </c>
      <c r="N26" s="78">
        <f t="shared" si="8"/>
        <v>-2863.0371690751044</v>
      </c>
      <c r="O26" s="165">
        <v>0</v>
      </c>
      <c r="P26" s="166">
        <f t="shared" si="9"/>
        <v>0</v>
      </c>
      <c r="Q26" s="119">
        <f t="shared" si="10"/>
        <v>3250</v>
      </c>
      <c r="R26" s="167">
        <f t="shared" si="11"/>
        <v>178.75</v>
      </c>
      <c r="S26" s="165">
        <v>0</v>
      </c>
      <c r="T26" s="166">
        <f t="shared" si="12"/>
        <v>0</v>
      </c>
      <c r="U26" s="33">
        <f t="shared" si="13"/>
        <v>3628.75</v>
      </c>
      <c r="V26" s="167">
        <f t="shared" si="14"/>
        <v>199.58125000000001</v>
      </c>
      <c r="W26" s="165">
        <v>800</v>
      </c>
      <c r="X26" s="166">
        <f t="shared" si="15"/>
        <v>0</v>
      </c>
      <c r="Y26" s="33">
        <f t="shared" si="16"/>
        <v>3228.3312500000002</v>
      </c>
      <c r="Z26" s="167">
        <f t="shared" si="17"/>
        <v>133.55821875000001</v>
      </c>
      <c r="AA26" s="165">
        <v>0</v>
      </c>
      <c r="AB26" s="166">
        <f t="shared" si="18"/>
        <v>0</v>
      </c>
      <c r="AC26" s="33">
        <f t="shared" si="19"/>
        <v>3561.8894687500001</v>
      </c>
      <c r="AD26" s="167">
        <f t="shared" si="20"/>
        <v>195.90392078125001</v>
      </c>
      <c r="AE26" s="165">
        <v>0</v>
      </c>
      <c r="AF26" s="166">
        <f t="shared" si="21"/>
        <v>0</v>
      </c>
      <c r="AG26" s="33">
        <f t="shared" si="22"/>
        <v>3957.7933895312499</v>
      </c>
      <c r="AH26" s="167">
        <f t="shared" si="23"/>
        <v>217.67863642421875</v>
      </c>
      <c r="AI26" s="165">
        <v>0</v>
      </c>
      <c r="AJ26" s="166">
        <f t="shared" si="24"/>
        <v>0</v>
      </c>
      <c r="AK26" s="33">
        <f t="shared" si="25"/>
        <v>4375.4720259554688</v>
      </c>
      <c r="AL26" s="167">
        <f t="shared" si="26"/>
        <v>240.65096142755078</v>
      </c>
      <c r="AM26" s="165">
        <v>0</v>
      </c>
      <c r="AN26" s="166">
        <f t="shared" si="27"/>
        <v>0</v>
      </c>
      <c r="AO26" s="33">
        <f t="shared" si="28"/>
        <v>4816.1229873830198</v>
      </c>
      <c r="AP26" s="167">
        <f t="shared" si="29"/>
        <v>264.88676430606608</v>
      </c>
      <c r="AQ26" s="165">
        <v>0</v>
      </c>
      <c r="AR26" s="166">
        <f t="shared" si="30"/>
        <v>0</v>
      </c>
      <c r="AS26" s="33">
        <f t="shared" si="31"/>
        <v>5281.0097516890855</v>
      </c>
      <c r="AT26" s="167">
        <f t="shared" si="32"/>
        <v>369.67068261823601</v>
      </c>
      <c r="AU26" s="165">
        <v>0</v>
      </c>
      <c r="AV26" s="166">
        <f t="shared" si="33"/>
        <v>0</v>
      </c>
      <c r="AW26" s="33">
        <f t="shared" si="34"/>
        <v>5850.6804343073218</v>
      </c>
      <c r="AX26" s="167">
        <f t="shared" si="35"/>
        <v>409.54763040151255</v>
      </c>
      <c r="AY26" s="165">
        <v>0</v>
      </c>
      <c r="AZ26" s="166">
        <f t="shared" si="36"/>
        <v>0</v>
      </c>
      <c r="BA26" s="33">
        <f t="shared" si="37"/>
        <v>6460.2280647088346</v>
      </c>
      <c r="BB26" s="167">
        <f t="shared" si="38"/>
        <v>452.21596452961847</v>
      </c>
      <c r="BC26" s="165">
        <v>0</v>
      </c>
      <c r="BD26" s="166">
        <f t="shared" si="39"/>
        <v>0</v>
      </c>
      <c r="BE26" s="33">
        <f t="shared" si="40"/>
        <v>7112.4440292384534</v>
      </c>
      <c r="BF26" s="167">
        <f t="shared" si="41"/>
        <v>497.87108204669181</v>
      </c>
      <c r="BG26" s="165">
        <v>0</v>
      </c>
      <c r="BH26" s="166">
        <f t="shared" si="42"/>
        <v>0</v>
      </c>
      <c r="BI26" s="33">
        <f t="shared" si="43"/>
        <v>7810.3151112851456</v>
      </c>
      <c r="BJ26" s="167">
        <f t="shared" si="44"/>
        <v>546.72205778996022</v>
      </c>
      <c r="BK26" s="87">
        <f t="shared" si="45"/>
        <v>800</v>
      </c>
      <c r="BL26" s="33">
        <f>'2021-2022 (B)'!AV26+'2022-2023'!BK26</f>
        <v>7650</v>
      </c>
      <c r="BM26" s="252">
        <f>BM22+800</f>
        <v>5930</v>
      </c>
    </row>
    <row r="27" spans="1:65">
      <c r="A27" s="10" t="s">
        <v>598</v>
      </c>
      <c r="B27" s="10" t="s">
        <v>110</v>
      </c>
      <c r="C27" s="80">
        <v>0</v>
      </c>
      <c r="D27" s="79">
        <f t="shared" si="0"/>
        <v>2400</v>
      </c>
      <c r="E27" s="78">
        <f>'2021-2022 (B)'!E27</f>
        <v>5900</v>
      </c>
      <c r="F27" s="187">
        <f t="shared" si="1"/>
        <v>2400</v>
      </c>
      <c r="G27" s="159">
        <f t="shared" si="2"/>
        <v>1000</v>
      </c>
      <c r="H27" s="190">
        <f t="shared" si="3"/>
        <v>1400</v>
      </c>
      <c r="I27" s="78">
        <f t="shared" si="46"/>
        <v>14608.335572023791</v>
      </c>
      <c r="J27" s="78">
        <f t="shared" si="4"/>
        <v>0</v>
      </c>
      <c r="K27" s="78">
        <f t="shared" si="5"/>
        <v>55</v>
      </c>
      <c r="L27" s="78">
        <f t="shared" si="6"/>
        <v>7308.3355720237905</v>
      </c>
      <c r="M27" s="194">
        <f t="shared" si="7"/>
        <v>7308.3355720237905</v>
      </c>
      <c r="N27" s="78">
        <f t="shared" si="8"/>
        <v>-6253.3355720237905</v>
      </c>
      <c r="O27" s="165">
        <v>1000</v>
      </c>
      <c r="P27" s="166">
        <f t="shared" si="9"/>
        <v>0</v>
      </c>
      <c r="Q27" s="119">
        <f t="shared" si="10"/>
        <v>6100</v>
      </c>
      <c r="R27" s="167">
        <f t="shared" si="11"/>
        <v>280.5</v>
      </c>
      <c r="S27" s="165">
        <v>0</v>
      </c>
      <c r="T27" s="166">
        <f t="shared" si="12"/>
        <v>0</v>
      </c>
      <c r="U27" s="33">
        <f t="shared" si="13"/>
        <v>6580.5</v>
      </c>
      <c r="V27" s="167">
        <f t="shared" si="14"/>
        <v>361.92750000000001</v>
      </c>
      <c r="W27" s="165">
        <v>0</v>
      </c>
      <c r="X27" s="166">
        <f t="shared" si="15"/>
        <v>0</v>
      </c>
      <c r="Y27" s="33">
        <f t="shared" si="16"/>
        <v>7142.4274999999998</v>
      </c>
      <c r="Z27" s="167">
        <f t="shared" si="17"/>
        <v>392.83351249999998</v>
      </c>
      <c r="AA27" s="165">
        <v>0</v>
      </c>
      <c r="AB27" s="166">
        <f t="shared" si="18"/>
        <v>0</v>
      </c>
      <c r="AC27" s="33">
        <f t="shared" si="19"/>
        <v>7735.2610125000001</v>
      </c>
      <c r="AD27" s="167">
        <f t="shared" si="20"/>
        <v>425.43935568749998</v>
      </c>
      <c r="AE27" s="165">
        <v>0</v>
      </c>
      <c r="AF27" s="166">
        <f t="shared" si="21"/>
        <v>0</v>
      </c>
      <c r="AG27" s="33">
        <f t="shared" si="22"/>
        <v>8360.7003681874994</v>
      </c>
      <c r="AH27" s="167">
        <f t="shared" si="23"/>
        <v>459.83852025031246</v>
      </c>
      <c r="AI27" s="165">
        <v>0</v>
      </c>
      <c r="AJ27" s="166">
        <f t="shared" si="24"/>
        <v>0</v>
      </c>
      <c r="AK27" s="33">
        <f t="shared" si="25"/>
        <v>9020.5388884378117</v>
      </c>
      <c r="AL27" s="167">
        <f t="shared" si="26"/>
        <v>496.12963886407965</v>
      </c>
      <c r="AM27" s="165">
        <v>0</v>
      </c>
      <c r="AN27" s="166">
        <f t="shared" si="27"/>
        <v>0</v>
      </c>
      <c r="AO27" s="33">
        <f t="shared" si="28"/>
        <v>9716.668527301892</v>
      </c>
      <c r="AP27" s="167">
        <f t="shared" si="29"/>
        <v>534.41676900160405</v>
      </c>
      <c r="AQ27" s="165">
        <v>0</v>
      </c>
      <c r="AR27" s="166">
        <f t="shared" si="30"/>
        <v>0</v>
      </c>
      <c r="AS27" s="33">
        <f t="shared" si="31"/>
        <v>10451.085296303496</v>
      </c>
      <c r="AT27" s="167">
        <f t="shared" si="32"/>
        <v>731.57597074124476</v>
      </c>
      <c r="AU27" s="165">
        <v>0</v>
      </c>
      <c r="AV27" s="166">
        <f t="shared" si="33"/>
        <v>0</v>
      </c>
      <c r="AW27" s="33">
        <f t="shared" si="34"/>
        <v>11382.661267044741</v>
      </c>
      <c r="AX27" s="167">
        <f t="shared" si="35"/>
        <v>796.78628869313195</v>
      </c>
      <c r="AY27" s="165">
        <v>0</v>
      </c>
      <c r="AZ27" s="166">
        <f t="shared" si="36"/>
        <v>0</v>
      </c>
      <c r="BA27" s="33">
        <f t="shared" si="37"/>
        <v>12379.447555737874</v>
      </c>
      <c r="BB27" s="167">
        <f t="shared" si="38"/>
        <v>866.56132890165122</v>
      </c>
      <c r="BC27" s="165">
        <v>0</v>
      </c>
      <c r="BD27" s="166">
        <f t="shared" si="39"/>
        <v>0</v>
      </c>
      <c r="BE27" s="33">
        <f t="shared" si="40"/>
        <v>13446.008884639525</v>
      </c>
      <c r="BF27" s="167">
        <f t="shared" si="41"/>
        <v>941.22062192476687</v>
      </c>
      <c r="BG27" s="165">
        <v>0</v>
      </c>
      <c r="BH27" s="166">
        <f t="shared" si="42"/>
        <v>0</v>
      </c>
      <c r="BI27" s="33">
        <f t="shared" si="43"/>
        <v>14587.229506564292</v>
      </c>
      <c r="BJ27" s="167">
        <f t="shared" si="44"/>
        <v>1021.1060654595005</v>
      </c>
      <c r="BK27" s="87">
        <f t="shared" si="45"/>
        <v>1000</v>
      </c>
      <c r="BL27" s="33">
        <f>'2021-2022 (B)'!AV27+'2022-2023'!BK27</f>
        <v>4100</v>
      </c>
    </row>
    <row r="28" spans="1:65">
      <c r="A28" s="10" t="s">
        <v>599</v>
      </c>
      <c r="B28" s="10" t="s">
        <v>116</v>
      </c>
      <c r="C28" s="80">
        <v>0</v>
      </c>
      <c r="D28" s="79">
        <f t="shared" si="0"/>
        <v>2400</v>
      </c>
      <c r="E28" s="78">
        <f>'2021-2022 (B)'!E28</f>
        <v>6900</v>
      </c>
      <c r="F28" s="187">
        <f t="shared" si="1"/>
        <v>2400</v>
      </c>
      <c r="G28" s="159">
        <f t="shared" si="2"/>
        <v>0</v>
      </c>
      <c r="H28" s="190">
        <f t="shared" si="3"/>
        <v>2400</v>
      </c>
      <c r="I28" s="78">
        <f t="shared" si="46"/>
        <v>17754.962757159512</v>
      </c>
      <c r="J28" s="78">
        <f t="shared" si="4"/>
        <v>0</v>
      </c>
      <c r="K28" s="78">
        <f t="shared" si="5"/>
        <v>0</v>
      </c>
      <c r="L28" s="78">
        <f t="shared" si="6"/>
        <v>8454.962757159512</v>
      </c>
      <c r="M28" s="194">
        <f t="shared" si="7"/>
        <v>8454.962757159512</v>
      </c>
      <c r="N28" s="78">
        <f t="shared" si="8"/>
        <v>-8454.962757159512</v>
      </c>
      <c r="O28" s="165">
        <v>0</v>
      </c>
      <c r="P28" s="166">
        <f t="shared" si="9"/>
        <v>0</v>
      </c>
      <c r="Q28" s="119">
        <f t="shared" si="10"/>
        <v>7100</v>
      </c>
      <c r="R28" s="167">
        <f t="shared" si="11"/>
        <v>390.5</v>
      </c>
      <c r="S28" s="165">
        <v>0</v>
      </c>
      <c r="T28" s="166">
        <f t="shared" si="12"/>
        <v>0</v>
      </c>
      <c r="U28" s="33">
        <f t="shared" si="13"/>
        <v>7690.5</v>
      </c>
      <c r="V28" s="167">
        <f t="shared" si="14"/>
        <v>422.97750000000002</v>
      </c>
      <c r="W28" s="165">
        <v>0</v>
      </c>
      <c r="X28" s="166">
        <f t="shared" si="15"/>
        <v>0</v>
      </c>
      <c r="Y28" s="33">
        <f t="shared" si="16"/>
        <v>8313.4775000000009</v>
      </c>
      <c r="Z28" s="167">
        <f t="shared" si="17"/>
        <v>457.24126250000006</v>
      </c>
      <c r="AA28" s="165">
        <v>0</v>
      </c>
      <c r="AB28" s="166">
        <f t="shared" si="18"/>
        <v>0</v>
      </c>
      <c r="AC28" s="33">
        <f t="shared" si="19"/>
        <v>8970.7187625000006</v>
      </c>
      <c r="AD28" s="167">
        <f t="shared" si="20"/>
        <v>493.38953193750001</v>
      </c>
      <c r="AE28" s="165">
        <v>0</v>
      </c>
      <c r="AF28" s="166">
        <f t="shared" si="21"/>
        <v>0</v>
      </c>
      <c r="AG28" s="33">
        <f t="shared" si="22"/>
        <v>9664.1082944375012</v>
      </c>
      <c r="AH28" s="167">
        <f t="shared" si="23"/>
        <v>531.52595619406259</v>
      </c>
      <c r="AI28" s="165">
        <v>0</v>
      </c>
      <c r="AJ28" s="166">
        <f t="shared" si="24"/>
        <v>0</v>
      </c>
      <c r="AK28" s="33">
        <f t="shared" si="25"/>
        <v>10395.634250631563</v>
      </c>
      <c r="AL28" s="167">
        <f t="shared" si="26"/>
        <v>571.75988378473596</v>
      </c>
      <c r="AM28" s="165">
        <v>0</v>
      </c>
      <c r="AN28" s="166">
        <f t="shared" si="27"/>
        <v>0</v>
      </c>
      <c r="AO28" s="33">
        <f t="shared" si="28"/>
        <v>11167.394134416299</v>
      </c>
      <c r="AP28" s="167">
        <f t="shared" si="29"/>
        <v>614.20667739289649</v>
      </c>
      <c r="AQ28" s="165">
        <v>0</v>
      </c>
      <c r="AR28" s="166">
        <f t="shared" si="30"/>
        <v>0</v>
      </c>
      <c r="AS28" s="33">
        <f t="shared" si="31"/>
        <v>11981.600811809196</v>
      </c>
      <c r="AT28" s="167">
        <f t="shared" si="32"/>
        <v>838.71205682664379</v>
      </c>
      <c r="AU28" s="165">
        <v>0</v>
      </c>
      <c r="AV28" s="166">
        <f t="shared" si="33"/>
        <v>0</v>
      </c>
      <c r="AW28" s="33">
        <f t="shared" si="34"/>
        <v>13020.31286863584</v>
      </c>
      <c r="AX28" s="167">
        <f t="shared" si="35"/>
        <v>911.42190080450882</v>
      </c>
      <c r="AY28" s="165">
        <v>0</v>
      </c>
      <c r="AZ28" s="166">
        <f t="shared" si="36"/>
        <v>0</v>
      </c>
      <c r="BA28" s="33">
        <f t="shared" si="37"/>
        <v>14131.734769440349</v>
      </c>
      <c r="BB28" s="167">
        <f t="shared" si="38"/>
        <v>989.2214338608245</v>
      </c>
      <c r="BC28" s="165">
        <v>0</v>
      </c>
      <c r="BD28" s="166">
        <f t="shared" si="39"/>
        <v>0</v>
      </c>
      <c r="BE28" s="33">
        <f t="shared" si="40"/>
        <v>15320.956203301173</v>
      </c>
      <c r="BF28" s="167">
        <f t="shared" si="41"/>
        <v>1072.4669342310822</v>
      </c>
      <c r="BG28" s="165">
        <v>0</v>
      </c>
      <c r="BH28" s="166">
        <f t="shared" si="42"/>
        <v>0</v>
      </c>
      <c r="BI28" s="33">
        <f t="shared" si="43"/>
        <v>16593.423137532256</v>
      </c>
      <c r="BJ28" s="167">
        <f t="shared" si="44"/>
        <v>1161.5396196272579</v>
      </c>
      <c r="BK28" s="87">
        <f t="shared" si="45"/>
        <v>0</v>
      </c>
      <c r="BL28" s="33">
        <f>'2021-2022 (B)'!AV28+'2022-2023'!BK28</f>
        <v>1100</v>
      </c>
    </row>
    <row r="29" spans="1:65">
      <c r="A29" s="10" t="s">
        <v>600</v>
      </c>
      <c r="B29" s="10" t="s">
        <v>141</v>
      </c>
      <c r="C29" s="80">
        <v>0</v>
      </c>
      <c r="D29" s="79">
        <f t="shared" si="0"/>
        <v>2400</v>
      </c>
      <c r="E29" s="78">
        <f>'2021-2022 (B)'!E29</f>
        <v>7500</v>
      </c>
      <c r="F29" s="187">
        <f t="shared" si="1"/>
        <v>2400</v>
      </c>
      <c r="G29" s="159">
        <f t="shared" si="2"/>
        <v>0</v>
      </c>
      <c r="H29" s="190">
        <f t="shared" si="3"/>
        <v>2400</v>
      </c>
      <c r="I29" s="78">
        <f t="shared" si="46"/>
        <v>18979.120422196371</v>
      </c>
      <c r="J29" s="78">
        <f t="shared" si="4"/>
        <v>0</v>
      </c>
      <c r="K29" s="78">
        <f t="shared" si="5"/>
        <v>0</v>
      </c>
      <c r="L29" s="78">
        <f t="shared" si="6"/>
        <v>9079.120422196369</v>
      </c>
      <c r="M29" s="194">
        <f t="shared" si="7"/>
        <v>9079.120422196369</v>
      </c>
      <c r="N29" s="78">
        <f t="shared" si="8"/>
        <v>-9079.120422196369</v>
      </c>
      <c r="O29" s="165">
        <v>0</v>
      </c>
      <c r="P29" s="166">
        <f t="shared" si="9"/>
        <v>0</v>
      </c>
      <c r="Q29" s="119">
        <f t="shared" si="10"/>
        <v>7700</v>
      </c>
      <c r="R29" s="167">
        <f t="shared" si="11"/>
        <v>423.5</v>
      </c>
      <c r="S29" s="165">
        <v>0</v>
      </c>
      <c r="T29" s="166">
        <f t="shared" si="12"/>
        <v>0</v>
      </c>
      <c r="U29" s="33">
        <f t="shared" si="13"/>
        <v>8323.5</v>
      </c>
      <c r="V29" s="167">
        <f t="shared" si="14"/>
        <v>457.79250000000002</v>
      </c>
      <c r="W29" s="165">
        <v>0</v>
      </c>
      <c r="X29" s="166">
        <f t="shared" si="15"/>
        <v>0</v>
      </c>
      <c r="Y29" s="33">
        <f t="shared" si="16"/>
        <v>8981.2924999999996</v>
      </c>
      <c r="Z29" s="167">
        <f t="shared" si="17"/>
        <v>493.97108749999995</v>
      </c>
      <c r="AA29" s="165">
        <v>0</v>
      </c>
      <c r="AB29" s="166">
        <f t="shared" si="18"/>
        <v>0</v>
      </c>
      <c r="AC29" s="33">
        <f t="shared" si="19"/>
        <v>9675.2635874999996</v>
      </c>
      <c r="AD29" s="167">
        <f t="shared" si="20"/>
        <v>532.1394973125</v>
      </c>
      <c r="AE29" s="165">
        <v>0</v>
      </c>
      <c r="AF29" s="166">
        <f t="shared" si="21"/>
        <v>0</v>
      </c>
      <c r="AG29" s="33">
        <f t="shared" si="22"/>
        <v>10407.4030848125</v>
      </c>
      <c r="AH29" s="167">
        <f t="shared" si="23"/>
        <v>572.40716966468756</v>
      </c>
      <c r="AI29" s="165">
        <v>0</v>
      </c>
      <c r="AJ29" s="166">
        <f t="shared" si="24"/>
        <v>0</v>
      </c>
      <c r="AK29" s="33">
        <f t="shared" si="25"/>
        <v>11179.810254477188</v>
      </c>
      <c r="AL29" s="167">
        <f t="shared" si="26"/>
        <v>614.88956399624533</v>
      </c>
      <c r="AM29" s="165">
        <v>0</v>
      </c>
      <c r="AN29" s="166">
        <f t="shared" si="27"/>
        <v>0</v>
      </c>
      <c r="AO29" s="33">
        <f t="shared" si="28"/>
        <v>11994.699818473433</v>
      </c>
      <c r="AP29" s="167">
        <f t="shared" si="29"/>
        <v>659.70849001603881</v>
      </c>
      <c r="AQ29" s="165">
        <v>0</v>
      </c>
      <c r="AR29" s="166">
        <f t="shared" si="30"/>
        <v>0</v>
      </c>
      <c r="AS29" s="33">
        <f t="shared" si="31"/>
        <v>12854.408308489472</v>
      </c>
      <c r="AT29" s="167">
        <f t="shared" si="32"/>
        <v>899.80858159426316</v>
      </c>
      <c r="AU29" s="165">
        <v>0</v>
      </c>
      <c r="AV29" s="166">
        <f t="shared" si="33"/>
        <v>0</v>
      </c>
      <c r="AW29" s="33">
        <f t="shared" si="34"/>
        <v>13954.216890083735</v>
      </c>
      <c r="AX29" s="167">
        <f t="shared" si="35"/>
        <v>976.79518230586154</v>
      </c>
      <c r="AY29" s="165">
        <v>0</v>
      </c>
      <c r="AZ29" s="166">
        <f t="shared" si="36"/>
        <v>0</v>
      </c>
      <c r="BA29" s="33">
        <f t="shared" si="37"/>
        <v>15131.012072389596</v>
      </c>
      <c r="BB29" s="167">
        <f t="shared" si="38"/>
        <v>1059.1708450672718</v>
      </c>
      <c r="BC29" s="165">
        <v>0</v>
      </c>
      <c r="BD29" s="166">
        <f t="shared" si="39"/>
        <v>0</v>
      </c>
      <c r="BE29" s="33">
        <f t="shared" si="40"/>
        <v>16390.182917456867</v>
      </c>
      <c r="BF29" s="167">
        <f t="shared" si="41"/>
        <v>1147.3128042219807</v>
      </c>
      <c r="BG29" s="165">
        <v>0</v>
      </c>
      <c r="BH29" s="166">
        <f t="shared" si="42"/>
        <v>0</v>
      </c>
      <c r="BI29" s="33">
        <f t="shared" si="43"/>
        <v>17737.495721678846</v>
      </c>
      <c r="BJ29" s="167">
        <f t="shared" si="44"/>
        <v>1241.6247005175194</v>
      </c>
      <c r="BK29" s="87">
        <f t="shared" si="45"/>
        <v>0</v>
      </c>
      <c r="BL29" s="33">
        <f>'2021-2022 (B)'!AV29+'2022-2023'!BK29</f>
        <v>500</v>
      </c>
    </row>
    <row r="30" spans="1:65">
      <c r="A30" s="10" t="s">
        <v>601</v>
      </c>
      <c r="B30" s="10" t="s">
        <v>122</v>
      </c>
      <c r="C30" s="80">
        <v>0</v>
      </c>
      <c r="D30" s="79">
        <f t="shared" si="0"/>
        <v>2400</v>
      </c>
      <c r="E30" s="78">
        <f>'2021-2022 (B)'!E30</f>
        <v>2500</v>
      </c>
      <c r="F30" s="187">
        <f t="shared" si="1"/>
        <v>2400</v>
      </c>
      <c r="G30" s="159">
        <f t="shared" si="2"/>
        <v>0</v>
      </c>
      <c r="H30" s="190">
        <f t="shared" si="3"/>
        <v>2400</v>
      </c>
      <c r="I30" s="78">
        <f t="shared" si="46"/>
        <v>8777.8065468892291</v>
      </c>
      <c r="J30" s="78">
        <f t="shared" si="4"/>
        <v>0</v>
      </c>
      <c r="K30" s="78">
        <f t="shared" si="5"/>
        <v>0</v>
      </c>
      <c r="L30" s="78">
        <f t="shared" si="6"/>
        <v>3877.8065468892291</v>
      </c>
      <c r="M30" s="194">
        <f t="shared" si="7"/>
        <v>3877.8065468892291</v>
      </c>
      <c r="N30" s="78">
        <f t="shared" si="8"/>
        <v>-3877.8065468892291</v>
      </c>
      <c r="O30" s="165">
        <v>0</v>
      </c>
      <c r="P30" s="166">
        <f t="shared" si="9"/>
        <v>0</v>
      </c>
      <c r="Q30" s="119">
        <f t="shared" si="10"/>
        <v>2700</v>
      </c>
      <c r="R30" s="167">
        <f t="shared" si="11"/>
        <v>148.5</v>
      </c>
      <c r="S30" s="165">
        <v>0</v>
      </c>
      <c r="T30" s="166">
        <f t="shared" si="12"/>
        <v>0</v>
      </c>
      <c r="U30" s="33">
        <f t="shared" si="13"/>
        <v>3048.5</v>
      </c>
      <c r="V30" s="167">
        <f t="shared" si="14"/>
        <v>167.66749999999999</v>
      </c>
      <c r="W30" s="165">
        <v>0</v>
      </c>
      <c r="X30" s="166">
        <f t="shared" si="15"/>
        <v>0</v>
      </c>
      <c r="Y30" s="33">
        <f t="shared" si="16"/>
        <v>3416.1675</v>
      </c>
      <c r="Z30" s="167">
        <f t="shared" si="17"/>
        <v>187.88921250000001</v>
      </c>
      <c r="AA30" s="165">
        <v>0</v>
      </c>
      <c r="AB30" s="166">
        <f t="shared" si="18"/>
        <v>0</v>
      </c>
      <c r="AC30" s="33">
        <f t="shared" si="19"/>
        <v>3804.0567125000002</v>
      </c>
      <c r="AD30" s="167">
        <f t="shared" si="20"/>
        <v>209.2231191875</v>
      </c>
      <c r="AE30" s="165">
        <v>0</v>
      </c>
      <c r="AF30" s="166">
        <f t="shared" si="21"/>
        <v>0</v>
      </c>
      <c r="AG30" s="33">
        <f t="shared" si="22"/>
        <v>4213.2798316875005</v>
      </c>
      <c r="AH30" s="167">
        <f t="shared" si="23"/>
        <v>231.73039074281252</v>
      </c>
      <c r="AI30" s="165">
        <v>0</v>
      </c>
      <c r="AJ30" s="166">
        <f t="shared" si="24"/>
        <v>0</v>
      </c>
      <c r="AK30" s="33">
        <f t="shared" si="25"/>
        <v>4645.0102224303128</v>
      </c>
      <c r="AL30" s="167">
        <f t="shared" si="26"/>
        <v>255.4755622336672</v>
      </c>
      <c r="AM30" s="165">
        <v>0</v>
      </c>
      <c r="AN30" s="166">
        <f t="shared" si="27"/>
        <v>0</v>
      </c>
      <c r="AO30" s="33">
        <f t="shared" si="28"/>
        <v>5100.4857846639798</v>
      </c>
      <c r="AP30" s="167">
        <f t="shared" si="29"/>
        <v>280.52671815651888</v>
      </c>
      <c r="AQ30" s="165">
        <v>0</v>
      </c>
      <c r="AR30" s="166">
        <f t="shared" si="30"/>
        <v>0</v>
      </c>
      <c r="AS30" s="33">
        <f t="shared" si="31"/>
        <v>5581.0125028204984</v>
      </c>
      <c r="AT30" s="167">
        <f t="shared" si="32"/>
        <v>390.67087519743495</v>
      </c>
      <c r="AU30" s="165">
        <v>0</v>
      </c>
      <c r="AV30" s="166">
        <f t="shared" si="33"/>
        <v>0</v>
      </c>
      <c r="AW30" s="33">
        <f t="shared" si="34"/>
        <v>6171.6833780179331</v>
      </c>
      <c r="AX30" s="167">
        <f t="shared" si="35"/>
        <v>432.01783646125534</v>
      </c>
      <c r="AY30" s="165">
        <v>0</v>
      </c>
      <c r="AZ30" s="166">
        <f t="shared" si="36"/>
        <v>0</v>
      </c>
      <c r="BA30" s="33">
        <f t="shared" si="37"/>
        <v>6803.7012144791888</v>
      </c>
      <c r="BB30" s="167">
        <f t="shared" si="38"/>
        <v>476.25908501354326</v>
      </c>
      <c r="BC30" s="165">
        <v>0</v>
      </c>
      <c r="BD30" s="166">
        <f t="shared" si="39"/>
        <v>0</v>
      </c>
      <c r="BE30" s="33">
        <f t="shared" si="40"/>
        <v>7479.9602994927318</v>
      </c>
      <c r="BF30" s="167">
        <f t="shared" si="41"/>
        <v>523.59722096449127</v>
      </c>
      <c r="BG30" s="165">
        <v>0</v>
      </c>
      <c r="BH30" s="166">
        <f t="shared" si="42"/>
        <v>0</v>
      </c>
      <c r="BI30" s="33">
        <f t="shared" si="43"/>
        <v>8203.5575204572233</v>
      </c>
      <c r="BJ30" s="167">
        <f t="shared" si="44"/>
        <v>574.24902643200573</v>
      </c>
      <c r="BK30" s="87">
        <f t="shared" si="45"/>
        <v>0</v>
      </c>
      <c r="BL30" s="33">
        <f>'2021-2022 (B)'!AV30+'2022-2023'!BK30</f>
        <v>5600</v>
      </c>
    </row>
    <row r="31" spans="1:65">
      <c r="A31" s="10" t="s">
        <v>602</v>
      </c>
      <c r="B31" s="10" t="s">
        <v>116</v>
      </c>
      <c r="C31" s="80">
        <v>0</v>
      </c>
      <c r="D31" s="79">
        <f t="shared" si="0"/>
        <v>2400</v>
      </c>
      <c r="E31" s="78">
        <f>'2021-2022 (B)'!E31</f>
        <v>500</v>
      </c>
      <c r="F31" s="187">
        <f t="shared" si="1"/>
        <v>2400</v>
      </c>
      <c r="G31" s="159">
        <f t="shared" si="2"/>
        <v>2400</v>
      </c>
      <c r="H31" s="190">
        <f t="shared" si="3"/>
        <v>0</v>
      </c>
      <c r="I31" s="78">
        <f t="shared" si="46"/>
        <v>1577.433486075598</v>
      </c>
      <c r="J31" s="78">
        <f t="shared" si="4"/>
        <v>0</v>
      </c>
      <c r="K31" s="78">
        <f t="shared" si="5"/>
        <v>132</v>
      </c>
      <c r="L31" s="78">
        <f t="shared" si="6"/>
        <v>1077.433486075598</v>
      </c>
      <c r="M31" s="194">
        <f t="shared" si="7"/>
        <v>1077.433486075598</v>
      </c>
      <c r="N31" s="78">
        <f t="shared" si="8"/>
        <v>1454.566513924402</v>
      </c>
      <c r="O31" s="165">
        <v>600</v>
      </c>
      <c r="P31" s="166">
        <f t="shared" si="9"/>
        <v>0</v>
      </c>
      <c r="Q31" s="119">
        <f t="shared" si="10"/>
        <v>700</v>
      </c>
      <c r="R31" s="167">
        <f t="shared" si="11"/>
        <v>5.5</v>
      </c>
      <c r="S31" s="165">
        <v>0</v>
      </c>
      <c r="T31" s="166">
        <f t="shared" si="12"/>
        <v>0</v>
      </c>
      <c r="U31" s="33">
        <f t="shared" si="13"/>
        <v>905.5</v>
      </c>
      <c r="V31" s="167">
        <f t="shared" si="14"/>
        <v>49.802500000000002</v>
      </c>
      <c r="W31" s="165">
        <v>0</v>
      </c>
      <c r="X31" s="166">
        <f t="shared" si="15"/>
        <v>0</v>
      </c>
      <c r="Y31" s="33">
        <f t="shared" si="16"/>
        <v>1155.3025</v>
      </c>
      <c r="Z31" s="167">
        <f t="shared" si="17"/>
        <v>63.5416375</v>
      </c>
      <c r="AA31" s="165">
        <v>0</v>
      </c>
      <c r="AB31" s="166">
        <f t="shared" si="18"/>
        <v>0</v>
      </c>
      <c r="AC31" s="33">
        <f t="shared" si="19"/>
        <v>1418.8441375</v>
      </c>
      <c r="AD31" s="167">
        <f t="shared" si="20"/>
        <v>78.036427562499995</v>
      </c>
      <c r="AE31" s="165">
        <v>0</v>
      </c>
      <c r="AF31" s="166">
        <f t="shared" si="21"/>
        <v>0</v>
      </c>
      <c r="AG31" s="33">
        <f t="shared" si="22"/>
        <v>1696.8805650625</v>
      </c>
      <c r="AH31" s="167">
        <f t="shared" si="23"/>
        <v>93.328431078437504</v>
      </c>
      <c r="AI31" s="165">
        <v>0</v>
      </c>
      <c r="AJ31" s="166">
        <f t="shared" si="24"/>
        <v>0</v>
      </c>
      <c r="AK31" s="33">
        <f t="shared" si="25"/>
        <v>1990.2089961409374</v>
      </c>
      <c r="AL31" s="167">
        <f t="shared" si="26"/>
        <v>109.46149478775156</v>
      </c>
      <c r="AM31" s="165">
        <v>600</v>
      </c>
      <c r="AN31" s="166">
        <f t="shared" si="27"/>
        <v>0</v>
      </c>
      <c r="AO31" s="33">
        <f t="shared" si="28"/>
        <v>1699.6704909286889</v>
      </c>
      <c r="AP31" s="167">
        <f t="shared" si="29"/>
        <v>60.481877001077891</v>
      </c>
      <c r="AQ31" s="165">
        <v>0</v>
      </c>
      <c r="AR31" s="166">
        <f t="shared" si="30"/>
        <v>0</v>
      </c>
      <c r="AS31" s="33">
        <f t="shared" si="31"/>
        <v>1960.1523679297668</v>
      </c>
      <c r="AT31" s="167">
        <f t="shared" si="32"/>
        <v>137.21066575508368</v>
      </c>
      <c r="AU31" s="165">
        <v>600</v>
      </c>
      <c r="AV31" s="166">
        <f t="shared" si="33"/>
        <v>0</v>
      </c>
      <c r="AW31" s="33">
        <f t="shared" si="34"/>
        <v>1697.3630336848505</v>
      </c>
      <c r="AX31" s="167">
        <f t="shared" si="35"/>
        <v>76.815412357939536</v>
      </c>
      <c r="AY31" s="165">
        <v>0</v>
      </c>
      <c r="AZ31" s="166">
        <f t="shared" si="36"/>
        <v>0</v>
      </c>
      <c r="BA31" s="33">
        <f t="shared" si="37"/>
        <v>1974.17844604279</v>
      </c>
      <c r="BB31" s="167">
        <f t="shared" si="38"/>
        <v>138.19249122299533</v>
      </c>
      <c r="BC31" s="165">
        <v>0</v>
      </c>
      <c r="BD31" s="166">
        <f t="shared" si="39"/>
        <v>0</v>
      </c>
      <c r="BE31" s="33">
        <f t="shared" si="40"/>
        <v>2312.370937265785</v>
      </c>
      <c r="BF31" s="167">
        <f t="shared" si="41"/>
        <v>161.86596560860497</v>
      </c>
      <c r="BG31" s="165">
        <v>600</v>
      </c>
      <c r="BH31" s="166">
        <f t="shared" si="42"/>
        <v>0</v>
      </c>
      <c r="BI31" s="33">
        <f t="shared" si="43"/>
        <v>2074.2369028743901</v>
      </c>
      <c r="BJ31" s="167">
        <f t="shared" si="44"/>
        <v>103.19658320120732</v>
      </c>
      <c r="BK31" s="87">
        <f t="shared" si="45"/>
        <v>2400</v>
      </c>
      <c r="BL31" s="33">
        <f>'2021-2022 (B)'!AV31+'2022-2023'!BK31</f>
        <v>11900</v>
      </c>
    </row>
    <row r="32" spans="1:65">
      <c r="A32" s="10" t="s">
        <v>603</v>
      </c>
      <c r="B32" s="10" t="s">
        <v>115</v>
      </c>
      <c r="C32" s="80">
        <v>0</v>
      </c>
      <c r="D32" s="79">
        <f t="shared" si="0"/>
        <v>2400</v>
      </c>
      <c r="E32" s="78">
        <f>'2021-2022 (B)'!E32</f>
        <v>0</v>
      </c>
      <c r="F32" s="187">
        <f t="shared" si="1"/>
        <v>2400</v>
      </c>
      <c r="G32" s="159">
        <f t="shared" si="2"/>
        <v>3150</v>
      </c>
      <c r="H32" s="190">
        <f t="shared" si="3"/>
        <v>-750</v>
      </c>
      <c r="I32" s="78">
        <f t="shared" si="46"/>
        <v>-1237.4072353972269</v>
      </c>
      <c r="J32" s="78">
        <f t="shared" si="4"/>
        <v>0</v>
      </c>
      <c r="K32" s="78">
        <f t="shared" si="5"/>
        <v>173.25</v>
      </c>
      <c r="L32" s="78">
        <f t="shared" si="6"/>
        <v>-487.40723539722694</v>
      </c>
      <c r="M32" s="194">
        <f t="shared" si="7"/>
        <v>-487.40723539722694</v>
      </c>
      <c r="N32" s="78">
        <f t="shared" si="8"/>
        <v>3810.6572353972269</v>
      </c>
      <c r="O32" s="165">
        <v>500</v>
      </c>
      <c r="P32" s="166">
        <f t="shared" si="9"/>
        <v>0</v>
      </c>
      <c r="Q32" s="119">
        <f t="shared" si="10"/>
        <v>200</v>
      </c>
      <c r="R32" s="167">
        <f t="shared" si="11"/>
        <v>-16.5</v>
      </c>
      <c r="S32" s="165">
        <v>300</v>
      </c>
      <c r="T32" s="166">
        <f t="shared" si="12"/>
        <v>0</v>
      </c>
      <c r="U32" s="33">
        <f t="shared" si="13"/>
        <v>83.5</v>
      </c>
      <c r="V32" s="167">
        <f t="shared" si="14"/>
        <v>-11.907500000000001</v>
      </c>
      <c r="W32" s="165">
        <v>400</v>
      </c>
      <c r="X32" s="166">
        <f t="shared" si="15"/>
        <v>0</v>
      </c>
      <c r="Y32" s="33">
        <f t="shared" si="16"/>
        <v>-128.4075</v>
      </c>
      <c r="Z32" s="167">
        <f t="shared" si="17"/>
        <v>-29.062412500000001</v>
      </c>
      <c r="AA32" s="165">
        <v>300</v>
      </c>
      <c r="AB32" s="166">
        <f t="shared" si="18"/>
        <v>0</v>
      </c>
      <c r="AC32" s="33">
        <f t="shared" si="19"/>
        <v>-257.46991250000002</v>
      </c>
      <c r="AD32" s="167">
        <f t="shared" si="20"/>
        <v>-30.660845187499998</v>
      </c>
      <c r="AE32" s="165">
        <v>300</v>
      </c>
      <c r="AF32" s="166">
        <f t="shared" si="21"/>
        <v>0</v>
      </c>
      <c r="AG32" s="33">
        <f t="shared" si="22"/>
        <v>-388.13075768749997</v>
      </c>
      <c r="AH32" s="167">
        <f t="shared" si="23"/>
        <v>-37.847191672812492</v>
      </c>
      <c r="AI32" s="165">
        <v>300</v>
      </c>
      <c r="AJ32" s="166">
        <f t="shared" si="24"/>
        <v>0</v>
      </c>
      <c r="AK32" s="33">
        <f t="shared" si="25"/>
        <v>-525.97794936031244</v>
      </c>
      <c r="AL32" s="167">
        <f t="shared" si="26"/>
        <v>-45.428787214817184</v>
      </c>
      <c r="AM32" s="165">
        <v>200</v>
      </c>
      <c r="AN32" s="166">
        <f t="shared" si="27"/>
        <v>0</v>
      </c>
      <c r="AO32" s="33">
        <f t="shared" si="28"/>
        <v>-571.40673657512957</v>
      </c>
      <c r="AP32" s="167">
        <f t="shared" si="29"/>
        <v>-42.427370511632127</v>
      </c>
      <c r="AQ32" s="165">
        <f>200</f>
        <v>200</v>
      </c>
      <c r="AR32" s="166">
        <f t="shared" si="30"/>
        <v>0</v>
      </c>
      <c r="AS32" s="33">
        <f t="shared" si="31"/>
        <v>-613.83410708676172</v>
      </c>
      <c r="AT32" s="167">
        <f t="shared" si="32"/>
        <v>-56.968387496073326</v>
      </c>
      <c r="AU32" s="165">
        <v>200</v>
      </c>
      <c r="AV32" s="166">
        <f t="shared" si="33"/>
        <v>0</v>
      </c>
      <c r="AW32" s="33">
        <f t="shared" si="34"/>
        <v>-670.80249458283504</v>
      </c>
      <c r="AX32" s="167">
        <f t="shared" si="35"/>
        <v>-60.956174620798457</v>
      </c>
      <c r="AY32" s="165">
        <v>0</v>
      </c>
      <c r="AZ32" s="166">
        <f t="shared" si="36"/>
        <v>0</v>
      </c>
      <c r="BA32" s="33">
        <f t="shared" si="37"/>
        <v>-531.75866920363353</v>
      </c>
      <c r="BB32" s="167">
        <f t="shared" si="38"/>
        <v>-37.223106844254353</v>
      </c>
      <c r="BC32" s="165">
        <v>200</v>
      </c>
      <c r="BD32" s="166">
        <f t="shared" si="39"/>
        <v>0</v>
      </c>
      <c r="BE32" s="33">
        <f t="shared" si="40"/>
        <v>-568.98177604788793</v>
      </c>
      <c r="BF32" s="167">
        <f t="shared" si="41"/>
        <v>-53.828724323352162</v>
      </c>
      <c r="BG32" s="165">
        <v>250</v>
      </c>
      <c r="BH32" s="166">
        <f t="shared" si="42"/>
        <v>0</v>
      </c>
      <c r="BI32" s="33">
        <f t="shared" si="43"/>
        <v>-672.8105003712401</v>
      </c>
      <c r="BJ32" s="167">
        <f t="shared" si="44"/>
        <v>-64.596735025986817</v>
      </c>
      <c r="BK32" s="87">
        <f t="shared" si="45"/>
        <v>3150</v>
      </c>
      <c r="BL32" s="33">
        <f>'2021-2022 (B)'!AV32+'2022-2023'!BK32</f>
        <v>13650</v>
      </c>
      <c r="BM32">
        <f>12*5</f>
        <v>60</v>
      </c>
    </row>
    <row r="33" spans="1:65">
      <c r="A33" s="10" t="s">
        <v>604</v>
      </c>
      <c r="B33" s="10" t="s">
        <v>123</v>
      </c>
      <c r="C33" s="80">
        <v>0</v>
      </c>
      <c r="D33" s="79">
        <f t="shared" si="0"/>
        <v>2400</v>
      </c>
      <c r="E33" s="78">
        <f>'2021-2022 (B)'!E33</f>
        <v>6800</v>
      </c>
      <c r="F33" s="187">
        <f t="shared" si="1"/>
        <v>2400</v>
      </c>
      <c r="G33" s="159">
        <f t="shared" si="2"/>
        <v>0</v>
      </c>
      <c r="H33" s="190">
        <f t="shared" si="3"/>
        <v>2400</v>
      </c>
      <c r="I33" s="78">
        <f t="shared" si="46"/>
        <v>17550.936479653366</v>
      </c>
      <c r="J33" s="78">
        <f t="shared" si="4"/>
        <v>0</v>
      </c>
      <c r="K33" s="78">
        <f t="shared" si="5"/>
        <v>0</v>
      </c>
      <c r="L33" s="78">
        <f t="shared" si="6"/>
        <v>8350.9364796533664</v>
      </c>
      <c r="M33" s="194">
        <f t="shared" si="7"/>
        <v>8350.9364796533664</v>
      </c>
      <c r="N33" s="78">
        <f t="shared" si="8"/>
        <v>-8350.9364796533664</v>
      </c>
      <c r="O33" s="165">
        <v>0</v>
      </c>
      <c r="P33" s="166">
        <f t="shared" si="9"/>
        <v>0</v>
      </c>
      <c r="Q33" s="119">
        <f t="shared" si="10"/>
        <v>7000</v>
      </c>
      <c r="R33" s="167">
        <f t="shared" si="11"/>
        <v>385</v>
      </c>
      <c r="S33" s="165">
        <v>0</v>
      </c>
      <c r="T33" s="166">
        <f t="shared" si="12"/>
        <v>0</v>
      </c>
      <c r="U33" s="33">
        <f t="shared" si="13"/>
        <v>7585</v>
      </c>
      <c r="V33" s="167">
        <f t="shared" si="14"/>
        <v>417.17500000000001</v>
      </c>
      <c r="W33" s="165">
        <v>0</v>
      </c>
      <c r="X33" s="166">
        <f t="shared" si="15"/>
        <v>0</v>
      </c>
      <c r="Y33" s="33">
        <f t="shared" si="16"/>
        <v>8202.1749999999993</v>
      </c>
      <c r="Z33" s="167">
        <f t="shared" si="17"/>
        <v>451.11962499999998</v>
      </c>
      <c r="AA33" s="165">
        <v>0</v>
      </c>
      <c r="AB33" s="166">
        <f t="shared" si="18"/>
        <v>0</v>
      </c>
      <c r="AC33" s="33">
        <f t="shared" si="19"/>
        <v>8853.2946249999986</v>
      </c>
      <c r="AD33" s="167">
        <f t="shared" si="20"/>
        <v>486.93120437499994</v>
      </c>
      <c r="AE33" s="165">
        <v>0</v>
      </c>
      <c r="AF33" s="166">
        <f t="shared" si="21"/>
        <v>0</v>
      </c>
      <c r="AG33" s="33">
        <f t="shared" si="22"/>
        <v>9540.2258293749983</v>
      </c>
      <c r="AH33" s="167">
        <f t="shared" si="23"/>
        <v>524.71242061562486</v>
      </c>
      <c r="AI33" s="165">
        <v>0</v>
      </c>
      <c r="AJ33" s="166">
        <f t="shared" si="24"/>
        <v>0</v>
      </c>
      <c r="AK33" s="33">
        <f t="shared" si="25"/>
        <v>10264.938249990622</v>
      </c>
      <c r="AL33" s="167">
        <f t="shared" si="26"/>
        <v>564.57160374948421</v>
      </c>
      <c r="AM33" s="165">
        <v>0</v>
      </c>
      <c r="AN33" s="166">
        <f t="shared" si="27"/>
        <v>0</v>
      </c>
      <c r="AO33" s="33">
        <f t="shared" si="28"/>
        <v>11029.509853740106</v>
      </c>
      <c r="AP33" s="167">
        <f t="shared" si="29"/>
        <v>606.62304195570584</v>
      </c>
      <c r="AQ33" s="165">
        <v>0</v>
      </c>
      <c r="AR33" s="166">
        <f t="shared" si="30"/>
        <v>0</v>
      </c>
      <c r="AS33" s="33">
        <f t="shared" si="31"/>
        <v>11836.132895695811</v>
      </c>
      <c r="AT33" s="167">
        <f t="shared" si="32"/>
        <v>828.52930269870683</v>
      </c>
      <c r="AU33" s="165">
        <v>0</v>
      </c>
      <c r="AV33" s="166">
        <f t="shared" si="33"/>
        <v>0</v>
      </c>
      <c r="AW33" s="33">
        <f t="shared" si="34"/>
        <v>12864.662198394519</v>
      </c>
      <c r="AX33" s="167">
        <f t="shared" si="35"/>
        <v>900.52635388761644</v>
      </c>
      <c r="AY33" s="165">
        <v>0</v>
      </c>
      <c r="AZ33" s="166">
        <f t="shared" si="36"/>
        <v>0</v>
      </c>
      <c r="BA33" s="33">
        <f t="shared" si="37"/>
        <v>13965.188552282136</v>
      </c>
      <c r="BB33" s="167">
        <f t="shared" si="38"/>
        <v>977.56319865974956</v>
      </c>
      <c r="BC33" s="165">
        <v>0</v>
      </c>
      <c r="BD33" s="166">
        <f t="shared" si="39"/>
        <v>0</v>
      </c>
      <c r="BE33" s="33">
        <f t="shared" si="40"/>
        <v>15142.751750941885</v>
      </c>
      <c r="BF33" s="167">
        <f t="shared" si="41"/>
        <v>1059.9926225659322</v>
      </c>
      <c r="BG33" s="165">
        <v>0</v>
      </c>
      <c r="BH33" s="166">
        <f t="shared" si="42"/>
        <v>0</v>
      </c>
      <c r="BI33" s="33">
        <f t="shared" si="43"/>
        <v>16402.744373507816</v>
      </c>
      <c r="BJ33" s="167">
        <f t="shared" si="44"/>
        <v>1148.1921061455473</v>
      </c>
      <c r="BK33" s="87">
        <f t="shared" si="45"/>
        <v>0</v>
      </c>
      <c r="BL33" s="33">
        <f>'2021-2022 (B)'!AV33+'2022-2023'!BK33</f>
        <v>1300</v>
      </c>
    </row>
    <row r="34" spans="1:65">
      <c r="A34" s="10" t="s">
        <v>605</v>
      </c>
      <c r="B34" s="10"/>
      <c r="C34" s="80">
        <v>0</v>
      </c>
      <c r="D34" s="79">
        <f t="shared" si="0"/>
        <v>2400</v>
      </c>
      <c r="E34" s="78">
        <f>'2021-2022 (B)'!E34</f>
        <v>7700</v>
      </c>
      <c r="F34" s="187">
        <f t="shared" si="1"/>
        <v>2400</v>
      </c>
      <c r="G34" s="159">
        <f t="shared" si="2"/>
        <v>0</v>
      </c>
      <c r="H34" s="190">
        <f t="shared" si="3"/>
        <v>2400</v>
      </c>
      <c r="I34" s="78">
        <f t="shared" si="46"/>
        <v>19387.172977208655</v>
      </c>
      <c r="J34" s="78">
        <f t="shared" si="4"/>
        <v>0</v>
      </c>
      <c r="K34" s="78">
        <f t="shared" si="5"/>
        <v>0</v>
      </c>
      <c r="L34" s="78">
        <f t="shared" si="6"/>
        <v>9287.1729772086546</v>
      </c>
      <c r="M34" s="194">
        <f t="shared" si="7"/>
        <v>9287.1729772086546</v>
      </c>
      <c r="N34" s="78">
        <f t="shared" si="8"/>
        <v>-9287.1729772086546</v>
      </c>
      <c r="O34" s="165">
        <v>0</v>
      </c>
      <c r="P34" s="166">
        <f t="shared" si="9"/>
        <v>0</v>
      </c>
      <c r="Q34" s="119">
        <f t="shared" si="10"/>
        <v>7900</v>
      </c>
      <c r="R34" s="167">
        <f t="shared" si="11"/>
        <v>434.5</v>
      </c>
      <c r="S34" s="165">
        <v>0</v>
      </c>
      <c r="T34" s="166">
        <f t="shared" si="12"/>
        <v>0</v>
      </c>
      <c r="U34" s="33">
        <f t="shared" si="13"/>
        <v>8534.5</v>
      </c>
      <c r="V34" s="167">
        <f t="shared" si="14"/>
        <v>469.39749999999998</v>
      </c>
      <c r="W34" s="165">
        <v>0</v>
      </c>
      <c r="X34" s="166">
        <f t="shared" si="15"/>
        <v>0</v>
      </c>
      <c r="Y34" s="33">
        <f t="shared" si="16"/>
        <v>9203.8974999999991</v>
      </c>
      <c r="Z34" s="167">
        <f t="shared" si="17"/>
        <v>506.21436249999994</v>
      </c>
      <c r="AA34" s="165">
        <v>0</v>
      </c>
      <c r="AB34" s="166">
        <f t="shared" si="18"/>
        <v>0</v>
      </c>
      <c r="AC34" s="33">
        <f t="shared" si="19"/>
        <v>9910.1118624999999</v>
      </c>
      <c r="AD34" s="167">
        <f t="shared" si="20"/>
        <v>545.05615243750003</v>
      </c>
      <c r="AE34" s="165">
        <v>0</v>
      </c>
      <c r="AF34" s="166">
        <f t="shared" si="21"/>
        <v>0</v>
      </c>
      <c r="AG34" s="33">
        <f t="shared" si="22"/>
        <v>10655.168014937501</v>
      </c>
      <c r="AH34" s="167">
        <f t="shared" si="23"/>
        <v>586.03424082156255</v>
      </c>
      <c r="AI34" s="165">
        <v>0</v>
      </c>
      <c r="AJ34" s="166">
        <f t="shared" si="24"/>
        <v>0</v>
      </c>
      <c r="AK34" s="33">
        <f t="shared" si="25"/>
        <v>11441.202255759063</v>
      </c>
      <c r="AL34" s="167">
        <f t="shared" si="26"/>
        <v>629.26612406674849</v>
      </c>
      <c r="AM34" s="165">
        <v>0</v>
      </c>
      <c r="AN34" s="166">
        <f t="shared" si="27"/>
        <v>0</v>
      </c>
      <c r="AO34" s="33">
        <f t="shared" si="28"/>
        <v>12270.468379825812</v>
      </c>
      <c r="AP34" s="167">
        <f t="shared" si="29"/>
        <v>674.87576089041966</v>
      </c>
      <c r="AQ34" s="165">
        <v>0</v>
      </c>
      <c r="AR34" s="166">
        <f t="shared" si="30"/>
        <v>0</v>
      </c>
      <c r="AS34" s="33">
        <f t="shared" si="31"/>
        <v>13145.344140716232</v>
      </c>
      <c r="AT34" s="167">
        <f t="shared" si="32"/>
        <v>920.17408985013628</v>
      </c>
      <c r="AU34" s="165">
        <v>0</v>
      </c>
      <c r="AV34" s="166">
        <f t="shared" si="33"/>
        <v>0</v>
      </c>
      <c r="AW34" s="33">
        <f t="shared" si="34"/>
        <v>14265.518230566367</v>
      </c>
      <c r="AX34" s="167">
        <f t="shared" si="35"/>
        <v>998.58627613964586</v>
      </c>
      <c r="AY34" s="165">
        <v>0</v>
      </c>
      <c r="AZ34" s="166">
        <f t="shared" si="36"/>
        <v>0</v>
      </c>
      <c r="BA34" s="33">
        <f t="shared" si="37"/>
        <v>15464.104506706013</v>
      </c>
      <c r="BB34" s="167">
        <f t="shared" si="38"/>
        <v>1082.487315469421</v>
      </c>
      <c r="BC34" s="165">
        <v>0</v>
      </c>
      <c r="BD34" s="166">
        <f t="shared" si="39"/>
        <v>0</v>
      </c>
      <c r="BE34" s="33">
        <f t="shared" si="40"/>
        <v>16746.591822175433</v>
      </c>
      <c r="BF34" s="167">
        <f t="shared" si="41"/>
        <v>1172.2614275522803</v>
      </c>
      <c r="BG34" s="165">
        <v>0</v>
      </c>
      <c r="BH34" s="166">
        <f t="shared" si="42"/>
        <v>0</v>
      </c>
      <c r="BI34" s="33">
        <f t="shared" si="43"/>
        <v>18118.853249727712</v>
      </c>
      <c r="BJ34" s="167">
        <f t="shared" si="44"/>
        <v>1268.3197274809399</v>
      </c>
      <c r="BK34" s="87">
        <f t="shared" si="45"/>
        <v>0</v>
      </c>
      <c r="BL34" s="33">
        <f>'2021-2022 (B)'!AV34+'2022-2023'!BK34</f>
        <v>500</v>
      </c>
    </row>
    <row r="35" spans="1:65">
      <c r="A35" s="10" t="s">
        <v>606</v>
      </c>
      <c r="B35" s="10" t="s">
        <v>113</v>
      </c>
      <c r="C35" s="80">
        <v>0</v>
      </c>
      <c r="D35" s="79">
        <f t="shared" si="0"/>
        <v>2400</v>
      </c>
      <c r="E35" s="78">
        <f>'2021-2022 (B)'!E35</f>
        <v>7600</v>
      </c>
      <c r="F35" s="187">
        <f t="shared" si="1"/>
        <v>2400</v>
      </c>
      <c r="G35" s="159">
        <f t="shared" si="2"/>
        <v>0</v>
      </c>
      <c r="H35" s="190">
        <f t="shared" si="3"/>
        <v>2400</v>
      </c>
      <c r="I35" s="78">
        <f t="shared" si="46"/>
        <v>19183.146699702513</v>
      </c>
      <c r="J35" s="78">
        <f t="shared" si="4"/>
        <v>0</v>
      </c>
      <c r="K35" s="78">
        <f t="shared" si="5"/>
        <v>0</v>
      </c>
      <c r="L35" s="78">
        <f t="shared" si="6"/>
        <v>9183.1466997025109</v>
      </c>
      <c r="M35" s="194">
        <f t="shared" si="7"/>
        <v>9183.1466997025109</v>
      </c>
      <c r="N35" s="78">
        <f t="shared" si="8"/>
        <v>-9183.1466997025109</v>
      </c>
      <c r="O35" s="165">
        <v>0</v>
      </c>
      <c r="P35" s="166">
        <f t="shared" si="9"/>
        <v>0</v>
      </c>
      <c r="Q35" s="119">
        <f t="shared" si="10"/>
        <v>7800</v>
      </c>
      <c r="R35" s="167">
        <f t="shared" si="11"/>
        <v>429</v>
      </c>
      <c r="S35" s="165">
        <v>0</v>
      </c>
      <c r="T35" s="166">
        <f t="shared" si="12"/>
        <v>0</v>
      </c>
      <c r="U35" s="33">
        <f t="shared" si="13"/>
        <v>8429</v>
      </c>
      <c r="V35" s="167">
        <f t="shared" si="14"/>
        <v>463.59500000000003</v>
      </c>
      <c r="W35" s="165">
        <v>0</v>
      </c>
      <c r="X35" s="166">
        <f t="shared" si="15"/>
        <v>0</v>
      </c>
      <c r="Y35" s="33">
        <f t="shared" si="16"/>
        <v>9092.5949999999993</v>
      </c>
      <c r="Z35" s="167">
        <f t="shared" si="17"/>
        <v>500.09272499999997</v>
      </c>
      <c r="AA35" s="165">
        <v>0</v>
      </c>
      <c r="AB35" s="166">
        <f t="shared" si="18"/>
        <v>0</v>
      </c>
      <c r="AC35" s="33">
        <f t="shared" si="19"/>
        <v>9792.6877249999998</v>
      </c>
      <c r="AD35" s="167">
        <f t="shared" si="20"/>
        <v>538.59782487500001</v>
      </c>
      <c r="AE35" s="165">
        <v>0</v>
      </c>
      <c r="AF35" s="166">
        <f t="shared" si="21"/>
        <v>0</v>
      </c>
      <c r="AG35" s="33">
        <f t="shared" si="22"/>
        <v>10531.285549875</v>
      </c>
      <c r="AH35" s="167">
        <f t="shared" si="23"/>
        <v>579.22070524312494</v>
      </c>
      <c r="AI35" s="165">
        <v>0</v>
      </c>
      <c r="AJ35" s="166">
        <f t="shared" si="24"/>
        <v>0</v>
      </c>
      <c r="AK35" s="33">
        <f t="shared" si="25"/>
        <v>11310.506255118125</v>
      </c>
      <c r="AL35" s="167">
        <f t="shared" si="26"/>
        <v>622.07784403149685</v>
      </c>
      <c r="AM35" s="165">
        <v>0</v>
      </c>
      <c r="AN35" s="166">
        <f t="shared" si="27"/>
        <v>0</v>
      </c>
      <c r="AO35" s="33">
        <f t="shared" si="28"/>
        <v>12132.584099149622</v>
      </c>
      <c r="AP35" s="167">
        <f t="shared" si="29"/>
        <v>667.29212545322923</v>
      </c>
      <c r="AQ35" s="165">
        <v>0</v>
      </c>
      <c r="AR35" s="166">
        <f t="shared" si="30"/>
        <v>0</v>
      </c>
      <c r="AS35" s="33">
        <f t="shared" si="31"/>
        <v>12999.876224602851</v>
      </c>
      <c r="AT35" s="167">
        <f t="shared" si="32"/>
        <v>909.99133572219966</v>
      </c>
      <c r="AU35" s="165">
        <v>0</v>
      </c>
      <c r="AV35" s="166">
        <f t="shared" si="33"/>
        <v>0</v>
      </c>
      <c r="AW35" s="33">
        <f t="shared" si="34"/>
        <v>14109.86756032505</v>
      </c>
      <c r="AX35" s="167">
        <f t="shared" si="35"/>
        <v>987.69072922275359</v>
      </c>
      <c r="AY35" s="165">
        <v>0</v>
      </c>
      <c r="AZ35" s="166">
        <f t="shared" si="36"/>
        <v>0</v>
      </c>
      <c r="BA35" s="33">
        <f t="shared" si="37"/>
        <v>15297.558289547804</v>
      </c>
      <c r="BB35" s="167">
        <f t="shared" si="38"/>
        <v>1070.8290802683464</v>
      </c>
      <c r="BC35" s="165">
        <v>0</v>
      </c>
      <c r="BD35" s="166">
        <f t="shared" si="39"/>
        <v>0</v>
      </c>
      <c r="BE35" s="33">
        <f t="shared" si="40"/>
        <v>16568.387369816151</v>
      </c>
      <c r="BF35" s="167">
        <f t="shared" si="41"/>
        <v>1159.7871158871308</v>
      </c>
      <c r="BG35" s="165">
        <v>0</v>
      </c>
      <c r="BH35" s="166">
        <f t="shared" si="42"/>
        <v>0</v>
      </c>
      <c r="BI35" s="33">
        <f t="shared" si="43"/>
        <v>17928.174485703283</v>
      </c>
      <c r="BJ35" s="167">
        <f t="shared" si="44"/>
        <v>1254.97221399923</v>
      </c>
      <c r="BK35" s="87">
        <f t="shared" si="45"/>
        <v>0</v>
      </c>
      <c r="BL35" s="33">
        <f>'2021-2022 (B)'!AV35+'2022-2023'!BK35</f>
        <v>500</v>
      </c>
    </row>
    <row r="36" spans="1:65">
      <c r="A36" s="10" t="s">
        <v>607</v>
      </c>
      <c r="B36" s="10"/>
      <c r="C36" s="80">
        <v>0</v>
      </c>
      <c r="D36" s="79">
        <f t="shared" si="0"/>
        <v>2400</v>
      </c>
      <c r="E36" s="78">
        <f>'2021-2022 (B)'!E36</f>
        <v>8000</v>
      </c>
      <c r="F36" s="187">
        <f t="shared" si="1"/>
        <v>2400</v>
      </c>
      <c r="G36" s="159">
        <f t="shared" si="2"/>
        <v>1200</v>
      </c>
      <c r="H36" s="190">
        <f t="shared" si="3"/>
        <v>1200</v>
      </c>
      <c r="I36" s="78">
        <f t="shared" si="46"/>
        <v>18071.316524306196</v>
      </c>
      <c r="J36" s="78">
        <f t="shared" si="4"/>
        <v>0</v>
      </c>
      <c r="K36" s="78">
        <f t="shared" si="5"/>
        <v>66</v>
      </c>
      <c r="L36" s="78">
        <f t="shared" si="6"/>
        <v>8871.316524306194</v>
      </c>
      <c r="M36" s="194">
        <f t="shared" si="7"/>
        <v>8871.316524306194</v>
      </c>
      <c r="N36" s="78">
        <f t="shared" si="8"/>
        <v>-7605.316524306194</v>
      </c>
      <c r="O36" s="165">
        <v>200</v>
      </c>
      <c r="P36" s="166">
        <f t="shared" si="9"/>
        <v>0</v>
      </c>
      <c r="Q36" s="119">
        <f t="shared" si="10"/>
        <v>8200</v>
      </c>
      <c r="R36" s="167">
        <f t="shared" si="11"/>
        <v>440</v>
      </c>
      <c r="S36" s="165">
        <v>200</v>
      </c>
      <c r="T36" s="166">
        <f t="shared" si="12"/>
        <v>0</v>
      </c>
      <c r="U36" s="33">
        <f t="shared" si="13"/>
        <v>8640</v>
      </c>
      <c r="V36" s="167">
        <f t="shared" si="14"/>
        <v>464.2</v>
      </c>
      <c r="W36" s="165">
        <v>0</v>
      </c>
      <c r="X36" s="166">
        <f t="shared" si="15"/>
        <v>0</v>
      </c>
      <c r="Y36" s="33">
        <f t="shared" si="16"/>
        <v>9304.2000000000007</v>
      </c>
      <c r="Z36" s="167">
        <f t="shared" si="17"/>
        <v>511.73100000000005</v>
      </c>
      <c r="AA36" s="165">
        <v>200</v>
      </c>
      <c r="AB36" s="166">
        <f t="shared" si="18"/>
        <v>0</v>
      </c>
      <c r="AC36" s="33">
        <f t="shared" si="19"/>
        <v>9815.9310000000005</v>
      </c>
      <c r="AD36" s="167">
        <f t="shared" si="20"/>
        <v>528.87620500000003</v>
      </c>
      <c r="AE36" s="165">
        <v>0</v>
      </c>
      <c r="AF36" s="166">
        <f t="shared" si="21"/>
        <v>0</v>
      </c>
      <c r="AG36" s="33">
        <f t="shared" si="22"/>
        <v>10544.807205000001</v>
      </c>
      <c r="AH36" s="167">
        <f t="shared" si="23"/>
        <v>579.96439627500001</v>
      </c>
      <c r="AI36" s="165">
        <v>0</v>
      </c>
      <c r="AJ36" s="166">
        <f t="shared" si="24"/>
        <v>0</v>
      </c>
      <c r="AK36" s="33">
        <f t="shared" si="25"/>
        <v>11324.771601275001</v>
      </c>
      <c r="AL36" s="167">
        <f t="shared" si="26"/>
        <v>622.86243807012499</v>
      </c>
      <c r="AM36" s="165">
        <v>600</v>
      </c>
      <c r="AN36" s="166">
        <f t="shared" si="27"/>
        <v>0</v>
      </c>
      <c r="AO36" s="33">
        <f t="shared" si="28"/>
        <v>11547.634039345126</v>
      </c>
      <c r="AP36" s="167">
        <f t="shared" si="29"/>
        <v>602.119872163982</v>
      </c>
      <c r="AQ36" s="165">
        <v>0</v>
      </c>
      <c r="AR36" s="166">
        <f t="shared" si="30"/>
        <v>0</v>
      </c>
      <c r="AS36" s="33">
        <f t="shared" si="31"/>
        <v>12349.753911509108</v>
      </c>
      <c r="AT36" s="167">
        <f t="shared" si="32"/>
        <v>864.48277380563763</v>
      </c>
      <c r="AU36" s="165">
        <v>0</v>
      </c>
      <c r="AV36" s="166">
        <f t="shared" si="33"/>
        <v>0</v>
      </c>
      <c r="AW36" s="33">
        <f t="shared" si="34"/>
        <v>13414.236685314745</v>
      </c>
      <c r="AX36" s="167">
        <f t="shared" si="35"/>
        <v>938.99656797203227</v>
      </c>
      <c r="AY36" s="165">
        <v>0</v>
      </c>
      <c r="AZ36" s="166">
        <f t="shared" si="36"/>
        <v>0</v>
      </c>
      <c r="BA36" s="33">
        <f t="shared" si="37"/>
        <v>14553.233253286777</v>
      </c>
      <c r="BB36" s="167">
        <f t="shared" si="38"/>
        <v>1018.7263277300744</v>
      </c>
      <c r="BC36" s="165">
        <v>0</v>
      </c>
      <c r="BD36" s="166">
        <f t="shared" si="39"/>
        <v>0</v>
      </c>
      <c r="BE36" s="33">
        <f t="shared" si="40"/>
        <v>15771.95958101685</v>
      </c>
      <c r="BF36" s="167">
        <f t="shared" si="41"/>
        <v>1104.0371706711796</v>
      </c>
      <c r="BG36" s="165">
        <v>0</v>
      </c>
      <c r="BH36" s="166">
        <f t="shared" si="42"/>
        <v>0</v>
      </c>
      <c r="BI36" s="33">
        <f t="shared" si="43"/>
        <v>17075.996751688032</v>
      </c>
      <c r="BJ36" s="167">
        <f t="shared" si="44"/>
        <v>1195.3197726181622</v>
      </c>
      <c r="BK36" s="87">
        <f t="shared" si="45"/>
        <v>1200</v>
      </c>
      <c r="BL36" s="33">
        <f>'2021-2022 (B)'!AV36+'2022-2023'!BK36</f>
        <v>3100</v>
      </c>
    </row>
    <row r="37" spans="1:65">
      <c r="A37" s="10" t="s">
        <v>608</v>
      </c>
      <c r="B37" s="10" t="s">
        <v>142</v>
      </c>
      <c r="C37" s="80">
        <v>0</v>
      </c>
      <c r="D37" s="79">
        <f t="shared" si="0"/>
        <v>2400</v>
      </c>
      <c r="E37" s="78">
        <f>'2021-2022 (B)'!E37</f>
        <v>4700</v>
      </c>
      <c r="F37" s="187">
        <f t="shared" si="1"/>
        <v>2400</v>
      </c>
      <c r="G37" s="159">
        <f t="shared" si="2"/>
        <v>0</v>
      </c>
      <c r="H37" s="190">
        <f t="shared" si="3"/>
        <v>2400</v>
      </c>
      <c r="I37" s="78">
        <f t="shared" si="46"/>
        <v>13266.384652024371</v>
      </c>
      <c r="J37" s="78">
        <f t="shared" si="4"/>
        <v>0</v>
      </c>
      <c r="K37" s="78">
        <f t="shared" si="5"/>
        <v>0</v>
      </c>
      <c r="L37" s="78">
        <f t="shared" si="6"/>
        <v>6166.3846520243706</v>
      </c>
      <c r="M37" s="194">
        <f t="shared" si="7"/>
        <v>6166.3846520243706</v>
      </c>
      <c r="N37" s="78">
        <f t="shared" si="8"/>
        <v>-6166.3846520243706</v>
      </c>
      <c r="O37" s="165">
        <v>0</v>
      </c>
      <c r="P37" s="166">
        <f t="shared" si="9"/>
        <v>0</v>
      </c>
      <c r="Q37" s="119">
        <f t="shared" si="10"/>
        <v>4900</v>
      </c>
      <c r="R37" s="167">
        <f t="shared" si="11"/>
        <v>269.5</v>
      </c>
      <c r="S37" s="165">
        <v>0</v>
      </c>
      <c r="T37" s="166">
        <f t="shared" si="12"/>
        <v>0</v>
      </c>
      <c r="U37" s="33">
        <f t="shared" si="13"/>
        <v>5369.5</v>
      </c>
      <c r="V37" s="167">
        <f t="shared" si="14"/>
        <v>295.32249999999999</v>
      </c>
      <c r="W37" s="165">
        <v>0</v>
      </c>
      <c r="X37" s="166">
        <f t="shared" si="15"/>
        <v>0</v>
      </c>
      <c r="Y37" s="33">
        <f t="shared" si="16"/>
        <v>5864.8225000000002</v>
      </c>
      <c r="Z37" s="167">
        <f t="shared" si="17"/>
        <v>322.56523750000002</v>
      </c>
      <c r="AA37" s="165">
        <v>0</v>
      </c>
      <c r="AB37" s="166">
        <f t="shared" si="18"/>
        <v>0</v>
      </c>
      <c r="AC37" s="33">
        <f t="shared" si="19"/>
        <v>6387.3877375000002</v>
      </c>
      <c r="AD37" s="167">
        <f t="shared" si="20"/>
        <v>351.30632556250004</v>
      </c>
      <c r="AE37" s="165">
        <v>0</v>
      </c>
      <c r="AF37" s="166">
        <f t="shared" si="21"/>
        <v>0</v>
      </c>
      <c r="AG37" s="33">
        <f t="shared" si="22"/>
        <v>6938.6940630625004</v>
      </c>
      <c r="AH37" s="167">
        <f t="shared" si="23"/>
        <v>381.62817346843752</v>
      </c>
      <c r="AI37" s="165">
        <v>0</v>
      </c>
      <c r="AJ37" s="166">
        <f t="shared" si="24"/>
        <v>0</v>
      </c>
      <c r="AK37" s="33">
        <f t="shared" si="25"/>
        <v>7520.3222365309375</v>
      </c>
      <c r="AL37" s="167">
        <f t="shared" si="26"/>
        <v>413.61772300920154</v>
      </c>
      <c r="AM37" s="165">
        <v>0</v>
      </c>
      <c r="AN37" s="166">
        <f t="shared" si="27"/>
        <v>0</v>
      </c>
      <c r="AO37" s="33">
        <f t="shared" si="28"/>
        <v>8133.9399595401392</v>
      </c>
      <c r="AP37" s="167">
        <f t="shared" si="29"/>
        <v>447.36669777470763</v>
      </c>
      <c r="AQ37" s="165">
        <v>0</v>
      </c>
      <c r="AR37" s="166">
        <f t="shared" si="30"/>
        <v>0</v>
      </c>
      <c r="AS37" s="33">
        <f t="shared" si="31"/>
        <v>8781.3066573148462</v>
      </c>
      <c r="AT37" s="167">
        <f t="shared" si="32"/>
        <v>614.69146601203931</v>
      </c>
      <c r="AU37" s="165">
        <v>0</v>
      </c>
      <c r="AV37" s="166">
        <f t="shared" si="33"/>
        <v>0</v>
      </c>
      <c r="AW37" s="33">
        <f t="shared" si="34"/>
        <v>9595.9981233268863</v>
      </c>
      <c r="AX37" s="167">
        <f t="shared" si="35"/>
        <v>671.71986863288214</v>
      </c>
      <c r="AY37" s="165">
        <v>0</v>
      </c>
      <c r="AZ37" s="166">
        <f t="shared" si="36"/>
        <v>0</v>
      </c>
      <c r="BA37" s="33">
        <f t="shared" si="37"/>
        <v>10467.717991959769</v>
      </c>
      <c r="BB37" s="167">
        <f t="shared" si="38"/>
        <v>732.74025943718391</v>
      </c>
      <c r="BC37" s="165">
        <v>0</v>
      </c>
      <c r="BD37" s="166">
        <f t="shared" si="39"/>
        <v>0</v>
      </c>
      <c r="BE37" s="33">
        <f t="shared" si="40"/>
        <v>11400.458251396953</v>
      </c>
      <c r="BF37" s="167">
        <f t="shared" si="41"/>
        <v>798.03207759778672</v>
      </c>
      <c r="BG37" s="165">
        <v>0</v>
      </c>
      <c r="BH37" s="166">
        <f t="shared" si="42"/>
        <v>0</v>
      </c>
      <c r="BI37" s="33">
        <f t="shared" si="43"/>
        <v>12398.49032899474</v>
      </c>
      <c r="BJ37" s="167">
        <f t="shared" si="44"/>
        <v>867.89432302963189</v>
      </c>
      <c r="BK37" s="87">
        <f t="shared" si="45"/>
        <v>0</v>
      </c>
      <c r="BL37" s="33">
        <f>'2021-2022 (B)'!AV37+'2022-2023'!BK37</f>
        <v>3300</v>
      </c>
    </row>
    <row r="38" spans="1:65">
      <c r="A38" s="10" t="s">
        <v>609</v>
      </c>
      <c r="B38" s="10" t="s">
        <v>124</v>
      </c>
      <c r="C38" s="80">
        <v>0</v>
      </c>
      <c r="D38" s="79">
        <f t="shared" si="0"/>
        <v>2400</v>
      </c>
      <c r="E38" s="78">
        <f>'2021-2022 (B)'!E38</f>
        <v>4650</v>
      </c>
      <c r="F38" s="187">
        <f t="shared" si="1"/>
        <v>2400</v>
      </c>
      <c r="G38" s="159">
        <f t="shared" si="2"/>
        <v>0</v>
      </c>
      <c r="H38" s="190">
        <f t="shared" si="3"/>
        <v>2400</v>
      </c>
      <c r="I38" s="78">
        <f t="shared" si="46"/>
        <v>13164.371513271299</v>
      </c>
      <c r="J38" s="78">
        <f t="shared" si="4"/>
        <v>0</v>
      </c>
      <c r="K38" s="78">
        <f t="shared" si="5"/>
        <v>0</v>
      </c>
      <c r="L38" s="78">
        <f t="shared" si="6"/>
        <v>6114.3715132712987</v>
      </c>
      <c r="M38" s="194">
        <f t="shared" si="7"/>
        <v>6114.3715132712987</v>
      </c>
      <c r="N38" s="78">
        <f t="shared" si="8"/>
        <v>-6114.3715132712987</v>
      </c>
      <c r="O38" s="165">
        <v>0</v>
      </c>
      <c r="P38" s="166">
        <f t="shared" si="9"/>
        <v>0</v>
      </c>
      <c r="Q38" s="119">
        <f t="shared" si="10"/>
        <v>4850</v>
      </c>
      <c r="R38" s="167">
        <f t="shared" si="11"/>
        <v>266.75</v>
      </c>
      <c r="S38" s="165">
        <v>0</v>
      </c>
      <c r="T38" s="166">
        <f t="shared" si="12"/>
        <v>0</v>
      </c>
      <c r="U38" s="33">
        <f t="shared" si="13"/>
        <v>5316.75</v>
      </c>
      <c r="V38" s="167">
        <f t="shared" si="14"/>
        <v>292.42124999999999</v>
      </c>
      <c r="W38" s="165">
        <v>0</v>
      </c>
      <c r="X38" s="166">
        <f t="shared" si="15"/>
        <v>0</v>
      </c>
      <c r="Y38" s="33">
        <f t="shared" si="16"/>
        <v>5809.1712500000003</v>
      </c>
      <c r="Z38" s="167">
        <f t="shared" si="17"/>
        <v>319.50441875000001</v>
      </c>
      <c r="AA38" s="165">
        <v>0</v>
      </c>
      <c r="AB38" s="166">
        <f t="shared" si="18"/>
        <v>0</v>
      </c>
      <c r="AC38" s="33">
        <f t="shared" si="19"/>
        <v>6328.6756687500001</v>
      </c>
      <c r="AD38" s="167">
        <f t="shared" si="20"/>
        <v>348.07716178125003</v>
      </c>
      <c r="AE38" s="165">
        <v>0</v>
      </c>
      <c r="AF38" s="166">
        <f t="shared" si="21"/>
        <v>0</v>
      </c>
      <c r="AG38" s="33">
        <f t="shared" si="22"/>
        <v>6876.7528305312499</v>
      </c>
      <c r="AH38" s="167">
        <f t="shared" si="23"/>
        <v>378.22140567921872</v>
      </c>
      <c r="AI38" s="165">
        <v>0</v>
      </c>
      <c r="AJ38" s="166">
        <f t="shared" si="24"/>
        <v>0</v>
      </c>
      <c r="AK38" s="33">
        <f t="shared" si="25"/>
        <v>7454.9742362104689</v>
      </c>
      <c r="AL38" s="167">
        <f t="shared" si="26"/>
        <v>410.02358299157578</v>
      </c>
      <c r="AM38" s="165">
        <v>0</v>
      </c>
      <c r="AN38" s="166">
        <f t="shared" si="27"/>
        <v>0</v>
      </c>
      <c r="AO38" s="33">
        <f t="shared" si="28"/>
        <v>8064.9978192020444</v>
      </c>
      <c r="AP38" s="167">
        <f t="shared" si="29"/>
        <v>443.57488005611242</v>
      </c>
      <c r="AQ38" s="165">
        <v>0</v>
      </c>
      <c r="AR38" s="166">
        <f t="shared" si="30"/>
        <v>0</v>
      </c>
      <c r="AS38" s="33">
        <f t="shared" si="31"/>
        <v>8708.5726992581567</v>
      </c>
      <c r="AT38" s="167">
        <f t="shared" si="32"/>
        <v>609.60008894807106</v>
      </c>
      <c r="AU38" s="165">
        <v>0</v>
      </c>
      <c r="AV38" s="166">
        <f t="shared" si="33"/>
        <v>0</v>
      </c>
      <c r="AW38" s="33">
        <f t="shared" si="34"/>
        <v>9518.1727882062278</v>
      </c>
      <c r="AX38" s="167">
        <f t="shared" si="35"/>
        <v>666.272095174436</v>
      </c>
      <c r="AY38" s="165">
        <v>0</v>
      </c>
      <c r="AZ38" s="166">
        <f t="shared" si="36"/>
        <v>0</v>
      </c>
      <c r="BA38" s="33">
        <f t="shared" si="37"/>
        <v>10384.444883380664</v>
      </c>
      <c r="BB38" s="167">
        <f t="shared" si="38"/>
        <v>726.91114183664649</v>
      </c>
      <c r="BC38" s="165">
        <v>0</v>
      </c>
      <c r="BD38" s="166">
        <f t="shared" si="39"/>
        <v>0</v>
      </c>
      <c r="BE38" s="33">
        <f t="shared" si="40"/>
        <v>11311.35602521731</v>
      </c>
      <c r="BF38" s="167">
        <f t="shared" si="41"/>
        <v>791.79492176521183</v>
      </c>
      <c r="BG38" s="165">
        <v>0</v>
      </c>
      <c r="BH38" s="166">
        <f t="shared" si="42"/>
        <v>0</v>
      </c>
      <c r="BI38" s="33">
        <f t="shared" si="43"/>
        <v>12303.150946982521</v>
      </c>
      <c r="BJ38" s="167">
        <f t="shared" si="44"/>
        <v>861.22056628877658</v>
      </c>
      <c r="BK38" s="87">
        <f t="shared" si="45"/>
        <v>0</v>
      </c>
      <c r="BL38" s="33">
        <f>'2021-2022 (B)'!AV38+'2022-2023'!BK38</f>
        <v>3750</v>
      </c>
    </row>
    <row r="39" spans="1:65">
      <c r="A39" s="10" t="s">
        <v>610</v>
      </c>
      <c r="B39" s="10" t="s">
        <v>140</v>
      </c>
      <c r="C39" s="80">
        <v>0</v>
      </c>
      <c r="D39" s="79">
        <f t="shared" si="0"/>
        <v>2400</v>
      </c>
      <c r="E39" s="78">
        <f>'2021-2022 (B)'!E39</f>
        <v>7500</v>
      </c>
      <c r="F39" s="187">
        <f t="shared" si="1"/>
        <v>2400</v>
      </c>
      <c r="G39" s="159">
        <f t="shared" si="2"/>
        <v>0</v>
      </c>
      <c r="H39" s="190">
        <f t="shared" si="3"/>
        <v>2400</v>
      </c>
      <c r="I39" s="78">
        <f t="shared" si="46"/>
        <v>18979.120422196371</v>
      </c>
      <c r="J39" s="78">
        <f t="shared" si="4"/>
        <v>0</v>
      </c>
      <c r="K39" s="78">
        <f t="shared" si="5"/>
        <v>0</v>
      </c>
      <c r="L39" s="78">
        <f t="shared" si="6"/>
        <v>9079.120422196369</v>
      </c>
      <c r="M39" s="194">
        <f t="shared" si="7"/>
        <v>9079.120422196369</v>
      </c>
      <c r="N39" s="78">
        <f t="shared" si="8"/>
        <v>-9079.120422196369</v>
      </c>
      <c r="O39" s="165">
        <v>0</v>
      </c>
      <c r="P39" s="166">
        <f t="shared" si="9"/>
        <v>0</v>
      </c>
      <c r="Q39" s="119">
        <f t="shared" si="10"/>
        <v>7700</v>
      </c>
      <c r="R39" s="167">
        <f t="shared" si="11"/>
        <v>423.5</v>
      </c>
      <c r="S39" s="165">
        <v>0</v>
      </c>
      <c r="T39" s="166">
        <f t="shared" si="12"/>
        <v>0</v>
      </c>
      <c r="U39" s="33">
        <f t="shared" si="13"/>
        <v>8323.5</v>
      </c>
      <c r="V39" s="167">
        <f t="shared" si="14"/>
        <v>457.79250000000002</v>
      </c>
      <c r="W39" s="165">
        <v>0</v>
      </c>
      <c r="X39" s="166">
        <f t="shared" si="15"/>
        <v>0</v>
      </c>
      <c r="Y39" s="33">
        <f t="shared" si="16"/>
        <v>8981.2924999999996</v>
      </c>
      <c r="Z39" s="167">
        <f t="shared" si="17"/>
        <v>493.97108749999995</v>
      </c>
      <c r="AA39" s="165">
        <v>0</v>
      </c>
      <c r="AB39" s="166">
        <f t="shared" si="18"/>
        <v>0</v>
      </c>
      <c r="AC39" s="33">
        <f t="shared" si="19"/>
        <v>9675.2635874999996</v>
      </c>
      <c r="AD39" s="167">
        <f t="shared" si="20"/>
        <v>532.1394973125</v>
      </c>
      <c r="AE39" s="165">
        <v>0</v>
      </c>
      <c r="AF39" s="166">
        <f t="shared" si="21"/>
        <v>0</v>
      </c>
      <c r="AG39" s="33">
        <f t="shared" si="22"/>
        <v>10407.4030848125</v>
      </c>
      <c r="AH39" s="167">
        <f t="shared" si="23"/>
        <v>572.40716966468756</v>
      </c>
      <c r="AI39" s="165">
        <v>0</v>
      </c>
      <c r="AJ39" s="166">
        <f t="shared" si="24"/>
        <v>0</v>
      </c>
      <c r="AK39" s="33">
        <f t="shared" si="25"/>
        <v>11179.810254477188</v>
      </c>
      <c r="AL39" s="167">
        <f t="shared" si="26"/>
        <v>614.88956399624533</v>
      </c>
      <c r="AM39" s="165">
        <v>0</v>
      </c>
      <c r="AN39" s="166">
        <f t="shared" si="27"/>
        <v>0</v>
      </c>
      <c r="AO39" s="33">
        <f t="shared" si="28"/>
        <v>11994.699818473433</v>
      </c>
      <c r="AP39" s="167">
        <f t="shared" si="29"/>
        <v>659.70849001603881</v>
      </c>
      <c r="AQ39" s="165">
        <v>0</v>
      </c>
      <c r="AR39" s="166">
        <f t="shared" si="30"/>
        <v>0</v>
      </c>
      <c r="AS39" s="33">
        <f t="shared" si="31"/>
        <v>12854.408308489472</v>
      </c>
      <c r="AT39" s="167">
        <f t="shared" si="32"/>
        <v>899.80858159426316</v>
      </c>
      <c r="AU39" s="165">
        <v>0</v>
      </c>
      <c r="AV39" s="166">
        <f t="shared" si="33"/>
        <v>0</v>
      </c>
      <c r="AW39" s="33">
        <f t="shared" si="34"/>
        <v>13954.216890083735</v>
      </c>
      <c r="AX39" s="167">
        <f t="shared" si="35"/>
        <v>976.79518230586154</v>
      </c>
      <c r="AY39" s="165">
        <v>0</v>
      </c>
      <c r="AZ39" s="166">
        <f t="shared" si="36"/>
        <v>0</v>
      </c>
      <c r="BA39" s="33">
        <f t="shared" si="37"/>
        <v>15131.012072389596</v>
      </c>
      <c r="BB39" s="167">
        <f t="shared" si="38"/>
        <v>1059.1708450672718</v>
      </c>
      <c r="BC39" s="165">
        <v>0</v>
      </c>
      <c r="BD39" s="166">
        <f t="shared" si="39"/>
        <v>0</v>
      </c>
      <c r="BE39" s="33">
        <f t="shared" si="40"/>
        <v>16390.182917456867</v>
      </c>
      <c r="BF39" s="167">
        <f t="shared" si="41"/>
        <v>1147.3128042219807</v>
      </c>
      <c r="BG39" s="165">
        <v>0</v>
      </c>
      <c r="BH39" s="166">
        <f t="shared" si="42"/>
        <v>0</v>
      </c>
      <c r="BI39" s="33">
        <f t="shared" si="43"/>
        <v>17737.495721678846</v>
      </c>
      <c r="BJ39" s="167">
        <f t="shared" si="44"/>
        <v>1241.6247005175194</v>
      </c>
      <c r="BK39" s="87">
        <f t="shared" si="45"/>
        <v>0</v>
      </c>
      <c r="BL39" s="33">
        <f>'2021-2022 (B)'!AV39+'2022-2023'!BK39</f>
        <v>500</v>
      </c>
    </row>
    <row r="40" spans="1:65">
      <c r="A40" s="10" t="s">
        <v>611</v>
      </c>
      <c r="B40" s="10" t="s">
        <v>125</v>
      </c>
      <c r="C40" s="80">
        <v>0</v>
      </c>
      <c r="D40" s="79">
        <f t="shared" si="0"/>
        <v>2400</v>
      </c>
      <c r="E40" s="78">
        <f>'2021-2022 (B)'!E40</f>
        <v>5790</v>
      </c>
      <c r="F40" s="187">
        <f t="shared" si="1"/>
        <v>2400</v>
      </c>
      <c r="G40" s="159">
        <f t="shared" si="2"/>
        <v>0</v>
      </c>
      <c r="H40" s="190">
        <f t="shared" si="3"/>
        <v>2400</v>
      </c>
      <c r="I40" s="78">
        <f t="shared" si="46"/>
        <v>15490.271076841327</v>
      </c>
      <c r="J40" s="78">
        <f t="shared" si="4"/>
        <v>0</v>
      </c>
      <c r="K40" s="78">
        <f t="shared" si="5"/>
        <v>0</v>
      </c>
      <c r="L40" s="78">
        <f t="shared" si="6"/>
        <v>7300.2710768413262</v>
      </c>
      <c r="M40" s="194">
        <f t="shared" si="7"/>
        <v>7300.2710768413262</v>
      </c>
      <c r="N40" s="78">
        <f t="shared" si="8"/>
        <v>-7300.2710768413262</v>
      </c>
      <c r="O40" s="165">
        <v>0</v>
      </c>
      <c r="P40" s="166">
        <f t="shared" si="9"/>
        <v>0</v>
      </c>
      <c r="Q40" s="119">
        <f t="shared" si="10"/>
        <v>5990</v>
      </c>
      <c r="R40" s="167">
        <f t="shared" si="11"/>
        <v>329.45</v>
      </c>
      <c r="S40" s="165">
        <v>0</v>
      </c>
      <c r="T40" s="166">
        <f t="shared" si="12"/>
        <v>0</v>
      </c>
      <c r="U40" s="33">
        <f t="shared" si="13"/>
        <v>6519.45</v>
      </c>
      <c r="V40" s="167">
        <f t="shared" si="14"/>
        <v>358.56975</v>
      </c>
      <c r="W40" s="165">
        <v>0</v>
      </c>
      <c r="X40" s="166">
        <f t="shared" si="15"/>
        <v>0</v>
      </c>
      <c r="Y40" s="33">
        <f t="shared" si="16"/>
        <v>7078.0197499999995</v>
      </c>
      <c r="Z40" s="167">
        <f t="shared" si="17"/>
        <v>389.29108624999998</v>
      </c>
      <c r="AA40" s="165">
        <v>0</v>
      </c>
      <c r="AB40" s="166">
        <f t="shared" si="18"/>
        <v>0</v>
      </c>
      <c r="AC40" s="33">
        <f t="shared" si="19"/>
        <v>7667.3108362499997</v>
      </c>
      <c r="AD40" s="167">
        <f t="shared" si="20"/>
        <v>421.70209599374999</v>
      </c>
      <c r="AE40" s="165">
        <v>0</v>
      </c>
      <c r="AF40" s="166">
        <f t="shared" si="21"/>
        <v>0</v>
      </c>
      <c r="AG40" s="33">
        <f t="shared" si="22"/>
        <v>8289.0129322437497</v>
      </c>
      <c r="AH40" s="167">
        <f t="shared" si="23"/>
        <v>455.89571127340622</v>
      </c>
      <c r="AI40" s="165">
        <v>0</v>
      </c>
      <c r="AJ40" s="166">
        <f t="shared" si="24"/>
        <v>0</v>
      </c>
      <c r="AK40" s="33">
        <f t="shared" si="25"/>
        <v>8944.9086435171557</v>
      </c>
      <c r="AL40" s="167">
        <f t="shared" si="26"/>
        <v>491.96997539344358</v>
      </c>
      <c r="AM40" s="165">
        <v>0</v>
      </c>
      <c r="AN40" s="166">
        <f t="shared" si="27"/>
        <v>0</v>
      </c>
      <c r="AO40" s="33">
        <f t="shared" si="28"/>
        <v>9636.8786189105995</v>
      </c>
      <c r="AP40" s="167">
        <f t="shared" si="29"/>
        <v>530.02832404008302</v>
      </c>
      <c r="AQ40" s="165">
        <v>0</v>
      </c>
      <c r="AR40" s="166">
        <f t="shared" si="30"/>
        <v>0</v>
      </c>
      <c r="AS40" s="33">
        <f t="shared" si="31"/>
        <v>10366.906942950682</v>
      </c>
      <c r="AT40" s="167">
        <f t="shared" si="32"/>
        <v>725.68348600654781</v>
      </c>
      <c r="AU40" s="165">
        <v>0</v>
      </c>
      <c r="AV40" s="166">
        <f t="shared" si="33"/>
        <v>0</v>
      </c>
      <c r="AW40" s="33">
        <f t="shared" si="34"/>
        <v>11292.59042895723</v>
      </c>
      <c r="AX40" s="167">
        <f t="shared" si="35"/>
        <v>790.48133002700615</v>
      </c>
      <c r="AY40" s="165">
        <v>0</v>
      </c>
      <c r="AZ40" s="166">
        <f t="shared" si="36"/>
        <v>0</v>
      </c>
      <c r="BA40" s="33">
        <f t="shared" si="37"/>
        <v>12283.071758984235</v>
      </c>
      <c r="BB40" s="167">
        <f t="shared" si="38"/>
        <v>859.81502312889654</v>
      </c>
      <c r="BC40" s="165">
        <v>0</v>
      </c>
      <c r="BD40" s="166">
        <f t="shared" si="39"/>
        <v>0</v>
      </c>
      <c r="BE40" s="33">
        <f t="shared" si="40"/>
        <v>13342.886782113132</v>
      </c>
      <c r="BF40" s="167">
        <f t="shared" si="41"/>
        <v>934.00207474791932</v>
      </c>
      <c r="BG40" s="165">
        <v>0</v>
      </c>
      <c r="BH40" s="166">
        <f t="shared" si="42"/>
        <v>0</v>
      </c>
      <c r="BI40" s="33">
        <f t="shared" si="43"/>
        <v>14476.888856861051</v>
      </c>
      <c r="BJ40" s="167">
        <f t="shared" si="44"/>
        <v>1013.3822199802737</v>
      </c>
      <c r="BK40" s="87">
        <f t="shared" si="45"/>
        <v>0</v>
      </c>
      <c r="BL40" s="33">
        <f>'2021-2022 (B)'!AV40+'2022-2023'!BK40</f>
        <v>3000</v>
      </c>
    </row>
    <row r="41" spans="1:65">
      <c r="A41" s="10" t="s">
        <v>612</v>
      </c>
      <c r="B41" s="10" t="s">
        <v>144</v>
      </c>
      <c r="C41" s="80">
        <v>0</v>
      </c>
      <c r="D41" s="79">
        <f t="shared" si="0"/>
        <v>2400</v>
      </c>
      <c r="E41" s="78">
        <f>'2021-2022 (B)'!E41</f>
        <v>1400</v>
      </c>
      <c r="F41" s="187">
        <f t="shared" si="1"/>
        <v>2400</v>
      </c>
      <c r="G41" s="159">
        <f t="shared" si="2"/>
        <v>0</v>
      </c>
      <c r="H41" s="190">
        <f t="shared" si="3"/>
        <v>2400</v>
      </c>
      <c r="I41" s="78">
        <f t="shared" si="46"/>
        <v>6533.5174943216589</v>
      </c>
      <c r="J41" s="78">
        <f t="shared" si="4"/>
        <v>0</v>
      </c>
      <c r="K41" s="78">
        <f t="shared" si="5"/>
        <v>0</v>
      </c>
      <c r="L41" s="78">
        <f t="shared" si="6"/>
        <v>2733.5174943216589</v>
      </c>
      <c r="M41" s="194">
        <f t="shared" si="7"/>
        <v>2733.5174943216589</v>
      </c>
      <c r="N41" s="78">
        <f t="shared" si="8"/>
        <v>-2733.5174943216589</v>
      </c>
      <c r="O41" s="165">
        <v>0</v>
      </c>
      <c r="P41" s="166">
        <f t="shared" si="9"/>
        <v>0</v>
      </c>
      <c r="Q41" s="119">
        <f t="shared" si="10"/>
        <v>1600</v>
      </c>
      <c r="R41" s="167">
        <f t="shared" si="11"/>
        <v>88</v>
      </c>
      <c r="S41" s="165">
        <v>0</v>
      </c>
      <c r="T41" s="166">
        <f t="shared" si="12"/>
        <v>0</v>
      </c>
      <c r="U41" s="33">
        <f t="shared" si="13"/>
        <v>1888</v>
      </c>
      <c r="V41" s="167">
        <f t="shared" si="14"/>
        <v>103.84</v>
      </c>
      <c r="W41" s="165">
        <v>0</v>
      </c>
      <c r="X41" s="166">
        <f t="shared" si="15"/>
        <v>0</v>
      </c>
      <c r="Y41" s="33">
        <f t="shared" si="16"/>
        <v>2191.84</v>
      </c>
      <c r="Z41" s="167">
        <f t="shared" si="17"/>
        <v>120.55120000000001</v>
      </c>
      <c r="AA41" s="165">
        <v>0</v>
      </c>
      <c r="AB41" s="166">
        <f t="shared" si="18"/>
        <v>0</v>
      </c>
      <c r="AC41" s="33">
        <f t="shared" si="19"/>
        <v>2512.3912</v>
      </c>
      <c r="AD41" s="167">
        <f t="shared" si="20"/>
        <v>138.18151600000002</v>
      </c>
      <c r="AE41" s="165">
        <v>0</v>
      </c>
      <c r="AF41" s="166">
        <f t="shared" si="21"/>
        <v>0</v>
      </c>
      <c r="AG41" s="33">
        <f t="shared" si="22"/>
        <v>2850.5727160000001</v>
      </c>
      <c r="AH41" s="167">
        <f t="shared" si="23"/>
        <v>156.78149938000001</v>
      </c>
      <c r="AI41" s="165">
        <v>0</v>
      </c>
      <c r="AJ41" s="166">
        <f t="shared" si="24"/>
        <v>0</v>
      </c>
      <c r="AK41" s="33">
        <f t="shared" si="25"/>
        <v>3207.3542153799999</v>
      </c>
      <c r="AL41" s="167">
        <f t="shared" si="26"/>
        <v>176.40448184589999</v>
      </c>
      <c r="AM41" s="165">
        <v>0</v>
      </c>
      <c r="AN41" s="166">
        <f t="shared" si="27"/>
        <v>0</v>
      </c>
      <c r="AO41" s="33">
        <f t="shared" si="28"/>
        <v>3583.7586972259001</v>
      </c>
      <c r="AP41" s="167">
        <f t="shared" si="29"/>
        <v>197.10672834742451</v>
      </c>
      <c r="AQ41" s="165">
        <v>0</v>
      </c>
      <c r="AR41" s="166">
        <f t="shared" si="30"/>
        <v>0</v>
      </c>
      <c r="AS41" s="33">
        <f t="shared" si="31"/>
        <v>3980.8654255733245</v>
      </c>
      <c r="AT41" s="167">
        <f t="shared" si="32"/>
        <v>278.66057979013272</v>
      </c>
      <c r="AU41" s="165">
        <v>0</v>
      </c>
      <c r="AV41" s="166">
        <f t="shared" si="33"/>
        <v>0</v>
      </c>
      <c r="AW41" s="33">
        <f t="shared" si="34"/>
        <v>4459.5260053634574</v>
      </c>
      <c r="AX41" s="167">
        <f t="shared" si="35"/>
        <v>312.16682037544206</v>
      </c>
      <c r="AY41" s="165">
        <v>0</v>
      </c>
      <c r="AZ41" s="166">
        <f t="shared" si="36"/>
        <v>0</v>
      </c>
      <c r="BA41" s="33">
        <f t="shared" si="37"/>
        <v>4971.692825738899</v>
      </c>
      <c r="BB41" s="167">
        <f t="shared" si="38"/>
        <v>348.01849780172296</v>
      </c>
      <c r="BC41" s="165">
        <v>0</v>
      </c>
      <c r="BD41" s="166">
        <f t="shared" si="39"/>
        <v>0</v>
      </c>
      <c r="BE41" s="33">
        <f t="shared" si="40"/>
        <v>5519.7113235406223</v>
      </c>
      <c r="BF41" s="167">
        <f t="shared" si="41"/>
        <v>386.3797926478436</v>
      </c>
      <c r="BG41" s="165">
        <v>0</v>
      </c>
      <c r="BH41" s="166">
        <f t="shared" si="42"/>
        <v>0</v>
      </c>
      <c r="BI41" s="33">
        <f t="shared" si="43"/>
        <v>6106.091116188466</v>
      </c>
      <c r="BJ41" s="167">
        <f t="shared" si="44"/>
        <v>427.42637813319266</v>
      </c>
      <c r="BK41" s="87">
        <f t="shared" si="45"/>
        <v>0</v>
      </c>
      <c r="BL41" s="33">
        <f>'2021-2022 (B)'!AV41+'2022-2023'!BK41</f>
        <v>6700</v>
      </c>
    </row>
    <row r="42" spans="1:65">
      <c r="A42" s="10" t="s">
        <v>613</v>
      </c>
      <c r="B42" s="10" t="s">
        <v>143</v>
      </c>
      <c r="C42" s="80">
        <v>0</v>
      </c>
      <c r="D42" s="79">
        <f t="shared" si="0"/>
        <v>2400</v>
      </c>
      <c r="E42" s="78">
        <f>'2021-2022 (B)'!E42</f>
        <v>4900</v>
      </c>
      <c r="F42" s="187">
        <f t="shared" si="1"/>
        <v>2400</v>
      </c>
      <c r="G42" s="159">
        <f t="shared" si="2"/>
        <v>0</v>
      </c>
      <c r="H42" s="190">
        <f t="shared" si="3"/>
        <v>2400</v>
      </c>
      <c r="I42" s="78">
        <f t="shared" si="46"/>
        <v>13674.437207036655</v>
      </c>
      <c r="J42" s="78">
        <f t="shared" si="4"/>
        <v>0</v>
      </c>
      <c r="K42" s="78">
        <f t="shared" si="5"/>
        <v>0</v>
      </c>
      <c r="L42" s="78">
        <f t="shared" si="6"/>
        <v>6374.4372070366553</v>
      </c>
      <c r="M42" s="194">
        <f t="shared" si="7"/>
        <v>6374.4372070366553</v>
      </c>
      <c r="N42" s="78">
        <f t="shared" si="8"/>
        <v>-6374.4372070366553</v>
      </c>
      <c r="O42" s="165">
        <v>0</v>
      </c>
      <c r="P42" s="166">
        <f t="shared" si="9"/>
        <v>0</v>
      </c>
      <c r="Q42" s="119">
        <f t="shared" si="10"/>
        <v>5100</v>
      </c>
      <c r="R42" s="167">
        <f t="shared" si="11"/>
        <v>280.5</v>
      </c>
      <c r="S42" s="165">
        <v>0</v>
      </c>
      <c r="T42" s="166">
        <f t="shared" si="12"/>
        <v>0</v>
      </c>
      <c r="U42" s="33">
        <f t="shared" si="13"/>
        <v>5580.5</v>
      </c>
      <c r="V42" s="167">
        <f t="shared" si="14"/>
        <v>306.92750000000001</v>
      </c>
      <c r="W42" s="165">
        <v>0</v>
      </c>
      <c r="X42" s="166">
        <f t="shared" si="15"/>
        <v>0</v>
      </c>
      <c r="Y42" s="33">
        <f t="shared" si="16"/>
        <v>6087.4274999999998</v>
      </c>
      <c r="Z42" s="167">
        <f t="shared" si="17"/>
        <v>334.80851250000001</v>
      </c>
      <c r="AA42" s="165">
        <v>0</v>
      </c>
      <c r="AB42" s="166">
        <f t="shared" si="18"/>
        <v>0</v>
      </c>
      <c r="AC42" s="33">
        <f t="shared" si="19"/>
        <v>6622.2360124999996</v>
      </c>
      <c r="AD42" s="167">
        <f t="shared" si="20"/>
        <v>364.22298068749996</v>
      </c>
      <c r="AE42" s="165">
        <v>0</v>
      </c>
      <c r="AF42" s="166">
        <f t="shared" si="21"/>
        <v>0</v>
      </c>
      <c r="AG42" s="33">
        <f t="shared" si="22"/>
        <v>7186.4589931874998</v>
      </c>
      <c r="AH42" s="167">
        <f t="shared" si="23"/>
        <v>395.25524462531251</v>
      </c>
      <c r="AI42" s="165">
        <v>0</v>
      </c>
      <c r="AJ42" s="166">
        <f t="shared" si="24"/>
        <v>0</v>
      </c>
      <c r="AK42" s="33">
        <f t="shared" si="25"/>
        <v>7781.7142378128119</v>
      </c>
      <c r="AL42" s="167">
        <f t="shared" si="26"/>
        <v>427.99428307970464</v>
      </c>
      <c r="AM42" s="165">
        <v>0</v>
      </c>
      <c r="AN42" s="166">
        <f t="shared" si="27"/>
        <v>0</v>
      </c>
      <c r="AO42" s="33">
        <f t="shared" si="28"/>
        <v>8409.7085208925164</v>
      </c>
      <c r="AP42" s="167">
        <f t="shared" si="29"/>
        <v>462.53396864908842</v>
      </c>
      <c r="AQ42" s="165">
        <v>0</v>
      </c>
      <c r="AR42" s="166">
        <f t="shared" si="30"/>
        <v>0</v>
      </c>
      <c r="AS42" s="33">
        <f t="shared" si="31"/>
        <v>9072.2424895416043</v>
      </c>
      <c r="AT42" s="167">
        <f t="shared" si="32"/>
        <v>635.05697426791232</v>
      </c>
      <c r="AU42" s="165">
        <v>0</v>
      </c>
      <c r="AV42" s="166">
        <f t="shared" si="33"/>
        <v>0</v>
      </c>
      <c r="AW42" s="33">
        <f t="shared" si="34"/>
        <v>9907.299463809517</v>
      </c>
      <c r="AX42" s="167">
        <f t="shared" si="35"/>
        <v>693.51096246666623</v>
      </c>
      <c r="AY42" s="165">
        <v>0</v>
      </c>
      <c r="AZ42" s="166">
        <f t="shared" si="36"/>
        <v>0</v>
      </c>
      <c r="BA42" s="33">
        <f t="shared" si="37"/>
        <v>10800.810426276183</v>
      </c>
      <c r="BB42" s="167">
        <f t="shared" si="38"/>
        <v>756.05672983933289</v>
      </c>
      <c r="BC42" s="165">
        <v>0</v>
      </c>
      <c r="BD42" s="166">
        <f t="shared" si="39"/>
        <v>0</v>
      </c>
      <c r="BE42" s="33">
        <f t="shared" si="40"/>
        <v>11756.867156115515</v>
      </c>
      <c r="BF42" s="167">
        <f t="shared" si="41"/>
        <v>822.98070092808609</v>
      </c>
      <c r="BG42" s="165">
        <v>0</v>
      </c>
      <c r="BH42" s="166">
        <f t="shared" si="42"/>
        <v>0</v>
      </c>
      <c r="BI42" s="33">
        <f t="shared" si="43"/>
        <v>12779.847857043602</v>
      </c>
      <c r="BJ42" s="167">
        <f t="shared" si="44"/>
        <v>894.58934999305222</v>
      </c>
      <c r="BK42" s="87">
        <f t="shared" si="45"/>
        <v>0</v>
      </c>
      <c r="BL42" s="33">
        <f>'2021-2022 (B)'!AV42+'2022-2023'!BK42</f>
        <v>3100</v>
      </c>
    </row>
    <row r="43" spans="1:65">
      <c r="A43" s="10" t="s">
        <v>614</v>
      </c>
      <c r="B43" s="10" t="s">
        <v>150</v>
      </c>
      <c r="C43" s="80">
        <v>0</v>
      </c>
      <c r="D43" s="79">
        <f t="shared" si="0"/>
        <v>2400</v>
      </c>
      <c r="E43" s="78">
        <f>'2021-2022 (B)'!E43</f>
        <v>4061.11</v>
      </c>
      <c r="F43" s="187">
        <f t="shared" si="1"/>
        <v>2400</v>
      </c>
      <c r="G43" s="159">
        <f t="shared" si="2"/>
        <v>900</v>
      </c>
      <c r="H43" s="190">
        <f t="shared" si="3"/>
        <v>1500</v>
      </c>
      <c r="I43" s="78">
        <f t="shared" si="46"/>
        <v>10605.113734024608</v>
      </c>
      <c r="J43" s="78">
        <f t="shared" si="4"/>
        <v>0</v>
      </c>
      <c r="K43" s="78">
        <f t="shared" si="5"/>
        <v>49.5</v>
      </c>
      <c r="L43" s="78">
        <f t="shared" si="6"/>
        <v>5044.0037340246072</v>
      </c>
      <c r="M43" s="194">
        <f t="shared" si="7"/>
        <v>5044.0037340246072</v>
      </c>
      <c r="N43" s="78">
        <f t="shared" si="8"/>
        <v>-4094.5037340246072</v>
      </c>
      <c r="O43" s="165">
        <v>0</v>
      </c>
      <c r="P43" s="166">
        <f t="shared" si="9"/>
        <v>0</v>
      </c>
      <c r="Q43" s="119">
        <f t="shared" si="10"/>
        <v>4261.1100000000006</v>
      </c>
      <c r="R43" s="167">
        <f t="shared" si="11"/>
        <v>234.36105000000003</v>
      </c>
      <c r="S43" s="165">
        <v>0</v>
      </c>
      <c r="T43" s="166">
        <f t="shared" si="12"/>
        <v>0</v>
      </c>
      <c r="U43" s="33">
        <f t="shared" si="13"/>
        <v>4695.471050000001</v>
      </c>
      <c r="V43" s="167">
        <f t="shared" si="14"/>
        <v>258.25090775000007</v>
      </c>
      <c r="W43" s="165">
        <v>0</v>
      </c>
      <c r="X43" s="166">
        <f t="shared" si="15"/>
        <v>0</v>
      </c>
      <c r="Y43" s="33">
        <f t="shared" si="16"/>
        <v>5153.7219577500009</v>
      </c>
      <c r="Z43" s="167">
        <f t="shared" si="17"/>
        <v>283.45470767625005</v>
      </c>
      <c r="AA43" s="165">
        <v>0</v>
      </c>
      <c r="AB43" s="166">
        <f t="shared" si="18"/>
        <v>0</v>
      </c>
      <c r="AC43" s="33">
        <f t="shared" si="19"/>
        <v>5637.176665426251</v>
      </c>
      <c r="AD43" s="167">
        <f t="shared" si="20"/>
        <v>310.04471659844381</v>
      </c>
      <c r="AE43" s="165">
        <v>300</v>
      </c>
      <c r="AF43" s="166">
        <f t="shared" si="21"/>
        <v>0</v>
      </c>
      <c r="AG43" s="33">
        <f t="shared" si="22"/>
        <v>5847.2213820246952</v>
      </c>
      <c r="AH43" s="167">
        <f t="shared" si="23"/>
        <v>305.09717601135821</v>
      </c>
      <c r="AI43" s="165">
        <v>0</v>
      </c>
      <c r="AJ43" s="166">
        <f t="shared" si="24"/>
        <v>0</v>
      </c>
      <c r="AK43" s="33">
        <f t="shared" si="25"/>
        <v>6352.3185580360532</v>
      </c>
      <c r="AL43" s="167">
        <f t="shared" si="26"/>
        <v>349.37752069198291</v>
      </c>
      <c r="AM43" s="165">
        <v>0</v>
      </c>
      <c r="AN43" s="166">
        <f t="shared" si="27"/>
        <v>0</v>
      </c>
      <c r="AO43" s="33">
        <f t="shared" si="28"/>
        <v>6901.6960787280359</v>
      </c>
      <c r="AP43" s="167">
        <f t="shared" si="29"/>
        <v>379.59328433004197</v>
      </c>
      <c r="AQ43" s="165">
        <v>0</v>
      </c>
      <c r="AR43" s="166">
        <f t="shared" si="30"/>
        <v>0</v>
      </c>
      <c r="AS43" s="33">
        <f t="shared" si="31"/>
        <v>7481.2893630580775</v>
      </c>
      <c r="AT43" s="167">
        <f t="shared" si="32"/>
        <v>523.69025541406552</v>
      </c>
      <c r="AU43" s="165">
        <v>600</v>
      </c>
      <c r="AV43" s="166">
        <f t="shared" si="33"/>
        <v>0</v>
      </c>
      <c r="AW43" s="33">
        <f t="shared" si="34"/>
        <v>7604.9796184721426</v>
      </c>
      <c r="AX43" s="167">
        <f t="shared" si="35"/>
        <v>490.34857329305004</v>
      </c>
      <c r="AY43" s="165">
        <v>0</v>
      </c>
      <c r="AZ43" s="166">
        <f t="shared" si="36"/>
        <v>0</v>
      </c>
      <c r="BA43" s="33">
        <f t="shared" si="37"/>
        <v>8295.328191765193</v>
      </c>
      <c r="BB43" s="167">
        <f t="shared" si="38"/>
        <v>580.67297342356358</v>
      </c>
      <c r="BC43" s="165">
        <v>0</v>
      </c>
      <c r="BD43" s="166">
        <f t="shared" si="39"/>
        <v>0</v>
      </c>
      <c r="BE43" s="33">
        <f t="shared" si="40"/>
        <v>9076.0011651887562</v>
      </c>
      <c r="BF43" s="167">
        <f t="shared" si="41"/>
        <v>635.32008156321297</v>
      </c>
      <c r="BG43" s="165">
        <v>0</v>
      </c>
      <c r="BH43" s="166">
        <f t="shared" si="42"/>
        <v>0</v>
      </c>
      <c r="BI43" s="33">
        <f t="shared" si="43"/>
        <v>9911.3212467519697</v>
      </c>
      <c r="BJ43" s="167">
        <f t="shared" si="44"/>
        <v>693.79248727263791</v>
      </c>
      <c r="BK43" s="87">
        <f t="shared" si="45"/>
        <v>900</v>
      </c>
      <c r="BL43" s="33">
        <f>'2021-2022 (B)'!AV43+'2022-2023'!BK43</f>
        <v>5738.8899999999994</v>
      </c>
    </row>
    <row r="44" spans="1:65">
      <c r="A44" s="10" t="s">
        <v>615</v>
      </c>
      <c r="B44" s="10" t="s">
        <v>159</v>
      </c>
      <c r="C44" s="80">
        <v>0</v>
      </c>
      <c r="D44" s="79">
        <f t="shared" si="0"/>
        <v>2400</v>
      </c>
      <c r="E44" s="78">
        <f>'2021-2022 (B)'!E44</f>
        <v>-630</v>
      </c>
      <c r="F44" s="187">
        <f t="shared" si="1"/>
        <v>2400</v>
      </c>
      <c r="G44" s="159">
        <f t="shared" si="2"/>
        <v>2600</v>
      </c>
      <c r="H44" s="190">
        <f t="shared" si="3"/>
        <v>-200</v>
      </c>
      <c r="I44" s="78">
        <f t="shared" si="46"/>
        <v>-1501.9040978551113</v>
      </c>
      <c r="J44" s="78">
        <f t="shared" si="4"/>
        <v>0</v>
      </c>
      <c r="K44" s="78">
        <f t="shared" si="5"/>
        <v>143</v>
      </c>
      <c r="L44" s="78">
        <f t="shared" si="6"/>
        <v>-671.90409785511133</v>
      </c>
      <c r="M44" s="194">
        <f t="shared" si="7"/>
        <v>-671.90409785511133</v>
      </c>
      <c r="N44" s="78">
        <f t="shared" si="8"/>
        <v>3414.9040978551111</v>
      </c>
      <c r="O44" s="165">
        <v>200</v>
      </c>
      <c r="P44" s="166">
        <f t="shared" si="9"/>
        <v>0</v>
      </c>
      <c r="Q44" s="119">
        <f t="shared" si="10"/>
        <v>-430</v>
      </c>
      <c r="R44" s="167">
        <f t="shared" si="11"/>
        <v>-34.65</v>
      </c>
      <c r="S44" s="165">
        <v>200</v>
      </c>
      <c r="T44" s="166">
        <f t="shared" si="12"/>
        <v>0</v>
      </c>
      <c r="U44" s="33">
        <f t="shared" si="13"/>
        <v>-464.65</v>
      </c>
      <c r="V44" s="167">
        <f t="shared" si="14"/>
        <v>-36.555749999999996</v>
      </c>
      <c r="W44" s="165">
        <v>200</v>
      </c>
      <c r="X44" s="166">
        <f t="shared" si="15"/>
        <v>0</v>
      </c>
      <c r="Y44" s="33">
        <f t="shared" si="16"/>
        <v>-501.20574999999997</v>
      </c>
      <c r="Z44" s="167">
        <f t="shared" si="17"/>
        <v>-38.56631625</v>
      </c>
      <c r="AA44" s="165">
        <v>200</v>
      </c>
      <c r="AB44" s="166">
        <f t="shared" si="18"/>
        <v>0</v>
      </c>
      <c r="AC44" s="33">
        <f t="shared" si="19"/>
        <v>-539.77206624999997</v>
      </c>
      <c r="AD44" s="167">
        <f t="shared" si="20"/>
        <v>-40.68746364375</v>
      </c>
      <c r="AE44" s="165">
        <v>200</v>
      </c>
      <c r="AF44" s="166">
        <f t="shared" si="21"/>
        <v>0</v>
      </c>
      <c r="AG44" s="33">
        <f t="shared" si="22"/>
        <v>-580.45952989374996</v>
      </c>
      <c r="AH44" s="167">
        <f t="shared" si="23"/>
        <v>-42.925274144156248</v>
      </c>
      <c r="AI44" s="165">
        <v>250</v>
      </c>
      <c r="AJ44" s="166">
        <f t="shared" si="24"/>
        <v>0</v>
      </c>
      <c r="AK44" s="33">
        <f t="shared" si="25"/>
        <v>-673.38480403790618</v>
      </c>
      <c r="AL44" s="167">
        <f t="shared" si="26"/>
        <v>-50.786164222084842</v>
      </c>
      <c r="AM44" s="165">
        <v>0</v>
      </c>
      <c r="AN44" s="166">
        <f t="shared" si="27"/>
        <v>0</v>
      </c>
      <c r="AO44" s="33">
        <f t="shared" si="28"/>
        <v>-524.17096825999101</v>
      </c>
      <c r="AP44" s="167">
        <f t="shared" si="29"/>
        <v>-28.829403254299507</v>
      </c>
      <c r="AQ44" s="165">
        <f>250</f>
        <v>250</v>
      </c>
      <c r="AR44" s="166">
        <f t="shared" si="30"/>
        <v>0</v>
      </c>
      <c r="AS44" s="33">
        <f t="shared" si="31"/>
        <v>-603.00037151429046</v>
      </c>
      <c r="AT44" s="167">
        <f t="shared" si="32"/>
        <v>-59.710026006000341</v>
      </c>
      <c r="AU44" s="165">
        <v>250</v>
      </c>
      <c r="AV44" s="166">
        <f t="shared" si="33"/>
        <v>0</v>
      </c>
      <c r="AW44" s="33">
        <f t="shared" si="34"/>
        <v>-712.71039752029083</v>
      </c>
      <c r="AX44" s="167">
        <f t="shared" si="35"/>
        <v>-67.389727826420369</v>
      </c>
      <c r="AY44" s="165">
        <v>250</v>
      </c>
      <c r="AZ44" s="166">
        <f t="shared" si="36"/>
        <v>0</v>
      </c>
      <c r="BA44" s="33">
        <f t="shared" si="37"/>
        <v>-830.10012534671114</v>
      </c>
      <c r="BB44" s="167">
        <f t="shared" si="38"/>
        <v>-75.607008774269786</v>
      </c>
      <c r="BC44" s="165">
        <v>300</v>
      </c>
      <c r="BD44" s="166">
        <f t="shared" si="39"/>
        <v>0</v>
      </c>
      <c r="BE44" s="33">
        <f t="shared" si="40"/>
        <v>-1005.707134120981</v>
      </c>
      <c r="BF44" s="167">
        <f t="shared" si="41"/>
        <v>-91.399499388468683</v>
      </c>
      <c r="BG44" s="165">
        <v>300</v>
      </c>
      <c r="BH44" s="166">
        <f t="shared" si="42"/>
        <v>0</v>
      </c>
      <c r="BI44" s="33">
        <f t="shared" si="43"/>
        <v>-1197.1066335094497</v>
      </c>
      <c r="BJ44" s="167">
        <f t="shared" si="44"/>
        <v>-104.7974643456615</v>
      </c>
      <c r="BK44" s="87">
        <f t="shared" si="45"/>
        <v>2600</v>
      </c>
      <c r="BL44" s="33">
        <f>'2021-2022 (B)'!AV44+'2022-2023'!BK44</f>
        <v>13430</v>
      </c>
      <c r="BM44">
        <f>BM32*200</f>
        <v>12000</v>
      </c>
    </row>
    <row r="45" spans="1:65">
      <c r="A45" s="10" t="s">
        <v>616</v>
      </c>
      <c r="B45" s="10" t="s">
        <v>126</v>
      </c>
      <c r="C45" s="80">
        <v>0</v>
      </c>
      <c r="D45" s="79">
        <f t="shared" si="0"/>
        <v>2400</v>
      </c>
      <c r="E45" s="78">
        <f>'2021-2022 (B)'!E45</f>
        <v>2400</v>
      </c>
      <c r="F45" s="187">
        <f t="shared" si="1"/>
        <v>2400</v>
      </c>
      <c r="G45" s="159">
        <f t="shared" si="2"/>
        <v>0</v>
      </c>
      <c r="H45" s="190">
        <f t="shared" si="3"/>
        <v>2400</v>
      </c>
      <c r="I45" s="78">
        <f t="shared" si="46"/>
        <v>8573.7802693830872</v>
      </c>
      <c r="J45" s="78">
        <f t="shared" si="4"/>
        <v>0</v>
      </c>
      <c r="K45" s="78">
        <f t="shared" si="5"/>
        <v>0</v>
      </c>
      <c r="L45" s="78">
        <f t="shared" si="6"/>
        <v>3773.7802693830868</v>
      </c>
      <c r="M45" s="194">
        <f t="shared" si="7"/>
        <v>3773.7802693830868</v>
      </c>
      <c r="N45" s="78">
        <f t="shared" si="8"/>
        <v>-3773.7802693830868</v>
      </c>
      <c r="O45" s="165">
        <v>0</v>
      </c>
      <c r="P45" s="166">
        <f t="shared" si="9"/>
        <v>0</v>
      </c>
      <c r="Q45" s="119">
        <f t="shared" si="10"/>
        <v>2600</v>
      </c>
      <c r="R45" s="167">
        <f t="shared" si="11"/>
        <v>143</v>
      </c>
      <c r="S45" s="165">
        <v>0</v>
      </c>
      <c r="T45" s="166">
        <f t="shared" si="12"/>
        <v>0</v>
      </c>
      <c r="U45" s="33">
        <f t="shared" si="13"/>
        <v>2943</v>
      </c>
      <c r="V45" s="167">
        <f t="shared" si="14"/>
        <v>161.86500000000001</v>
      </c>
      <c r="W45" s="165">
        <v>0</v>
      </c>
      <c r="X45" s="166">
        <f t="shared" si="15"/>
        <v>0</v>
      </c>
      <c r="Y45" s="33">
        <f t="shared" si="16"/>
        <v>3304.8649999999998</v>
      </c>
      <c r="Z45" s="167">
        <f t="shared" si="17"/>
        <v>181.76757499999999</v>
      </c>
      <c r="AA45" s="165">
        <v>0</v>
      </c>
      <c r="AB45" s="166">
        <f t="shared" si="18"/>
        <v>0</v>
      </c>
      <c r="AC45" s="33">
        <f t="shared" si="19"/>
        <v>3686.6325749999996</v>
      </c>
      <c r="AD45" s="167">
        <f t="shared" si="20"/>
        <v>202.76479162499999</v>
      </c>
      <c r="AE45" s="165">
        <v>0</v>
      </c>
      <c r="AF45" s="166">
        <f t="shared" si="21"/>
        <v>0</v>
      </c>
      <c r="AG45" s="33">
        <f t="shared" si="22"/>
        <v>4089.3973666249994</v>
      </c>
      <c r="AH45" s="167">
        <f t="shared" si="23"/>
        <v>224.91685516437497</v>
      </c>
      <c r="AI45" s="165">
        <v>0</v>
      </c>
      <c r="AJ45" s="166">
        <f t="shared" si="24"/>
        <v>0</v>
      </c>
      <c r="AK45" s="33">
        <f t="shared" si="25"/>
        <v>4514.3142217893746</v>
      </c>
      <c r="AL45" s="167">
        <f t="shared" si="26"/>
        <v>248.2872821984156</v>
      </c>
      <c r="AM45" s="165">
        <v>0</v>
      </c>
      <c r="AN45" s="166">
        <f t="shared" si="27"/>
        <v>0</v>
      </c>
      <c r="AO45" s="33">
        <f t="shared" si="28"/>
        <v>4962.6015039877902</v>
      </c>
      <c r="AP45" s="167">
        <f t="shared" si="29"/>
        <v>272.94308271932846</v>
      </c>
      <c r="AQ45" s="165">
        <v>0</v>
      </c>
      <c r="AR45" s="166">
        <f t="shared" si="30"/>
        <v>0</v>
      </c>
      <c r="AS45" s="33">
        <f t="shared" si="31"/>
        <v>5435.5445867071185</v>
      </c>
      <c r="AT45" s="167">
        <f t="shared" si="32"/>
        <v>380.48812106949833</v>
      </c>
      <c r="AU45" s="165">
        <v>0</v>
      </c>
      <c r="AV45" s="166">
        <f t="shared" si="33"/>
        <v>0</v>
      </c>
      <c r="AW45" s="33">
        <f t="shared" si="34"/>
        <v>6016.0327077766169</v>
      </c>
      <c r="AX45" s="167">
        <f t="shared" si="35"/>
        <v>421.12228954436324</v>
      </c>
      <c r="AY45" s="165">
        <v>0</v>
      </c>
      <c r="AZ45" s="166">
        <f t="shared" si="36"/>
        <v>0</v>
      </c>
      <c r="BA45" s="33">
        <f t="shared" si="37"/>
        <v>6637.1549973209803</v>
      </c>
      <c r="BB45" s="167">
        <f t="shared" si="38"/>
        <v>464.60084981246865</v>
      </c>
      <c r="BC45" s="165">
        <v>0</v>
      </c>
      <c r="BD45" s="166">
        <f t="shared" si="39"/>
        <v>0</v>
      </c>
      <c r="BE45" s="33">
        <f t="shared" si="40"/>
        <v>7301.7558471334487</v>
      </c>
      <c r="BF45" s="167">
        <f t="shared" si="41"/>
        <v>511.12290929934147</v>
      </c>
      <c r="BG45" s="165">
        <v>0</v>
      </c>
      <c r="BH45" s="166">
        <f t="shared" si="42"/>
        <v>0</v>
      </c>
      <c r="BI45" s="33">
        <f t="shared" si="43"/>
        <v>8012.8787564327904</v>
      </c>
      <c r="BJ45" s="167">
        <f t="shared" si="44"/>
        <v>560.90151295029534</v>
      </c>
      <c r="BK45" s="87">
        <f t="shared" si="45"/>
        <v>0</v>
      </c>
      <c r="BL45" s="33">
        <f>'2021-2022 (B)'!AV45+'2022-2023'!BK45</f>
        <v>5700</v>
      </c>
    </row>
    <row r="46" spans="1:65">
      <c r="A46" s="10" t="s">
        <v>617</v>
      </c>
      <c r="B46" s="10" t="s">
        <v>151</v>
      </c>
      <c r="C46" s="80">
        <v>0</v>
      </c>
      <c r="D46" s="79">
        <f t="shared" si="0"/>
        <v>2400</v>
      </c>
      <c r="E46" s="78">
        <f>'2021-2022 (B)'!E46</f>
        <v>900</v>
      </c>
      <c r="F46" s="187">
        <f t="shared" si="1"/>
        <v>2400</v>
      </c>
      <c r="G46" s="159">
        <f t="shared" si="2"/>
        <v>3800</v>
      </c>
      <c r="H46" s="190">
        <f t="shared" si="3"/>
        <v>-1400</v>
      </c>
      <c r="I46" s="78">
        <f t="shared" si="46"/>
        <v>-281.64811106254456</v>
      </c>
      <c r="J46" s="78">
        <f t="shared" si="4"/>
        <v>0</v>
      </c>
      <c r="K46" s="78">
        <f t="shared" si="5"/>
        <v>209</v>
      </c>
      <c r="L46" s="78">
        <f t="shared" si="6"/>
        <v>218.35188893745533</v>
      </c>
      <c r="M46" s="194">
        <f t="shared" si="7"/>
        <v>218.35188893745533</v>
      </c>
      <c r="N46" s="78">
        <f t="shared" si="8"/>
        <v>3790.6481110625446</v>
      </c>
      <c r="O46" s="165">
        <v>300</v>
      </c>
      <c r="P46" s="166">
        <f t="shared" si="9"/>
        <v>0</v>
      </c>
      <c r="Q46" s="119">
        <f t="shared" si="10"/>
        <v>1100</v>
      </c>
      <c r="R46" s="167">
        <f t="shared" si="11"/>
        <v>44</v>
      </c>
      <c r="S46" s="165">
        <v>300</v>
      </c>
      <c r="T46" s="166">
        <f t="shared" si="12"/>
        <v>0</v>
      </c>
      <c r="U46" s="33">
        <f t="shared" si="13"/>
        <v>1044</v>
      </c>
      <c r="V46" s="167">
        <f t="shared" si="14"/>
        <v>40.92</v>
      </c>
      <c r="W46" s="165">
        <v>300</v>
      </c>
      <c r="X46" s="166">
        <f t="shared" si="15"/>
        <v>0</v>
      </c>
      <c r="Y46" s="33">
        <f t="shared" si="16"/>
        <v>984.92</v>
      </c>
      <c r="Z46" s="167">
        <f t="shared" si="17"/>
        <v>37.6706</v>
      </c>
      <c r="AA46" s="165">
        <v>300</v>
      </c>
      <c r="AB46" s="166">
        <f t="shared" si="18"/>
        <v>0</v>
      </c>
      <c r="AC46" s="33">
        <f t="shared" si="19"/>
        <v>922.59059999999999</v>
      </c>
      <c r="AD46" s="167">
        <f t="shared" si="20"/>
        <v>34.242483</v>
      </c>
      <c r="AE46" s="165">
        <v>300</v>
      </c>
      <c r="AF46" s="166">
        <f t="shared" si="21"/>
        <v>0</v>
      </c>
      <c r="AG46" s="33">
        <f t="shared" si="22"/>
        <v>856.83308299999999</v>
      </c>
      <c r="AH46" s="167">
        <f t="shared" si="23"/>
        <v>30.625819565</v>
      </c>
      <c r="AI46" s="165">
        <v>300</v>
      </c>
      <c r="AJ46" s="166">
        <f t="shared" si="24"/>
        <v>0</v>
      </c>
      <c r="AK46" s="33">
        <f t="shared" si="25"/>
        <v>787.45890256500002</v>
      </c>
      <c r="AL46" s="167">
        <f t="shared" si="26"/>
        <v>26.810239641075</v>
      </c>
      <c r="AM46" s="165">
        <v>300</v>
      </c>
      <c r="AN46" s="166">
        <f t="shared" si="27"/>
        <v>0</v>
      </c>
      <c r="AO46" s="33">
        <f t="shared" si="28"/>
        <v>714.269142206075</v>
      </c>
      <c r="AP46" s="167">
        <f t="shared" si="29"/>
        <v>22.784802821334125</v>
      </c>
      <c r="AQ46" s="165">
        <f>300</f>
        <v>300</v>
      </c>
      <c r="AR46" s="166">
        <f t="shared" si="30"/>
        <v>0</v>
      </c>
      <c r="AS46" s="33">
        <f t="shared" si="31"/>
        <v>637.0539450274091</v>
      </c>
      <c r="AT46" s="167">
        <f t="shared" si="32"/>
        <v>23.59377615191864</v>
      </c>
      <c r="AU46" s="165">
        <v>500</v>
      </c>
      <c r="AV46" s="166">
        <f t="shared" si="33"/>
        <v>0</v>
      </c>
      <c r="AW46" s="33">
        <f t="shared" si="34"/>
        <v>360.64772117932773</v>
      </c>
      <c r="AX46" s="167">
        <f t="shared" si="35"/>
        <v>-9.7546595174470596</v>
      </c>
      <c r="AY46" s="165">
        <v>300</v>
      </c>
      <c r="AZ46" s="166">
        <f t="shared" si="36"/>
        <v>0</v>
      </c>
      <c r="BA46" s="33">
        <f t="shared" si="37"/>
        <v>250.89306166188067</v>
      </c>
      <c r="BB46" s="167">
        <f t="shared" si="38"/>
        <v>-3.4374856836683536</v>
      </c>
      <c r="BC46" s="165">
        <v>300</v>
      </c>
      <c r="BD46" s="166">
        <f t="shared" si="39"/>
        <v>0</v>
      </c>
      <c r="BE46" s="33">
        <f t="shared" si="40"/>
        <v>147.45557597821232</v>
      </c>
      <c r="BF46" s="167">
        <f t="shared" si="41"/>
        <v>-10.678109681525138</v>
      </c>
      <c r="BG46" s="165">
        <v>300</v>
      </c>
      <c r="BH46" s="166">
        <f t="shared" si="42"/>
        <v>0</v>
      </c>
      <c r="BI46" s="33">
        <f t="shared" si="43"/>
        <v>36.777466296687187</v>
      </c>
      <c r="BJ46" s="167">
        <f t="shared" si="44"/>
        <v>-18.425577359231898</v>
      </c>
      <c r="BK46" s="87">
        <f t="shared" si="45"/>
        <v>3800</v>
      </c>
      <c r="BL46" s="33">
        <f>'2021-2022 (B)'!AV46+'2022-2023'!BK46</f>
        <v>13200</v>
      </c>
    </row>
    <row r="47" spans="1:65">
      <c r="A47" s="10" t="s">
        <v>618</v>
      </c>
      <c r="B47" s="10" t="s">
        <v>116</v>
      </c>
      <c r="C47" s="80">
        <v>0</v>
      </c>
      <c r="D47" s="79">
        <f t="shared" si="0"/>
        <v>2400</v>
      </c>
      <c r="E47" s="78">
        <f>'2021-2022 (B)'!E47</f>
        <v>5500</v>
      </c>
      <c r="F47" s="187">
        <f t="shared" si="1"/>
        <v>2400</v>
      </c>
      <c r="G47" s="159">
        <f t="shared" si="2"/>
        <v>0</v>
      </c>
      <c r="H47" s="190">
        <f t="shared" si="3"/>
        <v>2400</v>
      </c>
      <c r="I47" s="78">
        <f t="shared" si="46"/>
        <v>14898.594872073514</v>
      </c>
      <c r="J47" s="78">
        <f t="shared" si="4"/>
        <v>0</v>
      </c>
      <c r="K47" s="78">
        <f t="shared" si="5"/>
        <v>0</v>
      </c>
      <c r="L47" s="78">
        <f t="shared" si="6"/>
        <v>6998.5948720735132</v>
      </c>
      <c r="M47" s="194">
        <f t="shared" si="7"/>
        <v>6998.5948720735132</v>
      </c>
      <c r="N47" s="78">
        <f t="shared" si="8"/>
        <v>-6998.5948720735132</v>
      </c>
      <c r="O47" s="165">
        <v>0</v>
      </c>
      <c r="P47" s="166">
        <f t="shared" si="9"/>
        <v>0</v>
      </c>
      <c r="Q47" s="119">
        <f t="shared" si="10"/>
        <v>5700</v>
      </c>
      <c r="R47" s="167">
        <f t="shared" si="11"/>
        <v>313.5</v>
      </c>
      <c r="S47" s="165">
        <v>0</v>
      </c>
      <c r="T47" s="166">
        <f t="shared" si="12"/>
        <v>0</v>
      </c>
      <c r="U47" s="33">
        <f t="shared" si="13"/>
        <v>6213.5</v>
      </c>
      <c r="V47" s="167">
        <f t="shared" si="14"/>
        <v>341.74250000000001</v>
      </c>
      <c r="W47" s="165">
        <v>0</v>
      </c>
      <c r="X47" s="166">
        <f t="shared" si="15"/>
        <v>0</v>
      </c>
      <c r="Y47" s="33">
        <f t="shared" si="16"/>
        <v>6755.2425000000003</v>
      </c>
      <c r="Z47" s="167">
        <f t="shared" si="17"/>
        <v>371.53833750000001</v>
      </c>
      <c r="AA47" s="165">
        <v>0</v>
      </c>
      <c r="AB47" s="166">
        <f t="shared" si="18"/>
        <v>0</v>
      </c>
      <c r="AC47" s="33">
        <f t="shared" si="19"/>
        <v>7326.7808375000004</v>
      </c>
      <c r="AD47" s="167">
        <f t="shared" si="20"/>
        <v>402.9729460625</v>
      </c>
      <c r="AE47" s="165">
        <v>0</v>
      </c>
      <c r="AF47" s="166">
        <f t="shared" si="21"/>
        <v>0</v>
      </c>
      <c r="AG47" s="33">
        <f t="shared" si="22"/>
        <v>7929.7537835625008</v>
      </c>
      <c r="AH47" s="167">
        <f t="shared" si="23"/>
        <v>436.13645809593754</v>
      </c>
      <c r="AI47" s="165">
        <v>0</v>
      </c>
      <c r="AJ47" s="166">
        <f t="shared" si="24"/>
        <v>0</v>
      </c>
      <c r="AK47" s="33">
        <f t="shared" si="25"/>
        <v>8565.8902416584388</v>
      </c>
      <c r="AL47" s="167">
        <f t="shared" si="26"/>
        <v>471.12396329121412</v>
      </c>
      <c r="AM47" s="165">
        <v>0</v>
      </c>
      <c r="AN47" s="166">
        <f t="shared" si="27"/>
        <v>0</v>
      </c>
      <c r="AO47" s="33">
        <f t="shared" si="28"/>
        <v>9237.0142049496535</v>
      </c>
      <c r="AP47" s="167">
        <f t="shared" si="29"/>
        <v>508.03578127223096</v>
      </c>
      <c r="AQ47" s="165">
        <v>0</v>
      </c>
      <c r="AR47" s="166">
        <f t="shared" si="30"/>
        <v>0</v>
      </c>
      <c r="AS47" s="33">
        <f t="shared" si="31"/>
        <v>9945.049986221884</v>
      </c>
      <c r="AT47" s="167">
        <f t="shared" si="32"/>
        <v>696.15349903553192</v>
      </c>
      <c r="AU47" s="165">
        <v>0</v>
      </c>
      <c r="AV47" s="166">
        <f t="shared" si="33"/>
        <v>0</v>
      </c>
      <c r="AW47" s="33">
        <f t="shared" si="34"/>
        <v>10841.203485257416</v>
      </c>
      <c r="AX47" s="167">
        <f t="shared" si="35"/>
        <v>758.88424396801918</v>
      </c>
      <c r="AY47" s="165">
        <v>0</v>
      </c>
      <c r="AZ47" s="166">
        <f t="shared" si="36"/>
        <v>0</v>
      </c>
      <c r="BA47" s="33">
        <f t="shared" si="37"/>
        <v>11800.087729225435</v>
      </c>
      <c r="BB47" s="167">
        <f t="shared" si="38"/>
        <v>826.00614104578051</v>
      </c>
      <c r="BC47" s="165">
        <v>0</v>
      </c>
      <c r="BD47" s="166">
        <f t="shared" si="39"/>
        <v>0</v>
      </c>
      <c r="BE47" s="33">
        <f t="shared" si="40"/>
        <v>12826.093870271216</v>
      </c>
      <c r="BF47" s="167">
        <f t="shared" si="41"/>
        <v>897.82657091898523</v>
      </c>
      <c r="BG47" s="165">
        <v>0</v>
      </c>
      <c r="BH47" s="166">
        <f t="shared" si="42"/>
        <v>0</v>
      </c>
      <c r="BI47" s="33">
        <f t="shared" si="43"/>
        <v>13923.920441190201</v>
      </c>
      <c r="BJ47" s="167">
        <f t="shared" si="44"/>
        <v>974.67443088331413</v>
      </c>
      <c r="BK47" s="87">
        <f t="shared" si="45"/>
        <v>0</v>
      </c>
      <c r="BL47" s="33">
        <f>'2021-2022 (B)'!AV47+'2022-2023'!BK47</f>
        <v>2500</v>
      </c>
    </row>
    <row r="48" spans="1:65">
      <c r="A48" s="10" t="s">
        <v>619</v>
      </c>
      <c r="B48" s="10" t="s">
        <v>135</v>
      </c>
      <c r="C48" s="80">
        <v>0</v>
      </c>
      <c r="D48" s="79">
        <f t="shared" si="0"/>
        <v>2400</v>
      </c>
      <c r="E48" s="78">
        <f>'2021-2022 (B)'!E48</f>
        <v>-210</v>
      </c>
      <c r="F48" s="187">
        <f t="shared" si="1"/>
        <v>2400</v>
      </c>
      <c r="G48" s="159">
        <f t="shared" si="2"/>
        <v>2400</v>
      </c>
      <c r="H48" s="190">
        <f t="shared" si="3"/>
        <v>0</v>
      </c>
      <c r="I48" s="78">
        <f t="shared" si="46"/>
        <v>-428.45518276289977</v>
      </c>
      <c r="J48" s="78">
        <f t="shared" si="4"/>
        <v>0</v>
      </c>
      <c r="K48" s="78">
        <f t="shared" si="5"/>
        <v>132</v>
      </c>
      <c r="L48" s="78">
        <f t="shared" si="6"/>
        <v>-218.4551827628998</v>
      </c>
      <c r="M48" s="194">
        <f t="shared" si="7"/>
        <v>-218.4551827628998</v>
      </c>
      <c r="N48" s="78">
        <f t="shared" si="8"/>
        <v>2750.4551827628998</v>
      </c>
      <c r="O48" s="165">
        <v>200</v>
      </c>
      <c r="P48" s="166">
        <f t="shared" si="9"/>
        <v>0</v>
      </c>
      <c r="Q48" s="119">
        <f t="shared" si="10"/>
        <v>-10</v>
      </c>
      <c r="R48" s="167">
        <f t="shared" si="11"/>
        <v>-11.55</v>
      </c>
      <c r="S48" s="165">
        <v>200</v>
      </c>
      <c r="T48" s="166">
        <f t="shared" si="12"/>
        <v>0</v>
      </c>
      <c r="U48" s="33">
        <f t="shared" si="13"/>
        <v>-21.55</v>
      </c>
      <c r="V48" s="167">
        <f t="shared" si="14"/>
        <v>-12.18525</v>
      </c>
      <c r="W48" s="165">
        <v>200</v>
      </c>
      <c r="X48" s="166">
        <f t="shared" si="15"/>
        <v>0</v>
      </c>
      <c r="Y48" s="33">
        <f t="shared" si="16"/>
        <v>-33.735250000000008</v>
      </c>
      <c r="Z48" s="167">
        <f t="shared" si="17"/>
        <v>-12.855438750000001</v>
      </c>
      <c r="AA48" s="165">
        <v>200</v>
      </c>
      <c r="AB48" s="166">
        <f t="shared" si="18"/>
        <v>0</v>
      </c>
      <c r="AC48" s="33">
        <f t="shared" si="19"/>
        <v>-46.590688750000012</v>
      </c>
      <c r="AD48" s="167">
        <f t="shared" si="20"/>
        <v>-13.562487881250002</v>
      </c>
      <c r="AE48" s="165">
        <v>200</v>
      </c>
      <c r="AF48" s="166">
        <f t="shared" si="21"/>
        <v>0</v>
      </c>
      <c r="AG48" s="33">
        <f t="shared" si="22"/>
        <v>-60.153176631250027</v>
      </c>
      <c r="AH48" s="167">
        <f t="shared" si="23"/>
        <v>-14.30842471471875</v>
      </c>
      <c r="AI48" s="165">
        <v>200</v>
      </c>
      <c r="AJ48" s="166">
        <f t="shared" si="24"/>
        <v>0</v>
      </c>
      <c r="AK48" s="33">
        <f t="shared" si="25"/>
        <v>-74.461601345968759</v>
      </c>
      <c r="AL48" s="167">
        <f t="shared" si="26"/>
        <v>-15.09538807402828</v>
      </c>
      <c r="AM48" s="165">
        <v>200</v>
      </c>
      <c r="AN48" s="166">
        <f t="shared" si="27"/>
        <v>0</v>
      </c>
      <c r="AO48" s="33">
        <f t="shared" si="28"/>
        <v>-89.556989419997024</v>
      </c>
      <c r="AP48" s="167">
        <f t="shared" si="29"/>
        <v>-15.925634418099836</v>
      </c>
      <c r="AQ48" s="165">
        <f>200</f>
        <v>200</v>
      </c>
      <c r="AR48" s="166">
        <f t="shared" si="30"/>
        <v>0</v>
      </c>
      <c r="AS48" s="33">
        <f t="shared" si="31"/>
        <v>-105.48262383809686</v>
      </c>
      <c r="AT48" s="167">
        <f t="shared" si="32"/>
        <v>-21.383783668666783</v>
      </c>
      <c r="AU48" s="165">
        <f>200</f>
        <v>200</v>
      </c>
      <c r="AV48" s="166">
        <f t="shared" si="33"/>
        <v>0</v>
      </c>
      <c r="AW48" s="33">
        <f t="shared" si="34"/>
        <v>-126.86640750676364</v>
      </c>
      <c r="AX48" s="167">
        <f t="shared" si="35"/>
        <v>-22.880648525473454</v>
      </c>
      <c r="AY48" s="165">
        <v>200</v>
      </c>
      <c r="AZ48" s="166">
        <f t="shared" si="36"/>
        <v>0</v>
      </c>
      <c r="BA48" s="33">
        <f t="shared" si="37"/>
        <v>-149.74705603223705</v>
      </c>
      <c r="BB48" s="167">
        <f t="shared" si="38"/>
        <v>-24.482293922256599</v>
      </c>
      <c r="BC48" s="165">
        <v>200</v>
      </c>
      <c r="BD48" s="166">
        <f t="shared" si="39"/>
        <v>0</v>
      </c>
      <c r="BE48" s="33">
        <f t="shared" si="40"/>
        <v>-174.22934995449367</v>
      </c>
      <c r="BF48" s="167">
        <f t="shared" si="41"/>
        <v>-26.196054496814561</v>
      </c>
      <c r="BG48" s="165">
        <v>200</v>
      </c>
      <c r="BH48" s="166">
        <f t="shared" si="42"/>
        <v>0</v>
      </c>
      <c r="BI48" s="33">
        <f t="shared" si="43"/>
        <v>-200.42540445130822</v>
      </c>
      <c r="BJ48" s="167">
        <f t="shared" si="44"/>
        <v>-28.029778311591578</v>
      </c>
      <c r="BK48" s="87">
        <f t="shared" si="45"/>
        <v>2400</v>
      </c>
      <c r="BL48" s="33">
        <f>'2021-2022 (B)'!AV48+'2022-2023'!BK48</f>
        <v>12610</v>
      </c>
    </row>
    <row r="49" spans="1:64">
      <c r="A49" s="10" t="s">
        <v>620</v>
      </c>
      <c r="B49" s="10" t="s">
        <v>115</v>
      </c>
      <c r="C49" s="80">
        <v>0</v>
      </c>
      <c r="D49" s="79">
        <f t="shared" si="0"/>
        <v>2400</v>
      </c>
      <c r="E49" s="78">
        <f>'2021-2022 (B)'!E49</f>
        <v>1490</v>
      </c>
      <c r="F49" s="187">
        <f t="shared" si="1"/>
        <v>2400</v>
      </c>
      <c r="G49" s="159">
        <f t="shared" si="2"/>
        <v>1400</v>
      </c>
      <c r="H49" s="190">
        <f t="shared" si="3"/>
        <v>1000</v>
      </c>
      <c r="I49" s="78">
        <f t="shared" si="46"/>
        <v>4369.1577594801138</v>
      </c>
      <c r="J49" s="78">
        <f t="shared" si="4"/>
        <v>0</v>
      </c>
      <c r="K49" s="78">
        <f t="shared" si="5"/>
        <v>77</v>
      </c>
      <c r="L49" s="78">
        <f t="shared" si="6"/>
        <v>1879.157759480114</v>
      </c>
      <c r="M49" s="194">
        <f t="shared" si="7"/>
        <v>1879.157759480114</v>
      </c>
      <c r="N49" s="78">
        <f t="shared" si="8"/>
        <v>-402.15775948011401</v>
      </c>
      <c r="O49" s="165">
        <v>0</v>
      </c>
      <c r="P49" s="166">
        <f t="shared" si="9"/>
        <v>0</v>
      </c>
      <c r="Q49" s="119">
        <f t="shared" si="10"/>
        <v>1690</v>
      </c>
      <c r="R49" s="167">
        <f t="shared" si="11"/>
        <v>92.95</v>
      </c>
      <c r="S49" s="165">
        <v>0</v>
      </c>
      <c r="T49" s="166">
        <f t="shared" si="12"/>
        <v>0</v>
      </c>
      <c r="U49" s="33">
        <f t="shared" si="13"/>
        <v>1982.95</v>
      </c>
      <c r="V49" s="167">
        <f t="shared" si="14"/>
        <v>109.06225000000001</v>
      </c>
      <c r="W49" s="165">
        <v>0</v>
      </c>
      <c r="X49" s="166">
        <f t="shared" si="15"/>
        <v>0</v>
      </c>
      <c r="Y49" s="33">
        <f t="shared" si="16"/>
        <v>2292.0122499999998</v>
      </c>
      <c r="Z49" s="167">
        <f t="shared" si="17"/>
        <v>126.06067374999999</v>
      </c>
      <c r="AA49" s="165">
        <v>300</v>
      </c>
      <c r="AB49" s="166">
        <f t="shared" si="18"/>
        <v>0</v>
      </c>
      <c r="AC49" s="33">
        <f t="shared" si="19"/>
        <v>2318.07292375</v>
      </c>
      <c r="AD49" s="167">
        <f t="shared" si="20"/>
        <v>110.99401080625</v>
      </c>
      <c r="AE49" s="165">
        <v>300</v>
      </c>
      <c r="AF49" s="166">
        <f t="shared" si="21"/>
        <v>0</v>
      </c>
      <c r="AG49" s="33">
        <f t="shared" si="22"/>
        <v>2329.0669345562501</v>
      </c>
      <c r="AH49" s="167">
        <f t="shared" si="23"/>
        <v>111.59868140059376</v>
      </c>
      <c r="AI49" s="165">
        <v>400</v>
      </c>
      <c r="AJ49" s="166">
        <f t="shared" si="24"/>
        <v>0</v>
      </c>
      <c r="AK49" s="33">
        <f t="shared" si="25"/>
        <v>2240.6656159568438</v>
      </c>
      <c r="AL49" s="167">
        <f t="shared" si="26"/>
        <v>101.23660887762641</v>
      </c>
      <c r="AM49" s="165">
        <v>400</v>
      </c>
      <c r="AN49" s="166">
        <f t="shared" si="27"/>
        <v>0</v>
      </c>
      <c r="AO49" s="33">
        <f t="shared" si="28"/>
        <v>2141.9022248344704</v>
      </c>
      <c r="AP49" s="167">
        <f t="shared" si="29"/>
        <v>95.804622365895867</v>
      </c>
      <c r="AQ49" s="165">
        <v>0</v>
      </c>
      <c r="AR49" s="166">
        <f t="shared" si="30"/>
        <v>0</v>
      </c>
      <c r="AS49" s="33">
        <f t="shared" si="31"/>
        <v>2437.7068472003662</v>
      </c>
      <c r="AT49" s="167">
        <f t="shared" si="32"/>
        <v>170.63947930402566</v>
      </c>
      <c r="AU49" s="165">
        <v>0</v>
      </c>
      <c r="AV49" s="166">
        <f t="shared" si="33"/>
        <v>0</v>
      </c>
      <c r="AW49" s="33">
        <f t="shared" si="34"/>
        <v>2808.346326504392</v>
      </c>
      <c r="AX49" s="167">
        <f t="shared" si="35"/>
        <v>196.58424285530745</v>
      </c>
      <c r="AY49" s="165">
        <v>0</v>
      </c>
      <c r="AZ49" s="166">
        <f t="shared" si="36"/>
        <v>0</v>
      </c>
      <c r="BA49" s="33">
        <f t="shared" si="37"/>
        <v>3204.9305693596993</v>
      </c>
      <c r="BB49" s="167">
        <f t="shared" si="38"/>
        <v>224.34513985517899</v>
      </c>
      <c r="BC49" s="165">
        <v>0</v>
      </c>
      <c r="BD49" s="166">
        <f t="shared" si="39"/>
        <v>0</v>
      </c>
      <c r="BE49" s="33">
        <f t="shared" si="40"/>
        <v>3629.2757092148781</v>
      </c>
      <c r="BF49" s="167">
        <f t="shared" si="41"/>
        <v>254.04929964504149</v>
      </c>
      <c r="BG49" s="165">
        <v>0</v>
      </c>
      <c r="BH49" s="166">
        <f t="shared" si="42"/>
        <v>0</v>
      </c>
      <c r="BI49" s="33">
        <f t="shared" si="43"/>
        <v>4083.3250088599198</v>
      </c>
      <c r="BJ49" s="167">
        <f t="shared" si="44"/>
        <v>285.83275062019442</v>
      </c>
      <c r="BK49" s="87">
        <f t="shared" si="45"/>
        <v>1400</v>
      </c>
      <c r="BL49" s="33">
        <f>'2021-2022 (B)'!AV49+'2022-2023'!BK49</f>
        <v>9410</v>
      </c>
    </row>
    <row r="50" spans="1:64">
      <c r="A50" s="10" t="s">
        <v>621</v>
      </c>
      <c r="B50" s="10" t="s">
        <v>126</v>
      </c>
      <c r="C50" s="80">
        <v>0</v>
      </c>
      <c r="D50" s="79">
        <f t="shared" si="0"/>
        <v>2400</v>
      </c>
      <c r="E50" s="78">
        <f>'2021-2022 (B)'!E50</f>
        <v>7600</v>
      </c>
      <c r="F50" s="187">
        <f t="shared" si="1"/>
        <v>2400</v>
      </c>
      <c r="G50" s="159">
        <f t="shared" si="2"/>
        <v>0</v>
      </c>
      <c r="H50" s="190">
        <f t="shared" si="3"/>
        <v>2400</v>
      </c>
      <c r="I50" s="78">
        <f t="shared" si="46"/>
        <v>19183.146699702513</v>
      </c>
      <c r="J50" s="78">
        <f t="shared" si="4"/>
        <v>0</v>
      </c>
      <c r="K50" s="78">
        <f t="shared" si="5"/>
        <v>0</v>
      </c>
      <c r="L50" s="78">
        <f t="shared" si="6"/>
        <v>9183.1466997025109</v>
      </c>
      <c r="M50" s="194">
        <f t="shared" si="7"/>
        <v>9183.1466997025109</v>
      </c>
      <c r="N50" s="78">
        <f t="shared" si="8"/>
        <v>-9183.1466997025109</v>
      </c>
      <c r="O50" s="165">
        <v>0</v>
      </c>
      <c r="P50" s="166">
        <f t="shared" si="9"/>
        <v>0</v>
      </c>
      <c r="Q50" s="119">
        <f t="shared" si="10"/>
        <v>7800</v>
      </c>
      <c r="R50" s="167">
        <f t="shared" si="11"/>
        <v>429</v>
      </c>
      <c r="S50" s="165">
        <v>0</v>
      </c>
      <c r="T50" s="166">
        <f t="shared" si="12"/>
        <v>0</v>
      </c>
      <c r="U50" s="33">
        <f t="shared" si="13"/>
        <v>8429</v>
      </c>
      <c r="V50" s="167">
        <f t="shared" si="14"/>
        <v>463.59500000000003</v>
      </c>
      <c r="W50" s="165">
        <v>0</v>
      </c>
      <c r="X50" s="166">
        <f t="shared" si="15"/>
        <v>0</v>
      </c>
      <c r="Y50" s="33">
        <f t="shared" si="16"/>
        <v>9092.5949999999993</v>
      </c>
      <c r="Z50" s="167">
        <f t="shared" si="17"/>
        <v>500.09272499999997</v>
      </c>
      <c r="AA50" s="165">
        <v>0</v>
      </c>
      <c r="AB50" s="166">
        <f t="shared" si="18"/>
        <v>0</v>
      </c>
      <c r="AC50" s="33">
        <f t="shared" si="19"/>
        <v>9792.6877249999998</v>
      </c>
      <c r="AD50" s="167">
        <f t="shared" si="20"/>
        <v>538.59782487500001</v>
      </c>
      <c r="AE50" s="165">
        <v>0</v>
      </c>
      <c r="AF50" s="166">
        <f t="shared" si="21"/>
        <v>0</v>
      </c>
      <c r="AG50" s="33">
        <f t="shared" si="22"/>
        <v>10531.285549875</v>
      </c>
      <c r="AH50" s="167">
        <f t="shared" si="23"/>
        <v>579.22070524312494</v>
      </c>
      <c r="AI50" s="165">
        <v>0</v>
      </c>
      <c r="AJ50" s="166">
        <f t="shared" si="24"/>
        <v>0</v>
      </c>
      <c r="AK50" s="33">
        <f t="shared" si="25"/>
        <v>11310.506255118125</v>
      </c>
      <c r="AL50" s="167">
        <f t="shared" si="26"/>
        <v>622.07784403149685</v>
      </c>
      <c r="AM50" s="165">
        <v>0</v>
      </c>
      <c r="AN50" s="166">
        <f t="shared" si="27"/>
        <v>0</v>
      </c>
      <c r="AO50" s="33">
        <f t="shared" si="28"/>
        <v>12132.584099149622</v>
      </c>
      <c r="AP50" s="167">
        <f t="shared" si="29"/>
        <v>667.29212545322923</v>
      </c>
      <c r="AQ50" s="165">
        <v>0</v>
      </c>
      <c r="AR50" s="166">
        <f t="shared" si="30"/>
        <v>0</v>
      </c>
      <c r="AS50" s="33">
        <f t="shared" si="31"/>
        <v>12999.876224602851</v>
      </c>
      <c r="AT50" s="167">
        <f t="shared" si="32"/>
        <v>909.99133572219966</v>
      </c>
      <c r="AU50" s="165">
        <v>0</v>
      </c>
      <c r="AV50" s="166">
        <f t="shared" si="33"/>
        <v>0</v>
      </c>
      <c r="AW50" s="33">
        <f t="shared" si="34"/>
        <v>14109.86756032505</v>
      </c>
      <c r="AX50" s="167">
        <f t="shared" si="35"/>
        <v>987.69072922275359</v>
      </c>
      <c r="AY50" s="165">
        <v>0</v>
      </c>
      <c r="AZ50" s="166">
        <f t="shared" si="36"/>
        <v>0</v>
      </c>
      <c r="BA50" s="33">
        <f t="shared" si="37"/>
        <v>15297.558289547804</v>
      </c>
      <c r="BB50" s="167">
        <f t="shared" si="38"/>
        <v>1070.8290802683464</v>
      </c>
      <c r="BC50" s="165">
        <v>0</v>
      </c>
      <c r="BD50" s="166">
        <f t="shared" si="39"/>
        <v>0</v>
      </c>
      <c r="BE50" s="33">
        <f t="shared" si="40"/>
        <v>16568.387369816151</v>
      </c>
      <c r="BF50" s="167">
        <f t="shared" si="41"/>
        <v>1159.7871158871308</v>
      </c>
      <c r="BG50" s="165">
        <v>0</v>
      </c>
      <c r="BH50" s="166">
        <f t="shared" si="42"/>
        <v>0</v>
      </c>
      <c r="BI50" s="33">
        <f t="shared" si="43"/>
        <v>17928.174485703283</v>
      </c>
      <c r="BJ50" s="167">
        <f t="shared" si="44"/>
        <v>1254.97221399923</v>
      </c>
      <c r="BK50" s="87">
        <f t="shared" si="45"/>
        <v>0</v>
      </c>
      <c r="BL50" s="33">
        <f>'2021-2022 (B)'!AV50+'2022-2023'!BK50</f>
        <v>500</v>
      </c>
    </row>
    <row r="51" spans="1:64">
      <c r="A51" s="10" t="s">
        <v>622</v>
      </c>
      <c r="B51" s="10" t="s">
        <v>117</v>
      </c>
      <c r="C51" s="80">
        <v>0</v>
      </c>
      <c r="D51" s="79">
        <f t="shared" si="0"/>
        <v>2400</v>
      </c>
      <c r="E51" s="78">
        <f>'2021-2022 (B)'!E51</f>
        <v>7100</v>
      </c>
      <c r="F51" s="187">
        <f t="shared" si="1"/>
        <v>2400</v>
      </c>
      <c r="G51" s="159">
        <f t="shared" si="2"/>
        <v>0</v>
      </c>
      <c r="H51" s="190">
        <f t="shared" si="3"/>
        <v>2400</v>
      </c>
      <c r="I51" s="78">
        <f t="shared" si="46"/>
        <v>18163.015312171799</v>
      </c>
      <c r="J51" s="78">
        <f t="shared" si="4"/>
        <v>0</v>
      </c>
      <c r="K51" s="78">
        <f t="shared" si="5"/>
        <v>0</v>
      </c>
      <c r="L51" s="78">
        <f t="shared" si="6"/>
        <v>8663.0153121717995</v>
      </c>
      <c r="M51" s="194">
        <f t="shared" si="7"/>
        <v>8663.0153121717995</v>
      </c>
      <c r="N51" s="78">
        <f t="shared" si="8"/>
        <v>-8663.0153121717995</v>
      </c>
      <c r="O51" s="165">
        <v>0</v>
      </c>
      <c r="P51" s="166">
        <f t="shared" si="9"/>
        <v>0</v>
      </c>
      <c r="Q51" s="119">
        <f t="shared" si="10"/>
        <v>7300</v>
      </c>
      <c r="R51" s="167">
        <f t="shared" si="11"/>
        <v>401.5</v>
      </c>
      <c r="S51" s="165">
        <v>0</v>
      </c>
      <c r="T51" s="166">
        <f t="shared" si="12"/>
        <v>0</v>
      </c>
      <c r="U51" s="33">
        <f t="shared" si="13"/>
        <v>7901.5</v>
      </c>
      <c r="V51" s="167">
        <f t="shared" si="14"/>
        <v>434.58249999999998</v>
      </c>
      <c r="W51" s="165">
        <v>0</v>
      </c>
      <c r="X51" s="166">
        <f t="shared" si="15"/>
        <v>0</v>
      </c>
      <c r="Y51" s="33">
        <f t="shared" si="16"/>
        <v>8536.0825000000004</v>
      </c>
      <c r="Z51" s="167">
        <f t="shared" si="17"/>
        <v>469.48453750000004</v>
      </c>
      <c r="AA51" s="165">
        <v>0</v>
      </c>
      <c r="AB51" s="166">
        <f t="shared" si="18"/>
        <v>0</v>
      </c>
      <c r="AC51" s="33">
        <f t="shared" si="19"/>
        <v>9205.5670375000009</v>
      </c>
      <c r="AD51" s="167">
        <f t="shared" si="20"/>
        <v>506.30618706250004</v>
      </c>
      <c r="AE51" s="165">
        <v>0</v>
      </c>
      <c r="AF51" s="166">
        <f t="shared" si="21"/>
        <v>0</v>
      </c>
      <c r="AG51" s="33">
        <f t="shared" si="22"/>
        <v>9911.8732245625015</v>
      </c>
      <c r="AH51" s="167">
        <f t="shared" si="23"/>
        <v>545.15302735093758</v>
      </c>
      <c r="AI51" s="165">
        <v>0</v>
      </c>
      <c r="AJ51" s="166">
        <f t="shared" si="24"/>
        <v>0</v>
      </c>
      <c r="AK51" s="33">
        <f t="shared" si="25"/>
        <v>10657.026251913439</v>
      </c>
      <c r="AL51" s="167">
        <f t="shared" si="26"/>
        <v>586.13644385523912</v>
      </c>
      <c r="AM51" s="165">
        <v>0</v>
      </c>
      <c r="AN51" s="166">
        <f t="shared" si="27"/>
        <v>0</v>
      </c>
      <c r="AO51" s="33">
        <f t="shared" si="28"/>
        <v>11443.162695768679</v>
      </c>
      <c r="AP51" s="167">
        <f t="shared" si="29"/>
        <v>629.37394826727734</v>
      </c>
      <c r="AQ51" s="165">
        <v>0</v>
      </c>
      <c r="AR51" s="166">
        <f t="shared" si="30"/>
        <v>0</v>
      </c>
      <c r="AS51" s="33">
        <f t="shared" si="31"/>
        <v>12272.536644035956</v>
      </c>
      <c r="AT51" s="167">
        <f t="shared" si="32"/>
        <v>859.07756508251703</v>
      </c>
      <c r="AU51" s="165">
        <v>0</v>
      </c>
      <c r="AV51" s="166">
        <f t="shared" si="33"/>
        <v>0</v>
      </c>
      <c r="AW51" s="33">
        <f t="shared" si="34"/>
        <v>13331.614209118472</v>
      </c>
      <c r="AX51" s="167">
        <f t="shared" si="35"/>
        <v>933.21299463829314</v>
      </c>
      <c r="AY51" s="165">
        <v>0</v>
      </c>
      <c r="AZ51" s="166">
        <f t="shared" si="36"/>
        <v>0</v>
      </c>
      <c r="BA51" s="33">
        <f t="shared" si="37"/>
        <v>14464.827203756766</v>
      </c>
      <c r="BB51" s="167">
        <f t="shared" si="38"/>
        <v>1012.5379042629737</v>
      </c>
      <c r="BC51" s="165">
        <v>0</v>
      </c>
      <c r="BD51" s="166">
        <f t="shared" si="39"/>
        <v>0</v>
      </c>
      <c r="BE51" s="33">
        <f t="shared" si="40"/>
        <v>15677.36510801974</v>
      </c>
      <c r="BF51" s="167">
        <f t="shared" si="41"/>
        <v>1097.4155575613818</v>
      </c>
      <c r="BG51" s="165">
        <v>0</v>
      </c>
      <c r="BH51" s="166">
        <f t="shared" si="42"/>
        <v>0</v>
      </c>
      <c r="BI51" s="33">
        <f t="shared" si="43"/>
        <v>16974.780665581122</v>
      </c>
      <c r="BJ51" s="167">
        <f t="shared" si="44"/>
        <v>1188.2346465906787</v>
      </c>
      <c r="BK51" s="87">
        <f t="shared" si="45"/>
        <v>0</v>
      </c>
      <c r="BL51" s="33">
        <f>'2021-2022 (B)'!AV51+'2022-2023'!BK51</f>
        <v>900</v>
      </c>
    </row>
    <row r="52" spans="1:64">
      <c r="A52" s="10" t="s">
        <v>623</v>
      </c>
      <c r="B52" s="10" t="s">
        <v>112</v>
      </c>
      <c r="C52" s="80">
        <v>0</v>
      </c>
      <c r="D52" s="79">
        <f t="shared" si="0"/>
        <v>2400</v>
      </c>
      <c r="E52" s="78">
        <f>'2021-2022 (B)'!E52</f>
        <v>7850</v>
      </c>
      <c r="F52" s="187">
        <f t="shared" si="1"/>
        <v>2400</v>
      </c>
      <c r="G52" s="159">
        <f t="shared" si="2"/>
        <v>0</v>
      </c>
      <c r="H52" s="190">
        <f t="shared" si="3"/>
        <v>2400</v>
      </c>
      <c r="I52" s="78">
        <f t="shared" si="46"/>
        <v>19693.212393467868</v>
      </c>
      <c r="J52" s="78">
        <f t="shared" si="4"/>
        <v>0</v>
      </c>
      <c r="K52" s="78">
        <f t="shared" si="5"/>
        <v>0</v>
      </c>
      <c r="L52" s="78">
        <f t="shared" si="6"/>
        <v>9443.2123934678675</v>
      </c>
      <c r="M52" s="194">
        <f t="shared" si="7"/>
        <v>9443.2123934678675</v>
      </c>
      <c r="N52" s="78">
        <f t="shared" si="8"/>
        <v>-9443.2123934678675</v>
      </c>
      <c r="O52" s="165">
        <v>0</v>
      </c>
      <c r="P52" s="166">
        <f t="shared" si="9"/>
        <v>0</v>
      </c>
      <c r="Q52" s="119">
        <f t="shared" si="10"/>
        <v>8050</v>
      </c>
      <c r="R52" s="167">
        <f t="shared" si="11"/>
        <v>442.75</v>
      </c>
      <c r="S52" s="165">
        <v>0</v>
      </c>
      <c r="T52" s="166">
        <f t="shared" si="12"/>
        <v>0</v>
      </c>
      <c r="U52" s="33">
        <f t="shared" si="13"/>
        <v>8692.75</v>
      </c>
      <c r="V52" s="167">
        <f t="shared" si="14"/>
        <v>478.10124999999999</v>
      </c>
      <c r="W52" s="165">
        <v>0</v>
      </c>
      <c r="X52" s="166">
        <f t="shared" si="15"/>
        <v>0</v>
      </c>
      <c r="Y52" s="33">
        <f t="shared" si="16"/>
        <v>9370.8512499999997</v>
      </c>
      <c r="Z52" s="167">
        <f t="shared" si="17"/>
        <v>515.39681874999997</v>
      </c>
      <c r="AA52" s="165">
        <v>0</v>
      </c>
      <c r="AB52" s="166">
        <f t="shared" si="18"/>
        <v>0</v>
      </c>
      <c r="AC52" s="33">
        <f t="shared" si="19"/>
        <v>10086.248068749999</v>
      </c>
      <c r="AD52" s="167">
        <f t="shared" si="20"/>
        <v>554.74364378124994</v>
      </c>
      <c r="AE52" s="165">
        <v>0</v>
      </c>
      <c r="AF52" s="166">
        <f t="shared" si="21"/>
        <v>0</v>
      </c>
      <c r="AG52" s="33">
        <f t="shared" si="22"/>
        <v>10840.99171253125</v>
      </c>
      <c r="AH52" s="167">
        <f t="shared" si="23"/>
        <v>596.25454418921868</v>
      </c>
      <c r="AI52" s="165">
        <v>0</v>
      </c>
      <c r="AJ52" s="166">
        <f t="shared" si="24"/>
        <v>0</v>
      </c>
      <c r="AK52" s="33">
        <f t="shared" si="25"/>
        <v>11637.246256720467</v>
      </c>
      <c r="AL52" s="167">
        <f t="shared" si="26"/>
        <v>640.04854411962572</v>
      </c>
      <c r="AM52" s="165">
        <v>0</v>
      </c>
      <c r="AN52" s="166">
        <f t="shared" si="27"/>
        <v>0</v>
      </c>
      <c r="AO52" s="33">
        <f t="shared" si="28"/>
        <v>12477.294800840093</v>
      </c>
      <c r="AP52" s="167">
        <f t="shared" si="29"/>
        <v>686.25121404620506</v>
      </c>
      <c r="AQ52" s="165">
        <v>0</v>
      </c>
      <c r="AR52" s="166">
        <f t="shared" si="30"/>
        <v>0</v>
      </c>
      <c r="AS52" s="33">
        <f t="shared" si="31"/>
        <v>13363.546014886299</v>
      </c>
      <c r="AT52" s="167">
        <f t="shared" si="32"/>
        <v>935.44822104204104</v>
      </c>
      <c r="AU52" s="165">
        <v>0</v>
      </c>
      <c r="AV52" s="166">
        <f t="shared" si="33"/>
        <v>0</v>
      </c>
      <c r="AW52" s="33">
        <f t="shared" si="34"/>
        <v>14498.99423592834</v>
      </c>
      <c r="AX52" s="167">
        <f t="shared" si="35"/>
        <v>1014.9295965149838</v>
      </c>
      <c r="AY52" s="165">
        <v>0</v>
      </c>
      <c r="AZ52" s="166">
        <f t="shared" si="36"/>
        <v>0</v>
      </c>
      <c r="BA52" s="33">
        <f t="shared" si="37"/>
        <v>15713.923832443323</v>
      </c>
      <c r="BB52" s="167">
        <f t="shared" si="38"/>
        <v>1099.9746682710327</v>
      </c>
      <c r="BC52" s="165">
        <v>0</v>
      </c>
      <c r="BD52" s="166">
        <f t="shared" si="39"/>
        <v>0</v>
      </c>
      <c r="BE52" s="33">
        <f t="shared" si="40"/>
        <v>17013.898500714356</v>
      </c>
      <c r="BF52" s="167">
        <f t="shared" si="41"/>
        <v>1190.972895050005</v>
      </c>
      <c r="BG52" s="165">
        <v>0</v>
      </c>
      <c r="BH52" s="166">
        <f t="shared" si="42"/>
        <v>0</v>
      </c>
      <c r="BI52" s="33">
        <f t="shared" si="43"/>
        <v>18404.871395764363</v>
      </c>
      <c r="BJ52" s="167">
        <f t="shared" si="44"/>
        <v>1288.3409977035055</v>
      </c>
      <c r="BK52" s="87">
        <f t="shared" si="45"/>
        <v>0</v>
      </c>
      <c r="BL52" s="33">
        <f>'2021-2022 (B)'!AV52+'2022-2023'!BK52</f>
        <v>150</v>
      </c>
    </row>
    <row r="53" spans="1:64">
      <c r="A53" s="10" t="s">
        <v>624</v>
      </c>
      <c r="B53" s="10" t="s">
        <v>117</v>
      </c>
      <c r="C53" s="80">
        <v>0</v>
      </c>
      <c r="D53" s="79">
        <f t="shared" si="0"/>
        <v>2400</v>
      </c>
      <c r="E53" s="78">
        <f>'2021-2022 (B)'!E53</f>
        <v>2200</v>
      </c>
      <c r="F53" s="187">
        <f t="shared" si="1"/>
        <v>2400</v>
      </c>
      <c r="G53" s="159">
        <f t="shared" si="2"/>
        <v>0</v>
      </c>
      <c r="H53" s="190">
        <f t="shared" si="3"/>
        <v>2400</v>
      </c>
      <c r="I53" s="78">
        <f t="shared" si="46"/>
        <v>8165.7277143708016</v>
      </c>
      <c r="J53" s="78">
        <f t="shared" si="4"/>
        <v>0</v>
      </c>
      <c r="K53" s="78">
        <f t="shared" si="5"/>
        <v>0</v>
      </c>
      <c r="L53" s="78">
        <f t="shared" si="6"/>
        <v>3565.7277143708011</v>
      </c>
      <c r="M53" s="194">
        <f t="shared" si="7"/>
        <v>3565.7277143708011</v>
      </c>
      <c r="N53" s="78">
        <f t="shared" si="8"/>
        <v>-3565.7277143708011</v>
      </c>
      <c r="O53" s="165">
        <v>0</v>
      </c>
      <c r="P53" s="166">
        <f t="shared" si="9"/>
        <v>0</v>
      </c>
      <c r="Q53" s="119">
        <f t="shared" si="10"/>
        <v>2400</v>
      </c>
      <c r="R53" s="167">
        <f t="shared" si="11"/>
        <v>132</v>
      </c>
      <c r="S53" s="165">
        <v>0</v>
      </c>
      <c r="T53" s="166">
        <f t="shared" si="12"/>
        <v>0</v>
      </c>
      <c r="U53" s="33">
        <f t="shared" si="13"/>
        <v>2732</v>
      </c>
      <c r="V53" s="167">
        <f t="shared" si="14"/>
        <v>150.26</v>
      </c>
      <c r="W53" s="165">
        <v>0</v>
      </c>
      <c r="X53" s="166">
        <f t="shared" si="15"/>
        <v>0</v>
      </c>
      <c r="Y53" s="33">
        <f t="shared" si="16"/>
        <v>3082.26</v>
      </c>
      <c r="Z53" s="167">
        <f t="shared" si="17"/>
        <v>169.52430000000001</v>
      </c>
      <c r="AA53" s="165">
        <v>0</v>
      </c>
      <c r="AB53" s="166">
        <f t="shared" si="18"/>
        <v>0</v>
      </c>
      <c r="AC53" s="33">
        <f t="shared" si="19"/>
        <v>3451.7843000000003</v>
      </c>
      <c r="AD53" s="167">
        <f t="shared" si="20"/>
        <v>189.84813650000001</v>
      </c>
      <c r="AE53" s="165">
        <v>0</v>
      </c>
      <c r="AF53" s="166">
        <f t="shared" si="21"/>
        <v>0</v>
      </c>
      <c r="AG53" s="33">
        <f t="shared" si="22"/>
        <v>3841.6324365</v>
      </c>
      <c r="AH53" s="167">
        <f t="shared" si="23"/>
        <v>211.2897840075</v>
      </c>
      <c r="AI53" s="165">
        <v>0</v>
      </c>
      <c r="AJ53" s="166">
        <f t="shared" si="24"/>
        <v>0</v>
      </c>
      <c r="AK53" s="33">
        <f t="shared" si="25"/>
        <v>4252.9222205075002</v>
      </c>
      <c r="AL53" s="167">
        <f t="shared" si="26"/>
        <v>233.91072212791252</v>
      </c>
      <c r="AM53" s="165">
        <v>0</v>
      </c>
      <c r="AN53" s="166">
        <f t="shared" si="27"/>
        <v>0</v>
      </c>
      <c r="AO53" s="33">
        <f t="shared" si="28"/>
        <v>4686.832942635413</v>
      </c>
      <c r="AP53" s="167">
        <f t="shared" si="29"/>
        <v>257.77581184494773</v>
      </c>
      <c r="AQ53" s="165">
        <v>0</v>
      </c>
      <c r="AR53" s="166">
        <f t="shared" si="30"/>
        <v>0</v>
      </c>
      <c r="AS53" s="33">
        <f t="shared" si="31"/>
        <v>5144.6087544803604</v>
      </c>
      <c r="AT53" s="167">
        <f t="shared" si="32"/>
        <v>360.12261281362527</v>
      </c>
      <c r="AU53" s="165">
        <v>0</v>
      </c>
      <c r="AV53" s="166">
        <f t="shared" si="33"/>
        <v>0</v>
      </c>
      <c r="AW53" s="33">
        <f t="shared" si="34"/>
        <v>5704.7313672939854</v>
      </c>
      <c r="AX53" s="167">
        <f t="shared" si="35"/>
        <v>399.33119571057904</v>
      </c>
      <c r="AY53" s="165">
        <v>0</v>
      </c>
      <c r="AZ53" s="166">
        <f t="shared" si="36"/>
        <v>0</v>
      </c>
      <c r="BA53" s="33">
        <f t="shared" si="37"/>
        <v>6304.0625630045643</v>
      </c>
      <c r="BB53" s="167">
        <f t="shared" si="38"/>
        <v>441.28437941031956</v>
      </c>
      <c r="BC53" s="165">
        <v>0</v>
      </c>
      <c r="BD53" s="166">
        <f t="shared" si="39"/>
        <v>0</v>
      </c>
      <c r="BE53" s="33">
        <f t="shared" si="40"/>
        <v>6945.3469424148834</v>
      </c>
      <c r="BF53" s="167">
        <f t="shared" si="41"/>
        <v>486.17428596904188</v>
      </c>
      <c r="BG53" s="165">
        <v>0</v>
      </c>
      <c r="BH53" s="166">
        <f t="shared" si="42"/>
        <v>0</v>
      </c>
      <c r="BI53" s="33">
        <f t="shared" si="43"/>
        <v>7631.5212283839255</v>
      </c>
      <c r="BJ53" s="167">
        <f t="shared" si="44"/>
        <v>534.20648598687478</v>
      </c>
      <c r="BK53" s="87">
        <f t="shared" si="45"/>
        <v>0</v>
      </c>
      <c r="BL53" s="33">
        <f>'2021-2022 (B)'!AV53+'2022-2023'!BK53</f>
        <v>5800</v>
      </c>
    </row>
    <row r="54" spans="1:64">
      <c r="A54" s="10" t="s">
        <v>625</v>
      </c>
      <c r="B54" s="10" t="s">
        <v>116</v>
      </c>
      <c r="C54" s="80">
        <v>0</v>
      </c>
      <c r="D54" s="79">
        <f t="shared" si="0"/>
        <v>2400</v>
      </c>
      <c r="E54" s="78">
        <f>'2021-2022 (B)'!E54</f>
        <v>-770</v>
      </c>
      <c r="F54" s="187">
        <f t="shared" si="1"/>
        <v>2400</v>
      </c>
      <c r="G54" s="159">
        <f t="shared" si="2"/>
        <v>0</v>
      </c>
      <c r="H54" s="190">
        <f t="shared" si="3"/>
        <v>2400</v>
      </c>
      <c r="I54" s="78">
        <f t="shared" si="46"/>
        <v>2106.1472724383602</v>
      </c>
      <c r="J54" s="78">
        <f t="shared" si="4"/>
        <v>0</v>
      </c>
      <c r="K54" s="78">
        <f t="shared" si="5"/>
        <v>0</v>
      </c>
      <c r="L54" s="78">
        <f t="shared" si="6"/>
        <v>476.14727243836001</v>
      </c>
      <c r="M54" s="194">
        <f t="shared" si="7"/>
        <v>476.14727243836001</v>
      </c>
      <c r="N54" s="78">
        <f t="shared" si="8"/>
        <v>-476.14727243836001</v>
      </c>
      <c r="O54" s="165">
        <v>0</v>
      </c>
      <c r="P54" s="166">
        <f t="shared" si="9"/>
        <v>0</v>
      </c>
      <c r="Q54" s="119">
        <f t="shared" si="10"/>
        <v>-570</v>
      </c>
      <c r="R54" s="167">
        <f t="shared" si="11"/>
        <v>-31.35</v>
      </c>
      <c r="S54" s="165">
        <v>0</v>
      </c>
      <c r="T54" s="166">
        <f t="shared" si="12"/>
        <v>0</v>
      </c>
      <c r="U54" s="33">
        <f t="shared" si="13"/>
        <v>-401.35</v>
      </c>
      <c r="V54" s="167">
        <f t="shared" si="14"/>
        <v>-22.074250000000003</v>
      </c>
      <c r="W54" s="165">
        <v>0</v>
      </c>
      <c r="X54" s="166">
        <f t="shared" si="15"/>
        <v>0</v>
      </c>
      <c r="Y54" s="33">
        <f t="shared" si="16"/>
        <v>-223.42425000000003</v>
      </c>
      <c r="Z54" s="167">
        <f t="shared" si="17"/>
        <v>-12.288333750000001</v>
      </c>
      <c r="AA54" s="165">
        <v>0</v>
      </c>
      <c r="AB54" s="166">
        <f t="shared" si="18"/>
        <v>0</v>
      </c>
      <c r="AC54" s="33">
        <f t="shared" si="19"/>
        <v>-35.712583750000029</v>
      </c>
      <c r="AD54" s="167">
        <f t="shared" si="20"/>
        <v>-1.9641921062500016</v>
      </c>
      <c r="AE54" s="165">
        <v>0</v>
      </c>
      <c r="AF54" s="166">
        <f t="shared" si="21"/>
        <v>0</v>
      </c>
      <c r="AG54" s="33">
        <f t="shared" si="22"/>
        <v>162.32322414374997</v>
      </c>
      <c r="AH54" s="167">
        <f t="shared" si="23"/>
        <v>8.9277773279062487</v>
      </c>
      <c r="AI54" s="165">
        <v>0</v>
      </c>
      <c r="AJ54" s="166">
        <f t="shared" si="24"/>
        <v>0</v>
      </c>
      <c r="AK54" s="33">
        <f t="shared" si="25"/>
        <v>371.2510014716562</v>
      </c>
      <c r="AL54" s="167">
        <f t="shared" si="26"/>
        <v>20.418805080941091</v>
      </c>
      <c r="AM54" s="165">
        <v>0</v>
      </c>
      <c r="AN54" s="166">
        <f t="shared" si="27"/>
        <v>0</v>
      </c>
      <c r="AO54" s="33">
        <f t="shared" si="28"/>
        <v>591.66980655259727</v>
      </c>
      <c r="AP54" s="167">
        <f t="shared" si="29"/>
        <v>32.541839360392849</v>
      </c>
      <c r="AQ54" s="165">
        <v>0</v>
      </c>
      <c r="AR54" s="166">
        <f t="shared" si="30"/>
        <v>0</v>
      </c>
      <c r="AS54" s="33">
        <f t="shared" si="31"/>
        <v>824.21164591299009</v>
      </c>
      <c r="AT54" s="167">
        <f t="shared" si="32"/>
        <v>57.694815213909315</v>
      </c>
      <c r="AU54" s="165">
        <v>0</v>
      </c>
      <c r="AV54" s="166">
        <f t="shared" si="33"/>
        <v>0</v>
      </c>
      <c r="AW54" s="33">
        <f t="shared" si="34"/>
        <v>1081.9064611268996</v>
      </c>
      <c r="AX54" s="167">
        <f t="shared" si="35"/>
        <v>75.733452278882979</v>
      </c>
      <c r="AY54" s="165">
        <v>0</v>
      </c>
      <c r="AZ54" s="166">
        <f t="shared" si="36"/>
        <v>0</v>
      </c>
      <c r="BA54" s="33">
        <f t="shared" si="37"/>
        <v>1357.6399134057826</v>
      </c>
      <c r="BB54" s="167">
        <f t="shared" si="38"/>
        <v>95.034793938404789</v>
      </c>
      <c r="BC54" s="165">
        <v>0</v>
      </c>
      <c r="BD54" s="166">
        <f t="shared" si="39"/>
        <v>0</v>
      </c>
      <c r="BE54" s="33">
        <f t="shared" si="40"/>
        <v>1652.6747073441875</v>
      </c>
      <c r="BF54" s="167">
        <f t="shared" si="41"/>
        <v>115.68722951409313</v>
      </c>
      <c r="BG54" s="165">
        <v>0</v>
      </c>
      <c r="BH54" s="166">
        <f t="shared" si="42"/>
        <v>0</v>
      </c>
      <c r="BI54" s="33">
        <f t="shared" si="43"/>
        <v>1968.3619368582806</v>
      </c>
      <c r="BJ54" s="167">
        <f t="shared" si="44"/>
        <v>137.78533558007965</v>
      </c>
      <c r="BK54" s="87">
        <f t="shared" si="45"/>
        <v>0</v>
      </c>
      <c r="BL54" s="33">
        <f>'2021-2022 (B)'!AV54+'2022-2023'!BK54</f>
        <v>8970</v>
      </c>
    </row>
    <row r="55" spans="1:64" s="134" customFormat="1">
      <c r="A55" s="10" t="s">
        <v>626</v>
      </c>
      <c r="B55" s="10" t="s">
        <v>124</v>
      </c>
      <c r="C55" s="80">
        <v>0</v>
      </c>
      <c r="D55" s="130">
        <f t="shared" si="0"/>
        <v>2400</v>
      </c>
      <c r="E55" s="78">
        <f>'2021-2022 (B)'!E55</f>
        <v>1300</v>
      </c>
      <c r="F55" s="188">
        <f t="shared" si="1"/>
        <v>2400</v>
      </c>
      <c r="G55" s="159">
        <f t="shared" si="2"/>
        <v>2050</v>
      </c>
      <c r="H55" s="191">
        <f t="shared" si="3"/>
        <v>350</v>
      </c>
      <c r="I55" s="78">
        <f t="shared" si="46"/>
        <v>2994.2759428007976</v>
      </c>
      <c r="J55" s="131">
        <f t="shared" si="4"/>
        <v>0</v>
      </c>
      <c r="K55" s="78">
        <f t="shared" si="5"/>
        <v>112.75</v>
      </c>
      <c r="L55" s="131">
        <f t="shared" si="6"/>
        <v>1344.2759428007976</v>
      </c>
      <c r="M55" s="194">
        <f t="shared" si="7"/>
        <v>1344.2759428007976</v>
      </c>
      <c r="N55" s="131">
        <f t="shared" si="8"/>
        <v>818.47405719920243</v>
      </c>
      <c r="O55" s="165">
        <v>200</v>
      </c>
      <c r="P55" s="166">
        <f t="shared" si="9"/>
        <v>0</v>
      </c>
      <c r="Q55" s="135">
        <f t="shared" si="10"/>
        <v>1500</v>
      </c>
      <c r="R55" s="167">
        <f t="shared" si="11"/>
        <v>71.5</v>
      </c>
      <c r="S55" s="165">
        <v>200</v>
      </c>
      <c r="T55" s="166">
        <f t="shared" si="12"/>
        <v>0</v>
      </c>
      <c r="U55" s="132">
        <f t="shared" si="13"/>
        <v>1571.5</v>
      </c>
      <c r="V55" s="167">
        <f t="shared" si="14"/>
        <v>75.432500000000005</v>
      </c>
      <c r="W55" s="165">
        <f>200</f>
        <v>200</v>
      </c>
      <c r="X55" s="166">
        <f t="shared" si="15"/>
        <v>0</v>
      </c>
      <c r="Y55" s="132">
        <f t="shared" si="16"/>
        <v>1646.9324999999999</v>
      </c>
      <c r="Z55" s="167">
        <f t="shared" si="17"/>
        <v>79.581287499999988</v>
      </c>
      <c r="AA55" s="165">
        <v>200</v>
      </c>
      <c r="AB55" s="166">
        <f t="shared" si="18"/>
        <v>0</v>
      </c>
      <c r="AC55" s="132">
        <f t="shared" si="19"/>
        <v>1726.5137874999998</v>
      </c>
      <c r="AD55" s="167">
        <f t="shared" si="20"/>
        <v>83.958258312499993</v>
      </c>
      <c r="AE55" s="165">
        <v>200</v>
      </c>
      <c r="AF55" s="166">
        <f t="shared" si="21"/>
        <v>0</v>
      </c>
      <c r="AG55" s="132">
        <f t="shared" si="22"/>
        <v>1810.4720458124998</v>
      </c>
      <c r="AH55" s="167">
        <f t="shared" si="23"/>
        <v>88.575962519687494</v>
      </c>
      <c r="AI55" s="165">
        <f>250+200</f>
        <v>450</v>
      </c>
      <c r="AJ55" s="166">
        <f t="shared" si="24"/>
        <v>0</v>
      </c>
      <c r="AK55" s="132">
        <f t="shared" si="25"/>
        <v>1649.0480083321872</v>
      </c>
      <c r="AL55" s="167">
        <f t="shared" si="26"/>
        <v>65.9476404582703</v>
      </c>
      <c r="AM55" s="165">
        <v>200</v>
      </c>
      <c r="AN55" s="166">
        <f t="shared" si="27"/>
        <v>0</v>
      </c>
      <c r="AO55" s="132">
        <f t="shared" si="28"/>
        <v>1714.9956487904576</v>
      </c>
      <c r="AP55" s="167">
        <f t="shared" si="29"/>
        <v>83.324760683475162</v>
      </c>
      <c r="AQ55" s="165">
        <v>0</v>
      </c>
      <c r="AR55" s="166">
        <f t="shared" si="30"/>
        <v>0</v>
      </c>
      <c r="AS55" s="132">
        <f t="shared" si="31"/>
        <v>1998.3204094739328</v>
      </c>
      <c r="AT55" s="167">
        <f t="shared" si="32"/>
        <v>139.88242866317532</v>
      </c>
      <c r="AU55" s="165">
        <f>200+200</f>
        <v>400</v>
      </c>
      <c r="AV55" s="166">
        <f t="shared" si="33"/>
        <v>0</v>
      </c>
      <c r="AW55" s="132">
        <f t="shared" si="34"/>
        <v>1938.2028381371081</v>
      </c>
      <c r="AX55" s="167">
        <f t="shared" si="35"/>
        <v>107.67419866959757</v>
      </c>
      <c r="AY55" s="165">
        <v>0</v>
      </c>
      <c r="AZ55" s="166">
        <f t="shared" si="36"/>
        <v>0</v>
      </c>
      <c r="BA55" s="132">
        <f t="shared" si="37"/>
        <v>2245.8770368067057</v>
      </c>
      <c r="BB55" s="167">
        <f t="shared" si="38"/>
        <v>157.21139257646942</v>
      </c>
      <c r="BC55" s="165">
        <v>0</v>
      </c>
      <c r="BD55" s="166">
        <f t="shared" si="39"/>
        <v>0</v>
      </c>
      <c r="BE55" s="132">
        <f t="shared" si="40"/>
        <v>2603.088429383175</v>
      </c>
      <c r="BF55" s="167">
        <f t="shared" si="41"/>
        <v>182.21619005682226</v>
      </c>
      <c r="BG55" s="165">
        <v>0</v>
      </c>
      <c r="BH55" s="166">
        <f t="shared" si="42"/>
        <v>0</v>
      </c>
      <c r="BI55" s="132">
        <f t="shared" si="43"/>
        <v>2985.3046194399972</v>
      </c>
      <c r="BJ55" s="167">
        <f t="shared" si="44"/>
        <v>208.97132336079983</v>
      </c>
      <c r="BK55" s="87">
        <f t="shared" si="45"/>
        <v>2050</v>
      </c>
      <c r="BL55" s="33">
        <f>'2021-2022 (B)'!AV55+'2022-2023'!BK55</f>
        <v>11150</v>
      </c>
    </row>
    <row r="56" spans="1:64">
      <c r="A56" s="10" t="s">
        <v>627</v>
      </c>
      <c r="B56" s="10" t="s">
        <v>124</v>
      </c>
      <c r="C56" s="80">
        <v>0</v>
      </c>
      <c r="D56" s="79">
        <f t="shared" si="0"/>
        <v>2400</v>
      </c>
      <c r="E56" s="78">
        <f>'2021-2022 (B)'!E56</f>
        <v>-10</v>
      </c>
      <c r="F56" s="187">
        <f t="shared" si="1"/>
        <v>2400</v>
      </c>
      <c r="G56" s="159">
        <f t="shared" si="2"/>
        <v>3600</v>
      </c>
      <c r="H56" s="190">
        <f t="shared" si="3"/>
        <v>-1200</v>
      </c>
      <c r="I56" s="78">
        <f t="shared" si="46"/>
        <v>-1649.9183857375547</v>
      </c>
      <c r="J56" s="78">
        <f t="shared" si="4"/>
        <v>0</v>
      </c>
      <c r="K56" s="78">
        <f t="shared" si="5"/>
        <v>198</v>
      </c>
      <c r="L56" s="78">
        <f t="shared" si="6"/>
        <v>-439.91838573755479</v>
      </c>
      <c r="M56" s="194">
        <f t="shared" si="7"/>
        <v>-439.91838573755479</v>
      </c>
      <c r="N56" s="78">
        <f t="shared" si="8"/>
        <v>4237.9183857375547</v>
      </c>
      <c r="O56" s="165">
        <f>250+600</f>
        <v>850</v>
      </c>
      <c r="P56" s="166">
        <f t="shared" si="9"/>
        <v>0</v>
      </c>
      <c r="Q56" s="119">
        <f t="shared" si="10"/>
        <v>190</v>
      </c>
      <c r="R56" s="167">
        <f t="shared" si="11"/>
        <v>-36.299999999999997</v>
      </c>
      <c r="S56" s="165">
        <v>250</v>
      </c>
      <c r="T56" s="166">
        <f t="shared" si="12"/>
        <v>0</v>
      </c>
      <c r="U56" s="33">
        <f t="shared" si="13"/>
        <v>103.7</v>
      </c>
      <c r="V56" s="167">
        <f t="shared" si="14"/>
        <v>-8.0465</v>
      </c>
      <c r="W56" s="165">
        <v>250</v>
      </c>
      <c r="X56" s="166">
        <f t="shared" si="15"/>
        <v>0</v>
      </c>
      <c r="Y56" s="33">
        <f t="shared" si="16"/>
        <v>45.653499999999987</v>
      </c>
      <c r="Z56" s="167">
        <f t="shared" si="17"/>
        <v>-11.239057500000001</v>
      </c>
      <c r="AA56" s="165">
        <f>250+250</f>
        <v>500</v>
      </c>
      <c r="AB56" s="166">
        <f t="shared" si="18"/>
        <v>0</v>
      </c>
      <c r="AC56" s="33">
        <f t="shared" si="19"/>
        <v>-265.58555749999999</v>
      </c>
      <c r="AD56" s="167">
        <f t="shared" si="20"/>
        <v>-42.1072056625</v>
      </c>
      <c r="AE56" s="165">
        <v>250</v>
      </c>
      <c r="AF56" s="166">
        <f t="shared" si="21"/>
        <v>0</v>
      </c>
      <c r="AG56" s="33">
        <f t="shared" si="22"/>
        <v>-357.69276316250006</v>
      </c>
      <c r="AH56" s="167">
        <f t="shared" si="23"/>
        <v>-33.423101973937506</v>
      </c>
      <c r="AI56" s="165">
        <v>0</v>
      </c>
      <c r="AJ56" s="166">
        <f t="shared" si="24"/>
        <v>0</v>
      </c>
      <c r="AK56" s="33">
        <f t="shared" si="25"/>
        <v>-191.11586513643755</v>
      </c>
      <c r="AL56" s="167">
        <f t="shared" si="26"/>
        <v>-10.511372582504066</v>
      </c>
      <c r="AM56" s="165">
        <v>250</v>
      </c>
      <c r="AN56" s="166">
        <f t="shared" si="27"/>
        <v>0</v>
      </c>
      <c r="AO56" s="33">
        <f t="shared" si="28"/>
        <v>-251.62723771894161</v>
      </c>
      <c r="AP56" s="167">
        <f t="shared" si="29"/>
        <v>-27.58949807454179</v>
      </c>
      <c r="AQ56" s="165">
        <f>250</f>
        <v>250</v>
      </c>
      <c r="AR56" s="166">
        <f t="shared" si="30"/>
        <v>0</v>
      </c>
      <c r="AS56" s="33">
        <f t="shared" si="31"/>
        <v>-329.21673579348339</v>
      </c>
      <c r="AT56" s="167">
        <f t="shared" si="32"/>
        <v>-40.545171505543841</v>
      </c>
      <c r="AU56" s="165">
        <f>250</f>
        <v>250</v>
      </c>
      <c r="AV56" s="166">
        <f t="shared" si="33"/>
        <v>0</v>
      </c>
      <c r="AW56" s="33">
        <f t="shared" si="34"/>
        <v>-419.76190729902726</v>
      </c>
      <c r="AX56" s="167">
        <f t="shared" si="35"/>
        <v>-46.883333510931912</v>
      </c>
      <c r="AY56" s="165">
        <v>250</v>
      </c>
      <c r="AZ56" s="166">
        <f t="shared" si="36"/>
        <v>0</v>
      </c>
      <c r="BA56" s="33">
        <f t="shared" si="37"/>
        <v>-516.6452408099592</v>
      </c>
      <c r="BB56" s="167">
        <f t="shared" si="38"/>
        <v>-53.665166856697148</v>
      </c>
      <c r="BC56" s="165">
        <v>250</v>
      </c>
      <c r="BD56" s="166">
        <f t="shared" si="39"/>
        <v>0</v>
      </c>
      <c r="BE56" s="33">
        <f t="shared" si="40"/>
        <v>-620.31040766665637</v>
      </c>
      <c r="BF56" s="167">
        <f t="shared" si="41"/>
        <v>-60.921728536665952</v>
      </c>
      <c r="BG56" s="165">
        <v>250</v>
      </c>
      <c r="BH56" s="166">
        <f t="shared" si="42"/>
        <v>0</v>
      </c>
      <c r="BI56" s="33">
        <f t="shared" si="43"/>
        <v>-731.23213620332228</v>
      </c>
      <c r="BJ56" s="167">
        <f t="shared" si="44"/>
        <v>-68.686249534232573</v>
      </c>
      <c r="BK56" s="87">
        <f t="shared" si="45"/>
        <v>3600</v>
      </c>
      <c r="BL56" s="33">
        <f>'2021-2022 (B)'!AV56+'2022-2023'!BK56</f>
        <v>15410</v>
      </c>
    </row>
    <row r="57" spans="1:64">
      <c r="A57" s="10" t="s">
        <v>628</v>
      </c>
      <c r="B57" s="10" t="s">
        <v>152</v>
      </c>
      <c r="C57" s="80">
        <v>0</v>
      </c>
      <c r="D57" s="79">
        <f t="shared" si="0"/>
        <v>2400</v>
      </c>
      <c r="E57" s="78">
        <f>'2021-2022 (B)'!E57</f>
        <v>4900</v>
      </c>
      <c r="F57" s="187">
        <f t="shared" si="1"/>
        <v>2400</v>
      </c>
      <c r="G57" s="159">
        <f t="shared" si="2"/>
        <v>0</v>
      </c>
      <c r="H57" s="190">
        <f t="shared" si="3"/>
        <v>2400</v>
      </c>
      <c r="I57" s="78">
        <f t="shared" si="46"/>
        <v>13674.437207036655</v>
      </c>
      <c r="J57" s="78">
        <f t="shared" si="4"/>
        <v>0</v>
      </c>
      <c r="K57" s="78">
        <f t="shared" si="5"/>
        <v>0</v>
      </c>
      <c r="L57" s="78">
        <f t="shared" si="6"/>
        <v>6374.4372070366553</v>
      </c>
      <c r="M57" s="194">
        <f t="shared" si="7"/>
        <v>6374.4372070366553</v>
      </c>
      <c r="N57" s="78">
        <f t="shared" si="8"/>
        <v>-6374.4372070366553</v>
      </c>
      <c r="O57" s="165">
        <v>0</v>
      </c>
      <c r="P57" s="166">
        <f t="shared" si="9"/>
        <v>0</v>
      </c>
      <c r="Q57" s="119">
        <f t="shared" si="10"/>
        <v>5100</v>
      </c>
      <c r="R57" s="167">
        <f t="shared" si="11"/>
        <v>280.5</v>
      </c>
      <c r="S57" s="165">
        <v>0</v>
      </c>
      <c r="T57" s="166">
        <f t="shared" si="12"/>
        <v>0</v>
      </c>
      <c r="U57" s="33">
        <f t="shared" si="13"/>
        <v>5580.5</v>
      </c>
      <c r="V57" s="167">
        <f t="shared" si="14"/>
        <v>306.92750000000001</v>
      </c>
      <c r="W57" s="165">
        <v>0</v>
      </c>
      <c r="X57" s="166">
        <f t="shared" si="15"/>
        <v>0</v>
      </c>
      <c r="Y57" s="33">
        <f t="shared" si="16"/>
        <v>6087.4274999999998</v>
      </c>
      <c r="Z57" s="167">
        <f t="shared" si="17"/>
        <v>334.80851250000001</v>
      </c>
      <c r="AA57" s="165">
        <v>0</v>
      </c>
      <c r="AB57" s="166">
        <f t="shared" si="18"/>
        <v>0</v>
      </c>
      <c r="AC57" s="33">
        <f t="shared" si="19"/>
        <v>6622.2360124999996</v>
      </c>
      <c r="AD57" s="167">
        <f t="shared" si="20"/>
        <v>364.22298068749996</v>
      </c>
      <c r="AE57" s="165">
        <v>0</v>
      </c>
      <c r="AF57" s="166">
        <f t="shared" si="21"/>
        <v>0</v>
      </c>
      <c r="AG57" s="33">
        <f t="shared" si="22"/>
        <v>7186.4589931874998</v>
      </c>
      <c r="AH57" s="167">
        <f t="shared" si="23"/>
        <v>395.25524462531251</v>
      </c>
      <c r="AI57" s="165">
        <v>0</v>
      </c>
      <c r="AJ57" s="166">
        <f t="shared" si="24"/>
        <v>0</v>
      </c>
      <c r="AK57" s="33">
        <f t="shared" si="25"/>
        <v>7781.7142378128119</v>
      </c>
      <c r="AL57" s="167">
        <f t="shared" si="26"/>
        <v>427.99428307970464</v>
      </c>
      <c r="AM57" s="165">
        <v>0</v>
      </c>
      <c r="AN57" s="166">
        <f t="shared" si="27"/>
        <v>0</v>
      </c>
      <c r="AO57" s="33">
        <f t="shared" si="28"/>
        <v>8409.7085208925164</v>
      </c>
      <c r="AP57" s="167">
        <f t="shared" si="29"/>
        <v>462.53396864908842</v>
      </c>
      <c r="AQ57" s="165">
        <v>0</v>
      </c>
      <c r="AR57" s="166">
        <f t="shared" si="30"/>
        <v>0</v>
      </c>
      <c r="AS57" s="33">
        <f t="shared" si="31"/>
        <v>9072.2424895416043</v>
      </c>
      <c r="AT57" s="167">
        <f t="shared" si="32"/>
        <v>635.05697426791232</v>
      </c>
      <c r="AU57" s="165">
        <v>0</v>
      </c>
      <c r="AV57" s="166">
        <f t="shared" si="33"/>
        <v>0</v>
      </c>
      <c r="AW57" s="33">
        <f t="shared" si="34"/>
        <v>9907.299463809517</v>
      </c>
      <c r="AX57" s="167">
        <f t="shared" si="35"/>
        <v>693.51096246666623</v>
      </c>
      <c r="AY57" s="165">
        <v>0</v>
      </c>
      <c r="AZ57" s="166">
        <f t="shared" si="36"/>
        <v>0</v>
      </c>
      <c r="BA57" s="33">
        <f t="shared" si="37"/>
        <v>10800.810426276183</v>
      </c>
      <c r="BB57" s="167">
        <f t="shared" si="38"/>
        <v>756.05672983933289</v>
      </c>
      <c r="BC57" s="165">
        <v>0</v>
      </c>
      <c r="BD57" s="166">
        <f t="shared" si="39"/>
        <v>0</v>
      </c>
      <c r="BE57" s="33">
        <f t="shared" si="40"/>
        <v>11756.867156115515</v>
      </c>
      <c r="BF57" s="167">
        <f t="shared" si="41"/>
        <v>822.98070092808609</v>
      </c>
      <c r="BG57" s="165">
        <v>0</v>
      </c>
      <c r="BH57" s="166">
        <f t="shared" si="42"/>
        <v>0</v>
      </c>
      <c r="BI57" s="33">
        <f t="shared" si="43"/>
        <v>12779.847857043602</v>
      </c>
      <c r="BJ57" s="167">
        <f t="shared" si="44"/>
        <v>894.58934999305222</v>
      </c>
      <c r="BK57" s="87">
        <f t="shared" si="45"/>
        <v>0</v>
      </c>
      <c r="BL57" s="33">
        <f>'2021-2022 (B)'!AV57+'2022-2023'!BK57</f>
        <v>3100</v>
      </c>
    </row>
    <row r="58" spans="1:64">
      <c r="A58" s="10" t="s">
        <v>629</v>
      </c>
      <c r="B58" s="10" t="s">
        <v>156</v>
      </c>
      <c r="C58" s="80">
        <v>0</v>
      </c>
      <c r="D58" s="79">
        <f t="shared" si="0"/>
        <v>2400</v>
      </c>
      <c r="E58" s="78">
        <f>'2021-2022 (B)'!E58</f>
        <v>7000</v>
      </c>
      <c r="F58" s="187">
        <f t="shared" si="1"/>
        <v>2400</v>
      </c>
      <c r="G58" s="159">
        <f t="shared" si="2"/>
        <v>0</v>
      </c>
      <c r="H58" s="190">
        <f t="shared" si="3"/>
        <v>2400</v>
      </c>
      <c r="I58" s="78">
        <f t="shared" si="46"/>
        <v>17958.989034665654</v>
      </c>
      <c r="J58" s="78">
        <f t="shared" si="4"/>
        <v>0</v>
      </c>
      <c r="K58" s="78">
        <f t="shared" si="5"/>
        <v>0</v>
      </c>
      <c r="L58" s="78">
        <f t="shared" si="6"/>
        <v>8558.9890346656539</v>
      </c>
      <c r="M58" s="194">
        <f t="shared" si="7"/>
        <v>8558.9890346656539</v>
      </c>
      <c r="N58" s="78">
        <f t="shared" si="8"/>
        <v>-8558.9890346656539</v>
      </c>
      <c r="O58" s="165">
        <v>0</v>
      </c>
      <c r="P58" s="166">
        <f t="shared" si="9"/>
        <v>0</v>
      </c>
      <c r="Q58" s="119">
        <f t="shared" si="10"/>
        <v>7200</v>
      </c>
      <c r="R58" s="167">
        <f t="shared" si="11"/>
        <v>396</v>
      </c>
      <c r="S58" s="165">
        <v>0</v>
      </c>
      <c r="T58" s="166">
        <f t="shared" si="12"/>
        <v>0</v>
      </c>
      <c r="U58" s="33">
        <f t="shared" si="13"/>
        <v>7796</v>
      </c>
      <c r="V58" s="167">
        <f t="shared" si="14"/>
        <v>428.78000000000003</v>
      </c>
      <c r="W58" s="165">
        <v>0</v>
      </c>
      <c r="X58" s="166">
        <f t="shared" si="15"/>
        <v>0</v>
      </c>
      <c r="Y58" s="33">
        <f t="shared" si="16"/>
        <v>8424.7800000000007</v>
      </c>
      <c r="Z58" s="167">
        <f t="shared" si="17"/>
        <v>463.36290000000002</v>
      </c>
      <c r="AA58" s="165">
        <v>0</v>
      </c>
      <c r="AB58" s="166">
        <f t="shared" si="18"/>
        <v>0</v>
      </c>
      <c r="AC58" s="33">
        <f t="shared" si="19"/>
        <v>9088.1429000000007</v>
      </c>
      <c r="AD58" s="167">
        <f t="shared" si="20"/>
        <v>499.84785950000003</v>
      </c>
      <c r="AE58" s="165">
        <v>0</v>
      </c>
      <c r="AF58" s="166">
        <f t="shared" si="21"/>
        <v>0</v>
      </c>
      <c r="AG58" s="33">
        <f t="shared" si="22"/>
        <v>9787.9907595000004</v>
      </c>
      <c r="AH58" s="167">
        <f t="shared" si="23"/>
        <v>538.33949177250008</v>
      </c>
      <c r="AI58" s="165">
        <v>0</v>
      </c>
      <c r="AJ58" s="166">
        <f t="shared" si="24"/>
        <v>0</v>
      </c>
      <c r="AK58" s="33">
        <f t="shared" si="25"/>
        <v>10526.3302512725</v>
      </c>
      <c r="AL58" s="167">
        <f t="shared" si="26"/>
        <v>578.94816381998749</v>
      </c>
      <c r="AM58" s="165">
        <v>0</v>
      </c>
      <c r="AN58" s="166">
        <f t="shared" si="27"/>
        <v>0</v>
      </c>
      <c r="AO58" s="33">
        <f t="shared" si="28"/>
        <v>11305.278415092487</v>
      </c>
      <c r="AP58" s="167">
        <f t="shared" si="29"/>
        <v>621.7903128300868</v>
      </c>
      <c r="AQ58" s="165">
        <v>0</v>
      </c>
      <c r="AR58" s="166">
        <f t="shared" si="30"/>
        <v>0</v>
      </c>
      <c r="AS58" s="33">
        <f t="shared" si="31"/>
        <v>12127.068727922575</v>
      </c>
      <c r="AT58" s="167">
        <f t="shared" si="32"/>
        <v>848.89481095458029</v>
      </c>
      <c r="AU58" s="165">
        <v>0</v>
      </c>
      <c r="AV58" s="166">
        <f t="shared" si="33"/>
        <v>0</v>
      </c>
      <c r="AW58" s="33">
        <f t="shared" si="34"/>
        <v>13175.963538877155</v>
      </c>
      <c r="AX58" s="167">
        <f t="shared" si="35"/>
        <v>922.31744772140098</v>
      </c>
      <c r="AY58" s="165">
        <v>0</v>
      </c>
      <c r="AZ58" s="166">
        <f t="shared" si="36"/>
        <v>0</v>
      </c>
      <c r="BA58" s="33">
        <f t="shared" si="37"/>
        <v>14298.280986598556</v>
      </c>
      <c r="BB58" s="167">
        <f t="shared" si="38"/>
        <v>1000.879669061899</v>
      </c>
      <c r="BC58" s="165">
        <v>0</v>
      </c>
      <c r="BD58" s="166">
        <f t="shared" si="39"/>
        <v>0</v>
      </c>
      <c r="BE58" s="33">
        <f t="shared" si="40"/>
        <v>15499.160655660455</v>
      </c>
      <c r="BF58" s="167">
        <f t="shared" si="41"/>
        <v>1084.941245896232</v>
      </c>
      <c r="BG58" s="165">
        <v>0</v>
      </c>
      <c r="BH58" s="166">
        <f t="shared" si="42"/>
        <v>0</v>
      </c>
      <c r="BI58" s="33">
        <f t="shared" si="43"/>
        <v>16784.101901556685</v>
      </c>
      <c r="BJ58" s="167">
        <f t="shared" si="44"/>
        <v>1174.8871331089681</v>
      </c>
      <c r="BK58" s="87">
        <f t="shared" si="45"/>
        <v>0</v>
      </c>
      <c r="BL58" s="33">
        <f>'2021-2022 (B)'!AV58+'2022-2023'!BK58</f>
        <v>1000</v>
      </c>
    </row>
    <row r="59" spans="1:64">
      <c r="A59" s="10" t="s">
        <v>630</v>
      </c>
      <c r="B59" s="10" t="s">
        <v>158</v>
      </c>
      <c r="C59" s="80">
        <v>0</v>
      </c>
      <c r="D59" s="79">
        <f t="shared" si="0"/>
        <v>2400</v>
      </c>
      <c r="E59" s="78">
        <f>'2021-2022 (B)'!E59</f>
        <v>7300</v>
      </c>
      <c r="F59" s="187">
        <f t="shared" si="1"/>
        <v>2400</v>
      </c>
      <c r="G59" s="159">
        <f t="shared" si="2"/>
        <v>0</v>
      </c>
      <c r="H59" s="190">
        <f t="shared" si="3"/>
        <v>2400</v>
      </c>
      <c r="I59" s="78">
        <f t="shared" si="46"/>
        <v>18571.067867184083</v>
      </c>
      <c r="J59" s="78">
        <f t="shared" si="4"/>
        <v>0</v>
      </c>
      <c r="K59" s="78">
        <f t="shared" si="5"/>
        <v>0</v>
      </c>
      <c r="L59" s="78">
        <f t="shared" si="6"/>
        <v>8871.0678671840833</v>
      </c>
      <c r="M59" s="194">
        <f t="shared" si="7"/>
        <v>8871.0678671840833</v>
      </c>
      <c r="N59" s="78">
        <f t="shared" si="8"/>
        <v>-8871.0678671840833</v>
      </c>
      <c r="O59" s="165">
        <v>0</v>
      </c>
      <c r="P59" s="166">
        <f t="shared" si="9"/>
        <v>0</v>
      </c>
      <c r="Q59" s="119">
        <f t="shared" si="10"/>
        <v>7500</v>
      </c>
      <c r="R59" s="167">
        <f t="shared" si="11"/>
        <v>412.5</v>
      </c>
      <c r="S59" s="165">
        <v>0</v>
      </c>
      <c r="T59" s="166">
        <f t="shared" si="12"/>
        <v>0</v>
      </c>
      <c r="U59" s="33">
        <f t="shared" si="13"/>
        <v>8112.5</v>
      </c>
      <c r="V59" s="167">
        <f t="shared" si="14"/>
        <v>446.1875</v>
      </c>
      <c r="W59" s="165">
        <v>0</v>
      </c>
      <c r="X59" s="166">
        <f t="shared" si="15"/>
        <v>0</v>
      </c>
      <c r="Y59" s="33">
        <f t="shared" si="16"/>
        <v>8758.6875</v>
      </c>
      <c r="Z59" s="167">
        <f t="shared" si="17"/>
        <v>481.72781250000003</v>
      </c>
      <c r="AA59" s="165">
        <v>0</v>
      </c>
      <c r="AB59" s="166">
        <f t="shared" si="18"/>
        <v>0</v>
      </c>
      <c r="AC59" s="33">
        <f t="shared" si="19"/>
        <v>9440.4153124999993</v>
      </c>
      <c r="AD59" s="167">
        <f t="shared" si="20"/>
        <v>519.22284218749996</v>
      </c>
      <c r="AE59" s="165">
        <v>0</v>
      </c>
      <c r="AF59" s="166">
        <f t="shared" si="21"/>
        <v>0</v>
      </c>
      <c r="AG59" s="33">
        <f t="shared" si="22"/>
        <v>10159.6381546875</v>
      </c>
      <c r="AH59" s="167">
        <f t="shared" si="23"/>
        <v>558.78009850781245</v>
      </c>
      <c r="AI59" s="165">
        <v>0</v>
      </c>
      <c r="AJ59" s="166">
        <f t="shared" si="24"/>
        <v>0</v>
      </c>
      <c r="AK59" s="33">
        <f t="shared" si="25"/>
        <v>10918.418253195312</v>
      </c>
      <c r="AL59" s="167">
        <f t="shared" si="26"/>
        <v>600.51300392574217</v>
      </c>
      <c r="AM59" s="165">
        <v>0</v>
      </c>
      <c r="AN59" s="166">
        <f t="shared" si="27"/>
        <v>0</v>
      </c>
      <c r="AO59" s="33">
        <f t="shared" si="28"/>
        <v>11718.931257121054</v>
      </c>
      <c r="AP59" s="167">
        <f t="shared" si="29"/>
        <v>644.54121914165796</v>
      </c>
      <c r="AQ59" s="165">
        <v>0</v>
      </c>
      <c r="AR59" s="166">
        <f t="shared" si="30"/>
        <v>0</v>
      </c>
      <c r="AS59" s="33">
        <f t="shared" si="31"/>
        <v>12563.472476262712</v>
      </c>
      <c r="AT59" s="167">
        <f t="shared" si="32"/>
        <v>879.44307333838992</v>
      </c>
      <c r="AU59" s="165">
        <v>0</v>
      </c>
      <c r="AV59" s="166">
        <f t="shared" si="33"/>
        <v>0</v>
      </c>
      <c r="AW59" s="33">
        <f t="shared" si="34"/>
        <v>13642.915549601103</v>
      </c>
      <c r="AX59" s="167">
        <f t="shared" si="35"/>
        <v>955.00408847207723</v>
      </c>
      <c r="AY59" s="165">
        <v>0</v>
      </c>
      <c r="AZ59" s="166">
        <f t="shared" si="36"/>
        <v>0</v>
      </c>
      <c r="BA59" s="33">
        <f t="shared" si="37"/>
        <v>14797.919638073179</v>
      </c>
      <c r="BB59" s="167">
        <f t="shared" si="38"/>
        <v>1035.8543746651226</v>
      </c>
      <c r="BC59" s="165">
        <v>0</v>
      </c>
      <c r="BD59" s="166">
        <f t="shared" si="39"/>
        <v>0</v>
      </c>
      <c r="BE59" s="33">
        <f t="shared" si="40"/>
        <v>16033.774012738302</v>
      </c>
      <c r="BF59" s="167">
        <f t="shared" si="41"/>
        <v>1122.3641808916814</v>
      </c>
      <c r="BG59" s="165">
        <v>0</v>
      </c>
      <c r="BH59" s="166">
        <f t="shared" si="42"/>
        <v>0</v>
      </c>
      <c r="BI59" s="33">
        <f t="shared" si="43"/>
        <v>17356.138193629984</v>
      </c>
      <c r="BJ59" s="167">
        <f t="shared" si="44"/>
        <v>1214.9296735540991</v>
      </c>
      <c r="BK59" s="87">
        <f t="shared" si="45"/>
        <v>0</v>
      </c>
      <c r="BL59" s="33">
        <f>'2021-2022 (B)'!AV59+'2022-2023'!BK59</f>
        <v>700</v>
      </c>
    </row>
    <row r="60" spans="1:64">
      <c r="A60" s="10" t="s">
        <v>631</v>
      </c>
      <c r="B60" s="10" t="s">
        <v>118</v>
      </c>
      <c r="C60" s="80">
        <v>0</v>
      </c>
      <c r="D60" s="79">
        <f t="shared" si="0"/>
        <v>2400</v>
      </c>
      <c r="E60" s="78">
        <f>'2021-2022 (B)'!E60</f>
        <v>3300</v>
      </c>
      <c r="F60" s="187">
        <f t="shared" si="1"/>
        <v>2400</v>
      </c>
      <c r="G60" s="159">
        <f t="shared" si="2"/>
        <v>5500</v>
      </c>
      <c r="H60" s="190">
        <f t="shared" si="3"/>
        <v>-3100</v>
      </c>
      <c r="I60" s="78">
        <f t="shared" si="46"/>
        <v>3671.3512878667598</v>
      </c>
      <c r="J60" s="78">
        <f t="shared" si="4"/>
        <v>0</v>
      </c>
      <c r="K60" s="78">
        <f t="shared" si="5"/>
        <v>302.5</v>
      </c>
      <c r="L60" s="78">
        <f t="shared" si="6"/>
        <v>3471.3512878667598</v>
      </c>
      <c r="M60" s="194">
        <f t="shared" si="7"/>
        <v>3471.3512878667598</v>
      </c>
      <c r="N60" s="78">
        <f t="shared" si="8"/>
        <v>2331.1487121332402</v>
      </c>
      <c r="O60" s="251">
        <v>2750</v>
      </c>
      <c r="P60" s="166">
        <f t="shared" si="9"/>
        <v>0</v>
      </c>
      <c r="Q60" s="119">
        <f t="shared" si="10"/>
        <v>3500</v>
      </c>
      <c r="R60" s="167">
        <f t="shared" si="11"/>
        <v>41.25</v>
      </c>
      <c r="S60" s="165">
        <v>0</v>
      </c>
      <c r="T60" s="166">
        <f t="shared" si="12"/>
        <v>0</v>
      </c>
      <c r="U60" s="33">
        <f t="shared" si="13"/>
        <v>3741.25</v>
      </c>
      <c r="V60" s="167">
        <f t="shared" si="14"/>
        <v>205.76875000000001</v>
      </c>
      <c r="W60" s="165">
        <v>0</v>
      </c>
      <c r="X60" s="166">
        <f t="shared" si="15"/>
        <v>0</v>
      </c>
      <c r="Y60" s="33">
        <f t="shared" si="16"/>
        <v>4147.0187500000002</v>
      </c>
      <c r="Z60" s="167">
        <f t="shared" si="17"/>
        <v>228.08603125000002</v>
      </c>
      <c r="AA60" s="165">
        <v>0</v>
      </c>
      <c r="AB60" s="166">
        <f t="shared" si="18"/>
        <v>0</v>
      </c>
      <c r="AC60" s="33">
        <f t="shared" si="19"/>
        <v>4575.1047812500001</v>
      </c>
      <c r="AD60" s="167">
        <f t="shared" si="20"/>
        <v>251.63076296875002</v>
      </c>
      <c r="AE60" s="165">
        <v>250</v>
      </c>
      <c r="AF60" s="166">
        <f t="shared" si="21"/>
        <v>0</v>
      </c>
      <c r="AG60" s="33">
        <f t="shared" si="22"/>
        <v>4776.73554421875</v>
      </c>
      <c r="AH60" s="167">
        <f t="shared" si="23"/>
        <v>248.97045493203126</v>
      </c>
      <c r="AI60" s="165">
        <v>0</v>
      </c>
      <c r="AJ60" s="166">
        <f t="shared" si="24"/>
        <v>0</v>
      </c>
      <c r="AK60" s="33">
        <f t="shared" si="25"/>
        <v>5225.7059991507813</v>
      </c>
      <c r="AL60" s="167">
        <f t="shared" si="26"/>
        <v>287.41382995329298</v>
      </c>
      <c r="AM60" s="165">
        <v>0</v>
      </c>
      <c r="AN60" s="166">
        <f t="shared" si="27"/>
        <v>0</v>
      </c>
      <c r="AO60" s="33">
        <f t="shared" si="28"/>
        <v>5713.1198291040746</v>
      </c>
      <c r="AP60" s="167">
        <f t="shared" si="29"/>
        <v>314.22159060072408</v>
      </c>
      <c r="AQ60" s="165">
        <v>0</v>
      </c>
      <c r="AR60" s="166">
        <f t="shared" si="30"/>
        <v>0</v>
      </c>
      <c r="AS60" s="33">
        <f t="shared" si="31"/>
        <v>6227.3414197047987</v>
      </c>
      <c r="AT60" s="167">
        <f t="shared" si="32"/>
        <v>435.91389937933593</v>
      </c>
      <c r="AU60" s="165">
        <v>0</v>
      </c>
      <c r="AV60" s="166">
        <f t="shared" si="33"/>
        <v>0</v>
      </c>
      <c r="AW60" s="33">
        <f t="shared" si="34"/>
        <v>6863.2553190841345</v>
      </c>
      <c r="AX60" s="167">
        <f t="shared" si="35"/>
        <v>480.42787233588945</v>
      </c>
      <c r="AY60" s="251">
        <v>2500</v>
      </c>
      <c r="AZ60" s="166">
        <f t="shared" si="36"/>
        <v>0</v>
      </c>
      <c r="BA60" s="33">
        <f t="shared" si="37"/>
        <v>5043.6831914200238</v>
      </c>
      <c r="BB60" s="167">
        <f t="shared" si="38"/>
        <v>178.05782339940168</v>
      </c>
      <c r="BC60" s="165">
        <v>0</v>
      </c>
      <c r="BD60" s="166">
        <f t="shared" si="39"/>
        <v>0</v>
      </c>
      <c r="BE60" s="33">
        <f t="shared" si="40"/>
        <v>5421.7410148194258</v>
      </c>
      <c r="BF60" s="167">
        <f t="shared" si="41"/>
        <v>379.52187103735986</v>
      </c>
      <c r="BG60" s="165">
        <v>0</v>
      </c>
      <c r="BH60" s="166">
        <f t="shared" si="42"/>
        <v>0</v>
      </c>
      <c r="BI60" s="33">
        <f t="shared" si="43"/>
        <v>6001.2628858567859</v>
      </c>
      <c r="BJ60" s="167">
        <f t="shared" si="44"/>
        <v>420.08840200997508</v>
      </c>
      <c r="BK60" s="87">
        <f t="shared" si="45"/>
        <v>5500</v>
      </c>
      <c r="BL60" s="33">
        <f>'2021-2022 (B)'!AV60+'2022-2023'!BK60</f>
        <v>13750</v>
      </c>
    </row>
    <row r="61" spans="1:64">
      <c r="A61" s="10" t="s">
        <v>632</v>
      </c>
      <c r="B61" s="10" t="s">
        <v>157</v>
      </c>
      <c r="C61" s="80">
        <v>0</v>
      </c>
      <c r="D61" s="79">
        <f t="shared" si="0"/>
        <v>2400</v>
      </c>
      <c r="E61" s="78">
        <f>'2021-2022 (B)'!E61</f>
        <v>7700</v>
      </c>
      <c r="F61" s="187">
        <f t="shared" si="1"/>
        <v>2400</v>
      </c>
      <c r="G61" s="159">
        <f t="shared" si="2"/>
        <v>0</v>
      </c>
      <c r="H61" s="190">
        <f t="shared" si="3"/>
        <v>2400</v>
      </c>
      <c r="I61" s="78">
        <f t="shared" si="46"/>
        <v>19387.172977208655</v>
      </c>
      <c r="J61" s="78">
        <f t="shared" si="4"/>
        <v>0</v>
      </c>
      <c r="K61" s="78">
        <f t="shared" si="5"/>
        <v>0</v>
      </c>
      <c r="L61" s="78">
        <f t="shared" si="6"/>
        <v>9287.1729772086546</v>
      </c>
      <c r="M61" s="194">
        <f t="shared" si="7"/>
        <v>9287.1729772086546</v>
      </c>
      <c r="N61" s="78">
        <f t="shared" si="8"/>
        <v>-9287.1729772086546</v>
      </c>
      <c r="O61" s="165">
        <v>0</v>
      </c>
      <c r="P61" s="166">
        <f t="shared" si="9"/>
        <v>0</v>
      </c>
      <c r="Q61" s="119">
        <f t="shared" si="10"/>
        <v>7900</v>
      </c>
      <c r="R61" s="167">
        <f t="shared" si="11"/>
        <v>434.5</v>
      </c>
      <c r="S61" s="165">
        <v>0</v>
      </c>
      <c r="T61" s="166">
        <f t="shared" si="12"/>
        <v>0</v>
      </c>
      <c r="U61" s="33">
        <f t="shared" si="13"/>
        <v>8534.5</v>
      </c>
      <c r="V61" s="167">
        <f t="shared" si="14"/>
        <v>469.39749999999998</v>
      </c>
      <c r="W61" s="165">
        <v>0</v>
      </c>
      <c r="X61" s="166">
        <f t="shared" si="15"/>
        <v>0</v>
      </c>
      <c r="Y61" s="33">
        <f t="shared" si="16"/>
        <v>9203.8974999999991</v>
      </c>
      <c r="Z61" s="167">
        <f t="shared" si="17"/>
        <v>506.21436249999994</v>
      </c>
      <c r="AA61" s="165">
        <v>0</v>
      </c>
      <c r="AB61" s="166">
        <f t="shared" si="18"/>
        <v>0</v>
      </c>
      <c r="AC61" s="33">
        <f t="shared" si="19"/>
        <v>9910.1118624999999</v>
      </c>
      <c r="AD61" s="167">
        <f t="shared" si="20"/>
        <v>545.05615243750003</v>
      </c>
      <c r="AE61" s="165">
        <v>0</v>
      </c>
      <c r="AF61" s="166">
        <f t="shared" si="21"/>
        <v>0</v>
      </c>
      <c r="AG61" s="33">
        <f t="shared" si="22"/>
        <v>10655.168014937501</v>
      </c>
      <c r="AH61" s="167">
        <f t="shared" si="23"/>
        <v>586.03424082156255</v>
      </c>
      <c r="AI61" s="165">
        <v>0</v>
      </c>
      <c r="AJ61" s="166">
        <f t="shared" si="24"/>
        <v>0</v>
      </c>
      <c r="AK61" s="33">
        <f t="shared" si="25"/>
        <v>11441.202255759063</v>
      </c>
      <c r="AL61" s="167">
        <f t="shared" si="26"/>
        <v>629.26612406674849</v>
      </c>
      <c r="AM61" s="165">
        <v>0</v>
      </c>
      <c r="AN61" s="166">
        <f t="shared" si="27"/>
        <v>0</v>
      </c>
      <c r="AO61" s="33">
        <f t="shared" si="28"/>
        <v>12270.468379825812</v>
      </c>
      <c r="AP61" s="167">
        <f t="shared" si="29"/>
        <v>674.87576089041966</v>
      </c>
      <c r="AQ61" s="165">
        <v>0</v>
      </c>
      <c r="AR61" s="166">
        <f t="shared" si="30"/>
        <v>0</v>
      </c>
      <c r="AS61" s="33">
        <f t="shared" si="31"/>
        <v>13145.344140716232</v>
      </c>
      <c r="AT61" s="167">
        <f t="shared" si="32"/>
        <v>920.17408985013628</v>
      </c>
      <c r="AU61" s="165">
        <v>0</v>
      </c>
      <c r="AV61" s="166">
        <f t="shared" si="33"/>
        <v>0</v>
      </c>
      <c r="AW61" s="33">
        <f t="shared" si="34"/>
        <v>14265.518230566367</v>
      </c>
      <c r="AX61" s="167">
        <f t="shared" si="35"/>
        <v>998.58627613964586</v>
      </c>
      <c r="AY61" s="165">
        <v>0</v>
      </c>
      <c r="AZ61" s="166">
        <f t="shared" si="36"/>
        <v>0</v>
      </c>
      <c r="BA61" s="33">
        <f t="shared" si="37"/>
        <v>15464.104506706013</v>
      </c>
      <c r="BB61" s="167">
        <f t="shared" si="38"/>
        <v>1082.487315469421</v>
      </c>
      <c r="BC61" s="165">
        <v>0</v>
      </c>
      <c r="BD61" s="166">
        <f t="shared" si="39"/>
        <v>0</v>
      </c>
      <c r="BE61" s="33">
        <f t="shared" si="40"/>
        <v>16746.591822175433</v>
      </c>
      <c r="BF61" s="167">
        <f t="shared" si="41"/>
        <v>1172.2614275522803</v>
      </c>
      <c r="BG61" s="165">
        <v>0</v>
      </c>
      <c r="BH61" s="166">
        <f t="shared" si="42"/>
        <v>0</v>
      </c>
      <c r="BI61" s="33">
        <f t="shared" si="43"/>
        <v>18118.853249727712</v>
      </c>
      <c r="BJ61" s="167">
        <f t="shared" si="44"/>
        <v>1268.3197274809399</v>
      </c>
      <c r="BK61" s="87">
        <f t="shared" si="45"/>
        <v>0</v>
      </c>
      <c r="BL61" s="33">
        <f>'2021-2022 (B)'!AV61+'2022-2023'!BK61</f>
        <v>300</v>
      </c>
    </row>
    <row r="62" spans="1:64">
      <c r="A62" s="10" t="s">
        <v>633</v>
      </c>
      <c r="B62" s="10" t="s">
        <v>127</v>
      </c>
      <c r="C62" s="80">
        <v>0</v>
      </c>
      <c r="D62" s="79">
        <f t="shared" si="0"/>
        <v>2400</v>
      </c>
      <c r="E62" s="78">
        <f>'2021-2022 (B)'!E62</f>
        <v>5000</v>
      </c>
      <c r="F62" s="187">
        <f t="shared" si="1"/>
        <v>2400</v>
      </c>
      <c r="G62" s="159">
        <f t="shared" si="2"/>
        <v>0</v>
      </c>
      <c r="H62" s="190">
        <f t="shared" si="3"/>
        <v>2400</v>
      </c>
      <c r="I62" s="78">
        <f t="shared" si="46"/>
        <v>13878.463484542799</v>
      </c>
      <c r="J62" s="78">
        <f t="shared" si="4"/>
        <v>0</v>
      </c>
      <c r="K62" s="78">
        <f t="shared" si="5"/>
        <v>0</v>
      </c>
      <c r="L62" s="78">
        <f t="shared" si="6"/>
        <v>6478.4634845427991</v>
      </c>
      <c r="M62" s="194">
        <f t="shared" si="7"/>
        <v>6478.4634845427991</v>
      </c>
      <c r="N62" s="78">
        <f t="shared" si="8"/>
        <v>-6478.4634845427991</v>
      </c>
      <c r="O62" s="165">
        <v>0</v>
      </c>
      <c r="P62" s="166">
        <f t="shared" si="9"/>
        <v>0</v>
      </c>
      <c r="Q62" s="119">
        <f t="shared" si="10"/>
        <v>5200</v>
      </c>
      <c r="R62" s="167">
        <f t="shared" si="11"/>
        <v>286</v>
      </c>
      <c r="S62" s="165">
        <v>0</v>
      </c>
      <c r="T62" s="166">
        <f t="shared" si="12"/>
        <v>0</v>
      </c>
      <c r="U62" s="33">
        <f t="shared" si="13"/>
        <v>5686</v>
      </c>
      <c r="V62" s="167">
        <f t="shared" si="14"/>
        <v>312.73</v>
      </c>
      <c r="W62" s="165">
        <v>0</v>
      </c>
      <c r="X62" s="166">
        <f t="shared" si="15"/>
        <v>0</v>
      </c>
      <c r="Y62" s="33">
        <f t="shared" si="16"/>
        <v>6198.73</v>
      </c>
      <c r="Z62" s="167">
        <f t="shared" si="17"/>
        <v>340.93014999999997</v>
      </c>
      <c r="AA62" s="165">
        <v>0</v>
      </c>
      <c r="AB62" s="166">
        <f t="shared" si="18"/>
        <v>0</v>
      </c>
      <c r="AC62" s="33">
        <f t="shared" si="19"/>
        <v>6739.6601499999997</v>
      </c>
      <c r="AD62" s="167">
        <f t="shared" si="20"/>
        <v>370.68130824999997</v>
      </c>
      <c r="AE62" s="165">
        <v>0</v>
      </c>
      <c r="AF62" s="166">
        <f t="shared" si="21"/>
        <v>0</v>
      </c>
      <c r="AG62" s="33">
        <f t="shared" si="22"/>
        <v>7310.34145825</v>
      </c>
      <c r="AH62" s="167">
        <f t="shared" si="23"/>
        <v>402.06878020375001</v>
      </c>
      <c r="AI62" s="165">
        <v>0</v>
      </c>
      <c r="AJ62" s="166">
        <f t="shared" si="24"/>
        <v>0</v>
      </c>
      <c r="AK62" s="33">
        <f t="shared" si="25"/>
        <v>7912.41023845375</v>
      </c>
      <c r="AL62" s="167">
        <f t="shared" si="26"/>
        <v>435.18256311495628</v>
      </c>
      <c r="AM62" s="165">
        <v>0</v>
      </c>
      <c r="AN62" s="166">
        <f t="shared" si="27"/>
        <v>0</v>
      </c>
      <c r="AO62" s="33">
        <f t="shared" si="28"/>
        <v>8547.5928015687059</v>
      </c>
      <c r="AP62" s="167">
        <f t="shared" si="29"/>
        <v>470.11760408627885</v>
      </c>
      <c r="AQ62" s="165">
        <v>0</v>
      </c>
      <c r="AR62" s="166">
        <f t="shared" si="30"/>
        <v>0</v>
      </c>
      <c r="AS62" s="33">
        <f t="shared" si="31"/>
        <v>9217.7104056549852</v>
      </c>
      <c r="AT62" s="167">
        <f t="shared" si="32"/>
        <v>645.23972839584906</v>
      </c>
      <c r="AU62" s="165">
        <v>0</v>
      </c>
      <c r="AV62" s="166">
        <f t="shared" si="33"/>
        <v>0</v>
      </c>
      <c r="AW62" s="33">
        <f t="shared" si="34"/>
        <v>10062.950134050834</v>
      </c>
      <c r="AX62" s="167">
        <f t="shared" si="35"/>
        <v>704.4065093835585</v>
      </c>
      <c r="AY62" s="165">
        <v>0</v>
      </c>
      <c r="AZ62" s="166">
        <f t="shared" si="36"/>
        <v>0</v>
      </c>
      <c r="BA62" s="33">
        <f t="shared" si="37"/>
        <v>10967.356643434392</v>
      </c>
      <c r="BB62" s="167">
        <f t="shared" si="38"/>
        <v>767.71496504040749</v>
      </c>
      <c r="BC62" s="165">
        <v>0</v>
      </c>
      <c r="BD62" s="166">
        <f t="shared" si="39"/>
        <v>0</v>
      </c>
      <c r="BE62" s="33">
        <f t="shared" si="40"/>
        <v>11935.0716084748</v>
      </c>
      <c r="BF62" s="167">
        <f t="shared" si="41"/>
        <v>835.45501259323612</v>
      </c>
      <c r="BG62" s="165">
        <v>0</v>
      </c>
      <c r="BH62" s="166">
        <f t="shared" si="42"/>
        <v>0</v>
      </c>
      <c r="BI62" s="33">
        <f t="shared" si="43"/>
        <v>12970.526621068037</v>
      </c>
      <c r="BJ62" s="167">
        <f t="shared" si="44"/>
        <v>907.93686347476262</v>
      </c>
      <c r="BK62" s="87">
        <f t="shared" si="45"/>
        <v>0</v>
      </c>
      <c r="BL62" s="33">
        <f>'2021-2022 (B)'!AV62+'2022-2023'!BK62</f>
        <v>3100</v>
      </c>
    </row>
    <row r="63" spans="1:64">
      <c r="A63" s="10" t="s">
        <v>634</v>
      </c>
      <c r="B63" s="10" t="s">
        <v>127</v>
      </c>
      <c r="C63" s="80">
        <v>0</v>
      </c>
      <c r="D63" s="79">
        <f t="shared" si="0"/>
        <v>2400</v>
      </c>
      <c r="E63" s="78">
        <f>'2021-2022 (B)'!E63</f>
        <v>4500</v>
      </c>
      <c r="F63" s="187">
        <f t="shared" si="1"/>
        <v>2400</v>
      </c>
      <c r="G63" s="159">
        <f t="shared" si="2"/>
        <v>0</v>
      </c>
      <c r="H63" s="190">
        <f t="shared" si="3"/>
        <v>2400</v>
      </c>
      <c r="I63" s="78">
        <f t="shared" si="46"/>
        <v>12858.332097012084</v>
      </c>
      <c r="J63" s="78">
        <f t="shared" si="4"/>
        <v>0</v>
      </c>
      <c r="K63" s="78">
        <f t="shared" si="5"/>
        <v>0</v>
      </c>
      <c r="L63" s="78">
        <f t="shared" si="6"/>
        <v>5958.3320970120849</v>
      </c>
      <c r="M63" s="194">
        <f t="shared" si="7"/>
        <v>5958.3320970120849</v>
      </c>
      <c r="N63" s="78">
        <f t="shared" si="8"/>
        <v>-5958.3320970120849</v>
      </c>
      <c r="O63" s="165">
        <v>0</v>
      </c>
      <c r="P63" s="166">
        <f t="shared" si="9"/>
        <v>0</v>
      </c>
      <c r="Q63" s="119">
        <f t="shared" si="10"/>
        <v>4700</v>
      </c>
      <c r="R63" s="167">
        <f t="shared" si="11"/>
        <v>258.5</v>
      </c>
      <c r="S63" s="165">
        <v>0</v>
      </c>
      <c r="T63" s="166">
        <f t="shared" si="12"/>
        <v>0</v>
      </c>
      <c r="U63" s="33">
        <f t="shared" si="13"/>
        <v>5158.5</v>
      </c>
      <c r="V63" s="167">
        <f t="shared" si="14"/>
        <v>283.71750000000003</v>
      </c>
      <c r="W63" s="165">
        <v>0</v>
      </c>
      <c r="X63" s="166">
        <f t="shared" si="15"/>
        <v>0</v>
      </c>
      <c r="Y63" s="33">
        <f t="shared" si="16"/>
        <v>5642.2174999999997</v>
      </c>
      <c r="Z63" s="167">
        <f t="shared" si="17"/>
        <v>310.32196249999998</v>
      </c>
      <c r="AA63" s="165">
        <v>0</v>
      </c>
      <c r="AB63" s="166">
        <f t="shared" si="18"/>
        <v>0</v>
      </c>
      <c r="AC63" s="33">
        <f t="shared" si="19"/>
        <v>6152.5394624999999</v>
      </c>
      <c r="AD63" s="167">
        <f t="shared" si="20"/>
        <v>338.3896704375</v>
      </c>
      <c r="AE63" s="165">
        <v>0</v>
      </c>
      <c r="AF63" s="166">
        <f t="shared" si="21"/>
        <v>0</v>
      </c>
      <c r="AG63" s="33">
        <f t="shared" si="22"/>
        <v>6690.9291329375001</v>
      </c>
      <c r="AH63" s="167">
        <f t="shared" si="23"/>
        <v>368.00110231156253</v>
      </c>
      <c r="AI63" s="165">
        <v>0</v>
      </c>
      <c r="AJ63" s="166">
        <f t="shared" si="24"/>
        <v>0</v>
      </c>
      <c r="AK63" s="33">
        <f t="shared" si="25"/>
        <v>7258.9302352490622</v>
      </c>
      <c r="AL63" s="167">
        <f t="shared" si="26"/>
        <v>399.24116293869844</v>
      </c>
      <c r="AM63" s="165">
        <v>0</v>
      </c>
      <c r="AN63" s="166">
        <f t="shared" si="27"/>
        <v>0</v>
      </c>
      <c r="AO63" s="33">
        <f t="shared" si="28"/>
        <v>7858.171398187761</v>
      </c>
      <c r="AP63" s="167">
        <f t="shared" si="29"/>
        <v>432.19942690032684</v>
      </c>
      <c r="AQ63" s="165">
        <v>0</v>
      </c>
      <c r="AR63" s="166">
        <f t="shared" si="30"/>
        <v>0</v>
      </c>
      <c r="AS63" s="33">
        <f t="shared" si="31"/>
        <v>8490.3708250880882</v>
      </c>
      <c r="AT63" s="167">
        <f t="shared" si="32"/>
        <v>594.32595775616619</v>
      </c>
      <c r="AU63" s="165">
        <v>0</v>
      </c>
      <c r="AV63" s="166">
        <f t="shared" si="33"/>
        <v>0</v>
      </c>
      <c r="AW63" s="33">
        <f t="shared" si="34"/>
        <v>9284.6967828442539</v>
      </c>
      <c r="AX63" s="167">
        <f t="shared" si="35"/>
        <v>649.92877479909782</v>
      </c>
      <c r="AY63" s="165">
        <v>0</v>
      </c>
      <c r="AZ63" s="166">
        <f t="shared" si="36"/>
        <v>0</v>
      </c>
      <c r="BA63" s="33">
        <f t="shared" si="37"/>
        <v>10134.625557643352</v>
      </c>
      <c r="BB63" s="167">
        <f t="shared" si="38"/>
        <v>709.4237890350347</v>
      </c>
      <c r="BC63" s="165">
        <v>0</v>
      </c>
      <c r="BD63" s="166">
        <f t="shared" si="39"/>
        <v>0</v>
      </c>
      <c r="BE63" s="33">
        <f t="shared" si="40"/>
        <v>11044.049346678386</v>
      </c>
      <c r="BF63" s="167">
        <f t="shared" si="41"/>
        <v>773.08345426748713</v>
      </c>
      <c r="BG63" s="165">
        <v>0</v>
      </c>
      <c r="BH63" s="166">
        <f t="shared" si="42"/>
        <v>0</v>
      </c>
      <c r="BI63" s="33">
        <f t="shared" si="43"/>
        <v>12017.132800945874</v>
      </c>
      <c r="BJ63" s="167">
        <f t="shared" si="44"/>
        <v>841.19929606621122</v>
      </c>
      <c r="BK63" s="87">
        <f t="shared" si="45"/>
        <v>0</v>
      </c>
      <c r="BL63" s="33">
        <f>'2021-2022 (B)'!AV63+'2022-2023'!BK63</f>
        <v>3600</v>
      </c>
    </row>
    <row r="64" spans="1:64">
      <c r="A64" s="10" t="s">
        <v>635</v>
      </c>
      <c r="B64" s="10" t="s">
        <v>128</v>
      </c>
      <c r="C64" s="80">
        <v>0</v>
      </c>
      <c r="D64" s="79">
        <f t="shared" si="0"/>
        <v>2400</v>
      </c>
      <c r="E64" s="78">
        <f>'2021-2022 (B)'!E64</f>
        <v>7290</v>
      </c>
      <c r="F64" s="187">
        <f t="shared" si="1"/>
        <v>2400</v>
      </c>
      <c r="G64" s="159">
        <f t="shared" si="2"/>
        <v>0</v>
      </c>
      <c r="H64" s="190">
        <f t="shared" si="3"/>
        <v>2400</v>
      </c>
      <c r="I64" s="78">
        <f t="shared" si="46"/>
        <v>18550.665239433467</v>
      </c>
      <c r="J64" s="78">
        <f t="shared" si="4"/>
        <v>0</v>
      </c>
      <c r="K64" s="78">
        <f t="shared" si="5"/>
        <v>0</v>
      </c>
      <c r="L64" s="78">
        <f t="shared" si="6"/>
        <v>8860.6652394334687</v>
      </c>
      <c r="M64" s="194">
        <f t="shared" si="7"/>
        <v>8860.6652394334687</v>
      </c>
      <c r="N64" s="78">
        <f t="shared" si="8"/>
        <v>-8860.6652394334687</v>
      </c>
      <c r="O64" s="165">
        <v>0</v>
      </c>
      <c r="P64" s="166">
        <f t="shared" si="9"/>
        <v>0</v>
      </c>
      <c r="Q64" s="119">
        <f t="shared" si="10"/>
        <v>7490</v>
      </c>
      <c r="R64" s="167">
        <f t="shared" si="11"/>
        <v>411.95</v>
      </c>
      <c r="S64" s="165">
        <v>0</v>
      </c>
      <c r="T64" s="166">
        <f t="shared" si="12"/>
        <v>0</v>
      </c>
      <c r="U64" s="33">
        <f t="shared" si="13"/>
        <v>8101.95</v>
      </c>
      <c r="V64" s="167">
        <f t="shared" si="14"/>
        <v>445.60724999999996</v>
      </c>
      <c r="W64" s="165">
        <v>0</v>
      </c>
      <c r="X64" s="166">
        <f t="shared" si="15"/>
        <v>0</v>
      </c>
      <c r="Y64" s="33">
        <f t="shared" si="16"/>
        <v>8747.5572499999998</v>
      </c>
      <c r="Z64" s="167">
        <f t="shared" si="17"/>
        <v>481.11564874999999</v>
      </c>
      <c r="AA64" s="165">
        <v>0</v>
      </c>
      <c r="AB64" s="166">
        <f t="shared" si="18"/>
        <v>0</v>
      </c>
      <c r="AC64" s="33">
        <f t="shared" si="19"/>
        <v>9428.6728987499991</v>
      </c>
      <c r="AD64" s="167">
        <f t="shared" si="20"/>
        <v>518.57700943124996</v>
      </c>
      <c r="AE64" s="165">
        <v>0</v>
      </c>
      <c r="AF64" s="166">
        <f t="shared" si="21"/>
        <v>0</v>
      </c>
      <c r="AG64" s="33">
        <f t="shared" si="22"/>
        <v>10147.249908181249</v>
      </c>
      <c r="AH64" s="167">
        <f t="shared" si="23"/>
        <v>558.0987449499687</v>
      </c>
      <c r="AI64" s="165">
        <v>0</v>
      </c>
      <c r="AJ64" s="166">
        <f t="shared" si="24"/>
        <v>0</v>
      </c>
      <c r="AK64" s="33">
        <f t="shared" si="25"/>
        <v>10905.348653131217</v>
      </c>
      <c r="AL64" s="167">
        <f t="shared" si="26"/>
        <v>599.79417592221694</v>
      </c>
      <c r="AM64" s="165">
        <v>0</v>
      </c>
      <c r="AN64" s="166">
        <f t="shared" si="27"/>
        <v>0</v>
      </c>
      <c r="AO64" s="33">
        <f t="shared" si="28"/>
        <v>11705.142829053435</v>
      </c>
      <c r="AP64" s="167">
        <f t="shared" si="29"/>
        <v>643.78285559793892</v>
      </c>
      <c r="AQ64" s="165">
        <v>0</v>
      </c>
      <c r="AR64" s="166">
        <f t="shared" si="30"/>
        <v>0</v>
      </c>
      <c r="AS64" s="33">
        <f t="shared" si="31"/>
        <v>12548.925684651374</v>
      </c>
      <c r="AT64" s="167">
        <f t="shared" si="32"/>
        <v>878.42479792559629</v>
      </c>
      <c r="AU64" s="165">
        <v>0</v>
      </c>
      <c r="AV64" s="166">
        <f t="shared" si="33"/>
        <v>0</v>
      </c>
      <c r="AW64" s="33">
        <f t="shared" si="34"/>
        <v>13627.350482576971</v>
      </c>
      <c r="AX64" s="167">
        <f t="shared" si="35"/>
        <v>953.91453378038807</v>
      </c>
      <c r="AY64" s="165">
        <v>0</v>
      </c>
      <c r="AZ64" s="166">
        <f t="shared" si="36"/>
        <v>0</v>
      </c>
      <c r="BA64" s="33">
        <f t="shared" si="37"/>
        <v>14781.265016357358</v>
      </c>
      <c r="BB64" s="167">
        <f t="shared" si="38"/>
        <v>1034.6885511450153</v>
      </c>
      <c r="BC64" s="165">
        <v>0</v>
      </c>
      <c r="BD64" s="166">
        <f t="shared" si="39"/>
        <v>0</v>
      </c>
      <c r="BE64" s="33">
        <f t="shared" si="40"/>
        <v>16015.953567502373</v>
      </c>
      <c r="BF64" s="167">
        <f t="shared" si="41"/>
        <v>1121.1167497251663</v>
      </c>
      <c r="BG64" s="165">
        <v>0</v>
      </c>
      <c r="BH64" s="166">
        <f t="shared" si="42"/>
        <v>0</v>
      </c>
      <c r="BI64" s="33">
        <f t="shared" si="43"/>
        <v>17337.070317227539</v>
      </c>
      <c r="BJ64" s="167">
        <f t="shared" si="44"/>
        <v>1213.5949222059278</v>
      </c>
      <c r="BK64" s="87">
        <f t="shared" si="45"/>
        <v>0</v>
      </c>
      <c r="BL64" s="33">
        <f>'2021-2022 (B)'!AV64+'2022-2023'!BK64</f>
        <v>710</v>
      </c>
    </row>
    <row r="65" spans="1:64">
      <c r="A65" s="10" t="s">
        <v>636</v>
      </c>
      <c r="B65" s="10" t="s">
        <v>128</v>
      </c>
      <c r="C65" s="80">
        <v>0</v>
      </c>
      <c r="D65" s="79">
        <f t="shared" si="0"/>
        <v>2400</v>
      </c>
      <c r="E65" s="78">
        <f>'2021-2022 (B)'!E65</f>
        <v>7700</v>
      </c>
      <c r="F65" s="187">
        <f t="shared" si="1"/>
        <v>2400</v>
      </c>
      <c r="G65" s="159">
        <f t="shared" si="2"/>
        <v>0</v>
      </c>
      <c r="H65" s="190">
        <f t="shared" si="3"/>
        <v>2400</v>
      </c>
      <c r="I65" s="78">
        <f t="shared" si="46"/>
        <v>19387.172977208655</v>
      </c>
      <c r="J65" s="78">
        <f t="shared" si="4"/>
        <v>0</v>
      </c>
      <c r="K65" s="78">
        <f t="shared" si="5"/>
        <v>0</v>
      </c>
      <c r="L65" s="78">
        <f t="shared" si="6"/>
        <v>9287.1729772086546</v>
      </c>
      <c r="M65" s="194">
        <f t="shared" si="7"/>
        <v>9287.1729772086546</v>
      </c>
      <c r="N65" s="78">
        <f t="shared" si="8"/>
        <v>-9287.1729772086546</v>
      </c>
      <c r="O65" s="165">
        <v>0</v>
      </c>
      <c r="P65" s="166">
        <f t="shared" si="9"/>
        <v>0</v>
      </c>
      <c r="Q65" s="119">
        <f t="shared" si="10"/>
        <v>7900</v>
      </c>
      <c r="R65" s="167">
        <f t="shared" si="11"/>
        <v>434.5</v>
      </c>
      <c r="S65" s="165">
        <v>0</v>
      </c>
      <c r="T65" s="166">
        <f t="shared" si="12"/>
        <v>0</v>
      </c>
      <c r="U65" s="33">
        <f t="shared" si="13"/>
        <v>8534.5</v>
      </c>
      <c r="V65" s="167">
        <f t="shared" si="14"/>
        <v>469.39749999999998</v>
      </c>
      <c r="W65" s="165">
        <v>0</v>
      </c>
      <c r="X65" s="166">
        <f t="shared" si="15"/>
        <v>0</v>
      </c>
      <c r="Y65" s="33">
        <f t="shared" si="16"/>
        <v>9203.8974999999991</v>
      </c>
      <c r="Z65" s="167">
        <f t="shared" si="17"/>
        <v>506.21436249999994</v>
      </c>
      <c r="AA65" s="165">
        <v>0</v>
      </c>
      <c r="AB65" s="166">
        <f t="shared" si="18"/>
        <v>0</v>
      </c>
      <c r="AC65" s="33">
        <f t="shared" si="19"/>
        <v>9910.1118624999999</v>
      </c>
      <c r="AD65" s="167">
        <f t="shared" si="20"/>
        <v>545.05615243750003</v>
      </c>
      <c r="AE65" s="165">
        <v>0</v>
      </c>
      <c r="AF65" s="166">
        <f t="shared" si="21"/>
        <v>0</v>
      </c>
      <c r="AG65" s="33">
        <f t="shared" si="22"/>
        <v>10655.168014937501</v>
      </c>
      <c r="AH65" s="167">
        <f t="shared" si="23"/>
        <v>586.03424082156255</v>
      </c>
      <c r="AI65" s="165">
        <v>0</v>
      </c>
      <c r="AJ65" s="166">
        <f t="shared" si="24"/>
        <v>0</v>
      </c>
      <c r="AK65" s="33">
        <f t="shared" si="25"/>
        <v>11441.202255759063</v>
      </c>
      <c r="AL65" s="167">
        <f t="shared" si="26"/>
        <v>629.26612406674849</v>
      </c>
      <c r="AM65" s="165">
        <v>0</v>
      </c>
      <c r="AN65" s="166">
        <f t="shared" si="27"/>
        <v>0</v>
      </c>
      <c r="AO65" s="33">
        <f t="shared" si="28"/>
        <v>12270.468379825812</v>
      </c>
      <c r="AP65" s="167">
        <f t="shared" si="29"/>
        <v>674.87576089041966</v>
      </c>
      <c r="AQ65" s="165">
        <v>0</v>
      </c>
      <c r="AR65" s="166">
        <f t="shared" si="30"/>
        <v>0</v>
      </c>
      <c r="AS65" s="33">
        <f t="shared" si="31"/>
        <v>13145.344140716232</v>
      </c>
      <c r="AT65" s="167">
        <f t="shared" si="32"/>
        <v>920.17408985013628</v>
      </c>
      <c r="AU65" s="165">
        <v>0</v>
      </c>
      <c r="AV65" s="166">
        <f t="shared" si="33"/>
        <v>0</v>
      </c>
      <c r="AW65" s="33">
        <f t="shared" si="34"/>
        <v>14265.518230566367</v>
      </c>
      <c r="AX65" s="167">
        <f t="shared" si="35"/>
        <v>998.58627613964586</v>
      </c>
      <c r="AY65" s="165">
        <v>0</v>
      </c>
      <c r="AZ65" s="166">
        <f t="shared" si="36"/>
        <v>0</v>
      </c>
      <c r="BA65" s="33">
        <f t="shared" si="37"/>
        <v>15464.104506706013</v>
      </c>
      <c r="BB65" s="167">
        <f t="shared" si="38"/>
        <v>1082.487315469421</v>
      </c>
      <c r="BC65" s="165">
        <v>0</v>
      </c>
      <c r="BD65" s="166">
        <f t="shared" si="39"/>
        <v>0</v>
      </c>
      <c r="BE65" s="33">
        <f t="shared" si="40"/>
        <v>16746.591822175433</v>
      </c>
      <c r="BF65" s="167">
        <f t="shared" si="41"/>
        <v>1172.2614275522803</v>
      </c>
      <c r="BG65" s="165">
        <v>0</v>
      </c>
      <c r="BH65" s="166">
        <f t="shared" si="42"/>
        <v>0</v>
      </c>
      <c r="BI65" s="33">
        <f t="shared" si="43"/>
        <v>18118.853249727712</v>
      </c>
      <c r="BJ65" s="167">
        <f t="shared" si="44"/>
        <v>1268.3197274809399</v>
      </c>
      <c r="BK65" s="87">
        <f t="shared" si="45"/>
        <v>0</v>
      </c>
      <c r="BL65" s="33">
        <f>'2021-2022 (B)'!AV65+'2022-2023'!BK65</f>
        <v>300</v>
      </c>
    </row>
    <row r="66" spans="1:64">
      <c r="A66" s="10" t="s">
        <v>637</v>
      </c>
      <c r="B66" s="10" t="s">
        <v>155</v>
      </c>
      <c r="C66" s="80">
        <v>0</v>
      </c>
      <c r="D66" s="79">
        <f t="shared" ref="D66:D90" si="47">200*12</f>
        <v>2400</v>
      </c>
      <c r="E66" s="78">
        <f>'2021-2022 (B)'!E66</f>
        <v>5600</v>
      </c>
      <c r="F66" s="187">
        <f t="shared" ref="F66:F90" si="48">C66+D66</f>
        <v>2400</v>
      </c>
      <c r="G66" s="159">
        <f t="shared" ref="G66:G90" si="49">BK66</f>
        <v>0</v>
      </c>
      <c r="H66" s="190">
        <f t="shared" ref="H66:H90" si="50">F66-G66-C66</f>
        <v>2400</v>
      </c>
      <c r="I66" s="78">
        <f t="shared" ref="I66:I90" si="51">H66+L66+E66</f>
        <v>15102.621149579656</v>
      </c>
      <c r="J66" s="78">
        <f t="shared" ref="J66:J90" si="52">P66+T66+X66+AB66+AF66+AJ66+AN66+AR66+AV66+AZ66+BD66+BH66</f>
        <v>0</v>
      </c>
      <c r="K66" s="78">
        <f t="shared" ref="K66:K90" si="53">(G66-J66-C66)*5.5%</f>
        <v>0</v>
      </c>
      <c r="L66" s="78">
        <f t="shared" ref="L66:L90" si="54">R66+V66+Z66+AD66+AH66+AL66+AP66+AT66+AX66+BB66+BF66+BJ66</f>
        <v>7102.6211495796551</v>
      </c>
      <c r="M66" s="194">
        <f t="shared" ref="M66:M90" si="55">L66</f>
        <v>7102.6211495796551</v>
      </c>
      <c r="N66" s="78">
        <f t="shared" ref="N66:N90" si="56">G66-J66-L66+K66</f>
        <v>-7102.6211495796551</v>
      </c>
      <c r="O66" s="165">
        <v>0</v>
      </c>
      <c r="P66" s="166">
        <f t="shared" ref="P66:P90" si="57">O66*0%</f>
        <v>0</v>
      </c>
      <c r="Q66" s="119">
        <f t="shared" ref="Q66:Q90" si="58">E66+200</f>
        <v>5800</v>
      </c>
      <c r="R66" s="167">
        <f t="shared" ref="R66:R90" si="59">(Q66-O66)*0.055</f>
        <v>319</v>
      </c>
      <c r="S66" s="165">
        <v>0</v>
      </c>
      <c r="T66" s="166">
        <f t="shared" ref="T66:T90" si="60">S66*0%</f>
        <v>0</v>
      </c>
      <c r="U66" s="33">
        <f t="shared" ref="U66:U90" si="61">Q66-S66+200+R66</f>
        <v>6319</v>
      </c>
      <c r="V66" s="167">
        <f t="shared" ref="V66:V90" si="62">(U66-S66)*0.055</f>
        <v>347.54500000000002</v>
      </c>
      <c r="W66" s="165">
        <v>0</v>
      </c>
      <c r="X66" s="166">
        <f t="shared" ref="X66:X90" si="63">W66*0%</f>
        <v>0</v>
      </c>
      <c r="Y66" s="33">
        <f t="shared" ref="Y66:Y90" si="64">U66-W66+200+V66</f>
        <v>6866.5450000000001</v>
      </c>
      <c r="Z66" s="167">
        <f t="shared" ref="Z66:Z90" si="65">(Y66-W66)*0.055</f>
        <v>377.65997500000003</v>
      </c>
      <c r="AA66" s="165">
        <v>0</v>
      </c>
      <c r="AB66" s="166">
        <f t="shared" ref="AB66:AB90" si="66">AA66*0%</f>
        <v>0</v>
      </c>
      <c r="AC66" s="33">
        <f t="shared" ref="AC66:AC90" si="67">Y66-AA66+200+Z66</f>
        <v>7444.2049750000006</v>
      </c>
      <c r="AD66" s="167">
        <f t="shared" ref="AD66:AD90" si="68">(AC66-AA66)*0.055</f>
        <v>409.43127362500002</v>
      </c>
      <c r="AE66" s="165">
        <v>0</v>
      </c>
      <c r="AF66" s="166">
        <f t="shared" ref="AF66:AF90" si="69">AE66*0%</f>
        <v>0</v>
      </c>
      <c r="AG66" s="33">
        <f t="shared" ref="AG66:AG90" si="70">AC66-AE66+200+AD66</f>
        <v>8053.6362486250009</v>
      </c>
      <c r="AH66" s="167">
        <f t="shared" ref="AH66:AH90" si="71">(AG66-AE66)*0.055</f>
        <v>442.94999367437504</v>
      </c>
      <c r="AI66" s="165">
        <v>0</v>
      </c>
      <c r="AJ66" s="166">
        <f t="shared" ref="AJ66:AJ90" si="72">AI66*0%</f>
        <v>0</v>
      </c>
      <c r="AK66" s="33">
        <f t="shared" ref="AK66:AK90" si="73">AG66-AI66+200+AH66</f>
        <v>8696.5862422993741</v>
      </c>
      <c r="AL66" s="167">
        <f t="shared" ref="AL66:AL90" si="74">(AK66-AI66)*0.055</f>
        <v>478.31224332646559</v>
      </c>
      <c r="AM66" s="165">
        <v>0</v>
      </c>
      <c r="AN66" s="166">
        <f t="shared" ref="AN66:AN90" si="75">AM66*0%</f>
        <v>0</v>
      </c>
      <c r="AO66" s="33">
        <f t="shared" ref="AO66:AO90" si="76">AK66-AM66+200+AL66</f>
        <v>9374.8984856258394</v>
      </c>
      <c r="AP66" s="167">
        <f t="shared" ref="AP66:AP90" si="77">(AO66-AM66)*0.055</f>
        <v>515.61941670942122</v>
      </c>
      <c r="AQ66" s="165">
        <v>0</v>
      </c>
      <c r="AR66" s="166">
        <f t="shared" ref="AR66:AR90" si="78">AQ66*0%</f>
        <v>0</v>
      </c>
      <c r="AS66" s="33">
        <f t="shared" ref="AS66:AS90" si="79">AO66-AQ66+200+AP66</f>
        <v>10090.517902335261</v>
      </c>
      <c r="AT66" s="167">
        <f t="shared" ref="AT66:AT90" si="80">(AS66-AQ66)*0.07</f>
        <v>706.33625316346831</v>
      </c>
      <c r="AU66" s="165">
        <v>0</v>
      </c>
      <c r="AV66" s="166">
        <f t="shared" ref="AV66:AV90" si="81">AU66*0%</f>
        <v>0</v>
      </c>
      <c r="AW66" s="33">
        <f t="shared" ref="AW66:AW90" si="82">AS66-AU66+200+AT66</f>
        <v>10996.85415549873</v>
      </c>
      <c r="AX66" s="167">
        <f t="shared" ref="AX66:AX90" si="83">(AW66-AU66)*0.07</f>
        <v>769.77979088491111</v>
      </c>
      <c r="AY66" s="165">
        <v>0</v>
      </c>
      <c r="AZ66" s="166">
        <f t="shared" ref="AZ66:AZ90" si="84">AY66*0%</f>
        <v>0</v>
      </c>
      <c r="BA66" s="33">
        <f t="shared" ref="BA66:BA90" si="85">AW66-AY66+200+AX66</f>
        <v>11966.633946383641</v>
      </c>
      <c r="BB66" s="167">
        <f t="shared" ref="BB66:BB90" si="86">(BA66-AY66)*0.07</f>
        <v>837.664376246855</v>
      </c>
      <c r="BC66" s="165">
        <v>0</v>
      </c>
      <c r="BD66" s="166">
        <f t="shared" ref="BD66:BD90" si="87">BC66*0%</f>
        <v>0</v>
      </c>
      <c r="BE66" s="33">
        <f t="shared" ref="BE66:BE90" si="88">BA66-BC66+200+BB66</f>
        <v>13004.298322630497</v>
      </c>
      <c r="BF66" s="167">
        <f t="shared" ref="BF66:BF90" si="89">(BE66-BC66)*0.07</f>
        <v>910.30088258413491</v>
      </c>
      <c r="BG66" s="165">
        <v>0</v>
      </c>
      <c r="BH66" s="166">
        <f t="shared" ref="BH66:BH90" si="90">BG66*0%</f>
        <v>0</v>
      </c>
      <c r="BI66" s="33">
        <f t="shared" ref="BI66:BI90" si="91">BE66-BG66+200+BF66</f>
        <v>14114.599205214632</v>
      </c>
      <c r="BJ66" s="167">
        <f t="shared" ref="BJ66:BJ90" si="92">(BI66-BG66)*0.07</f>
        <v>988.0219443650243</v>
      </c>
      <c r="BK66" s="87">
        <f t="shared" ref="BK66:BK90" si="93">O66+S66+W66+AA66+AE66+AI66+AQ66+AM66+AU66+AY66+BC66+BG66</f>
        <v>0</v>
      </c>
      <c r="BL66" s="33">
        <f>'2021-2022 (B)'!AV66+'2022-2023'!BK66</f>
        <v>2500</v>
      </c>
    </row>
    <row r="67" spans="1:64">
      <c r="A67" s="10" t="s">
        <v>638</v>
      </c>
      <c r="B67" s="10" t="s">
        <v>126</v>
      </c>
      <c r="C67" s="80">
        <v>0</v>
      </c>
      <c r="D67" s="79">
        <f t="shared" si="47"/>
        <v>2400</v>
      </c>
      <c r="E67" s="78">
        <f>'2021-2022 (B)'!E67</f>
        <v>5000</v>
      </c>
      <c r="F67" s="187">
        <f t="shared" si="48"/>
        <v>2400</v>
      </c>
      <c r="G67" s="159">
        <f t="shared" si="49"/>
        <v>600</v>
      </c>
      <c r="H67" s="190">
        <f t="shared" si="50"/>
        <v>1800</v>
      </c>
      <c r="I67" s="78">
        <f t="shared" si="51"/>
        <v>12819.755935814062</v>
      </c>
      <c r="J67" s="78">
        <f t="shared" si="52"/>
        <v>0</v>
      </c>
      <c r="K67" s="78">
        <f t="shared" si="53"/>
        <v>33</v>
      </c>
      <c r="L67" s="78">
        <f t="shared" si="54"/>
        <v>6019.7559358140625</v>
      </c>
      <c r="M67" s="194">
        <f t="shared" si="55"/>
        <v>6019.7559358140625</v>
      </c>
      <c r="N67" s="78">
        <f t="shared" si="56"/>
        <v>-5386.7559358140625</v>
      </c>
      <c r="O67" s="165">
        <v>0</v>
      </c>
      <c r="P67" s="166">
        <f t="shared" si="57"/>
        <v>0</v>
      </c>
      <c r="Q67" s="119">
        <f t="shared" si="58"/>
        <v>5200</v>
      </c>
      <c r="R67" s="167">
        <f t="shared" si="59"/>
        <v>286</v>
      </c>
      <c r="S67" s="165">
        <v>300</v>
      </c>
      <c r="T67" s="166">
        <f t="shared" si="60"/>
        <v>0</v>
      </c>
      <c r="U67" s="33">
        <f t="shared" si="61"/>
        <v>5386</v>
      </c>
      <c r="V67" s="167">
        <f t="shared" si="62"/>
        <v>279.73</v>
      </c>
      <c r="W67" s="165">
        <v>0</v>
      </c>
      <c r="X67" s="166">
        <f t="shared" si="63"/>
        <v>0</v>
      </c>
      <c r="Y67" s="33">
        <f t="shared" si="64"/>
        <v>5865.73</v>
      </c>
      <c r="Z67" s="167">
        <f t="shared" si="65"/>
        <v>322.61514999999997</v>
      </c>
      <c r="AA67" s="165">
        <v>0</v>
      </c>
      <c r="AB67" s="166">
        <f t="shared" si="66"/>
        <v>0</v>
      </c>
      <c r="AC67" s="33">
        <f t="shared" si="67"/>
        <v>6388.3451499999992</v>
      </c>
      <c r="AD67" s="167">
        <f t="shared" si="68"/>
        <v>351.35898324999994</v>
      </c>
      <c r="AE67" s="165">
        <v>0</v>
      </c>
      <c r="AF67" s="166">
        <f t="shared" si="69"/>
        <v>0</v>
      </c>
      <c r="AG67" s="33">
        <f t="shared" si="70"/>
        <v>6939.7041332499994</v>
      </c>
      <c r="AH67" s="167">
        <f t="shared" si="71"/>
        <v>381.68372732874997</v>
      </c>
      <c r="AI67" s="165">
        <v>0</v>
      </c>
      <c r="AJ67" s="166">
        <f t="shared" si="72"/>
        <v>0</v>
      </c>
      <c r="AK67" s="33">
        <f t="shared" si="73"/>
        <v>7521.3878605787495</v>
      </c>
      <c r="AL67" s="167">
        <f t="shared" si="74"/>
        <v>413.67633233183125</v>
      </c>
      <c r="AM67" s="165">
        <v>0</v>
      </c>
      <c r="AN67" s="166">
        <f t="shared" si="75"/>
        <v>0</v>
      </c>
      <c r="AO67" s="33">
        <f t="shared" si="76"/>
        <v>8135.0641929105805</v>
      </c>
      <c r="AP67" s="167">
        <f t="shared" si="77"/>
        <v>447.42853061008191</v>
      </c>
      <c r="AQ67" s="165">
        <v>300</v>
      </c>
      <c r="AR67" s="166">
        <f t="shared" si="78"/>
        <v>0</v>
      </c>
      <c r="AS67" s="33">
        <f t="shared" si="79"/>
        <v>8482.4927235206633</v>
      </c>
      <c r="AT67" s="167">
        <f t="shared" si="80"/>
        <v>572.77449064644645</v>
      </c>
      <c r="AU67" s="165">
        <v>0</v>
      </c>
      <c r="AV67" s="166">
        <f t="shared" si="81"/>
        <v>0</v>
      </c>
      <c r="AW67" s="33">
        <f t="shared" si="82"/>
        <v>9255.2672141671101</v>
      </c>
      <c r="AX67" s="167">
        <f t="shared" si="83"/>
        <v>647.86870499169777</v>
      </c>
      <c r="AY67" s="165">
        <v>0</v>
      </c>
      <c r="AZ67" s="166">
        <f t="shared" si="84"/>
        <v>0</v>
      </c>
      <c r="BA67" s="33">
        <f t="shared" si="85"/>
        <v>10103.135919158807</v>
      </c>
      <c r="BB67" s="167">
        <f t="shared" si="86"/>
        <v>707.21951434111656</v>
      </c>
      <c r="BC67" s="165">
        <v>0</v>
      </c>
      <c r="BD67" s="166">
        <f t="shared" si="87"/>
        <v>0</v>
      </c>
      <c r="BE67" s="33">
        <f t="shared" si="88"/>
        <v>11010.355433499924</v>
      </c>
      <c r="BF67" s="167">
        <f t="shared" si="89"/>
        <v>770.72488034499474</v>
      </c>
      <c r="BG67" s="165">
        <v>0</v>
      </c>
      <c r="BH67" s="166">
        <f t="shared" si="90"/>
        <v>0</v>
      </c>
      <c r="BI67" s="33">
        <f t="shared" si="91"/>
        <v>11981.080313844919</v>
      </c>
      <c r="BJ67" s="167">
        <f t="shared" si="92"/>
        <v>838.67562196914446</v>
      </c>
      <c r="BK67" s="87">
        <f t="shared" si="93"/>
        <v>600</v>
      </c>
      <c r="BL67" s="33">
        <f>'2021-2022 (B)'!AV67+'2022-2023'!BK67</f>
        <v>5000</v>
      </c>
    </row>
    <row r="68" spans="1:64">
      <c r="A68" s="10" t="s">
        <v>639</v>
      </c>
      <c r="B68" s="10" t="s">
        <v>116</v>
      </c>
      <c r="C68" s="80">
        <v>0</v>
      </c>
      <c r="D68" s="79">
        <f t="shared" si="47"/>
        <v>2400</v>
      </c>
      <c r="E68" s="78">
        <f>'2021-2022 (B)'!E68</f>
        <v>600</v>
      </c>
      <c r="F68" s="187">
        <f t="shared" si="48"/>
        <v>2400</v>
      </c>
      <c r="G68" s="159">
        <f t="shared" si="49"/>
        <v>0</v>
      </c>
      <c r="H68" s="190">
        <f t="shared" si="50"/>
        <v>2400</v>
      </c>
      <c r="I68" s="78">
        <f t="shared" si="51"/>
        <v>4901.3072742725162</v>
      </c>
      <c r="J68" s="78">
        <f t="shared" si="52"/>
        <v>0</v>
      </c>
      <c r="K68" s="78">
        <f t="shared" si="53"/>
        <v>0</v>
      </c>
      <c r="L68" s="78">
        <f t="shared" si="54"/>
        <v>1901.3072742725162</v>
      </c>
      <c r="M68" s="194">
        <f t="shared" si="55"/>
        <v>1901.3072742725162</v>
      </c>
      <c r="N68" s="78">
        <f t="shared" si="56"/>
        <v>-1901.3072742725162</v>
      </c>
      <c r="O68" s="165">
        <v>0</v>
      </c>
      <c r="P68" s="166">
        <f t="shared" si="57"/>
        <v>0</v>
      </c>
      <c r="Q68" s="119">
        <f t="shared" si="58"/>
        <v>800</v>
      </c>
      <c r="R68" s="167">
        <f t="shared" si="59"/>
        <v>44</v>
      </c>
      <c r="S68" s="165">
        <v>0</v>
      </c>
      <c r="T68" s="166">
        <f t="shared" si="60"/>
        <v>0</v>
      </c>
      <c r="U68" s="33">
        <f t="shared" si="61"/>
        <v>1044</v>
      </c>
      <c r="V68" s="167">
        <f t="shared" si="62"/>
        <v>57.42</v>
      </c>
      <c r="W68" s="165">
        <v>0</v>
      </c>
      <c r="X68" s="166">
        <f t="shared" si="63"/>
        <v>0</v>
      </c>
      <c r="Y68" s="33">
        <f t="shared" si="64"/>
        <v>1301.42</v>
      </c>
      <c r="Z68" s="167">
        <f t="shared" si="65"/>
        <v>71.578100000000006</v>
      </c>
      <c r="AA68" s="165">
        <v>0</v>
      </c>
      <c r="AB68" s="166">
        <f t="shared" si="66"/>
        <v>0</v>
      </c>
      <c r="AC68" s="33">
        <f t="shared" si="67"/>
        <v>1572.9981</v>
      </c>
      <c r="AD68" s="167">
        <f t="shared" si="68"/>
        <v>86.514895500000009</v>
      </c>
      <c r="AE68" s="165">
        <v>0</v>
      </c>
      <c r="AF68" s="166">
        <f t="shared" si="69"/>
        <v>0</v>
      </c>
      <c r="AG68" s="33">
        <f t="shared" si="70"/>
        <v>1859.5129955</v>
      </c>
      <c r="AH68" s="167">
        <f t="shared" si="71"/>
        <v>102.2732147525</v>
      </c>
      <c r="AI68" s="165">
        <v>0</v>
      </c>
      <c r="AJ68" s="166">
        <f t="shared" si="72"/>
        <v>0</v>
      </c>
      <c r="AK68" s="33">
        <f t="shared" si="73"/>
        <v>2161.7862102525</v>
      </c>
      <c r="AL68" s="167">
        <f t="shared" si="74"/>
        <v>118.89824156388751</v>
      </c>
      <c r="AM68" s="165">
        <v>0</v>
      </c>
      <c r="AN68" s="166">
        <f t="shared" si="75"/>
        <v>0</v>
      </c>
      <c r="AO68" s="33">
        <f t="shared" si="76"/>
        <v>2480.6844518163875</v>
      </c>
      <c r="AP68" s="167">
        <f t="shared" si="77"/>
        <v>136.43764484990132</v>
      </c>
      <c r="AQ68" s="165">
        <v>0</v>
      </c>
      <c r="AR68" s="166">
        <f t="shared" si="78"/>
        <v>0</v>
      </c>
      <c r="AS68" s="33">
        <f t="shared" si="79"/>
        <v>2817.1220966662891</v>
      </c>
      <c r="AT68" s="167">
        <f t="shared" si="80"/>
        <v>197.19854676664025</v>
      </c>
      <c r="AU68" s="165">
        <v>0</v>
      </c>
      <c r="AV68" s="166">
        <f t="shared" si="81"/>
        <v>0</v>
      </c>
      <c r="AW68" s="33">
        <f t="shared" si="82"/>
        <v>3214.3206434329295</v>
      </c>
      <c r="AX68" s="167">
        <f t="shared" si="83"/>
        <v>225.00244504030508</v>
      </c>
      <c r="AY68" s="165">
        <v>0</v>
      </c>
      <c r="AZ68" s="166">
        <f t="shared" si="84"/>
        <v>0</v>
      </c>
      <c r="BA68" s="33">
        <f t="shared" si="85"/>
        <v>3639.3230884732347</v>
      </c>
      <c r="BB68" s="167">
        <f t="shared" si="86"/>
        <v>254.75261619312644</v>
      </c>
      <c r="BC68" s="165">
        <v>0</v>
      </c>
      <c r="BD68" s="166">
        <f t="shared" si="87"/>
        <v>0</v>
      </c>
      <c r="BE68" s="33">
        <f t="shared" si="88"/>
        <v>4094.0757046663612</v>
      </c>
      <c r="BF68" s="167">
        <f t="shared" si="89"/>
        <v>286.58529932664533</v>
      </c>
      <c r="BG68" s="165">
        <v>0</v>
      </c>
      <c r="BH68" s="166">
        <f t="shared" si="90"/>
        <v>0</v>
      </c>
      <c r="BI68" s="33">
        <f t="shared" si="91"/>
        <v>4580.6610039930065</v>
      </c>
      <c r="BJ68" s="167">
        <f t="shared" si="92"/>
        <v>320.64627027951047</v>
      </c>
      <c r="BK68" s="87">
        <f t="shared" si="93"/>
        <v>0</v>
      </c>
      <c r="BL68" s="33">
        <f>'2021-2022 (B)'!AV68+'2022-2023'!BK68</f>
        <v>9100</v>
      </c>
    </row>
    <row r="69" spans="1:64">
      <c r="A69" s="10" t="s">
        <v>640</v>
      </c>
      <c r="B69" s="10" t="s">
        <v>154</v>
      </c>
      <c r="C69" s="80">
        <v>0</v>
      </c>
      <c r="D69" s="79">
        <f t="shared" si="47"/>
        <v>2400</v>
      </c>
      <c r="E69" s="78">
        <f>'2021-2022 (B)'!E69</f>
        <v>3000</v>
      </c>
      <c r="F69" s="187">
        <f t="shared" si="48"/>
        <v>2400</v>
      </c>
      <c r="G69" s="159">
        <f t="shared" si="49"/>
        <v>0</v>
      </c>
      <c r="H69" s="190">
        <f t="shared" si="50"/>
        <v>2400</v>
      </c>
      <c r="I69" s="78">
        <f t="shared" si="51"/>
        <v>9797.9379344199442</v>
      </c>
      <c r="J69" s="78">
        <f t="shared" si="52"/>
        <v>0</v>
      </c>
      <c r="K69" s="78">
        <f t="shared" si="53"/>
        <v>0</v>
      </c>
      <c r="L69" s="78">
        <f t="shared" si="54"/>
        <v>4397.9379344199442</v>
      </c>
      <c r="M69" s="194">
        <f t="shared" si="55"/>
        <v>4397.9379344199442</v>
      </c>
      <c r="N69" s="78">
        <f t="shared" si="56"/>
        <v>-4397.9379344199442</v>
      </c>
      <c r="O69" s="165">
        <v>0</v>
      </c>
      <c r="P69" s="166">
        <f t="shared" si="57"/>
        <v>0</v>
      </c>
      <c r="Q69" s="119">
        <f t="shared" si="58"/>
        <v>3200</v>
      </c>
      <c r="R69" s="167">
        <f t="shared" si="59"/>
        <v>176</v>
      </c>
      <c r="S69" s="165">
        <v>0</v>
      </c>
      <c r="T69" s="166">
        <f t="shared" si="60"/>
        <v>0</v>
      </c>
      <c r="U69" s="33">
        <f t="shared" si="61"/>
        <v>3576</v>
      </c>
      <c r="V69" s="167">
        <f t="shared" si="62"/>
        <v>196.68</v>
      </c>
      <c r="W69" s="165">
        <v>0</v>
      </c>
      <c r="X69" s="166">
        <f t="shared" si="63"/>
        <v>0</v>
      </c>
      <c r="Y69" s="33">
        <f t="shared" si="64"/>
        <v>3972.68</v>
      </c>
      <c r="Z69" s="167">
        <f t="shared" si="65"/>
        <v>218.4974</v>
      </c>
      <c r="AA69" s="165">
        <v>0</v>
      </c>
      <c r="AB69" s="166">
        <f t="shared" si="66"/>
        <v>0</v>
      </c>
      <c r="AC69" s="33">
        <f t="shared" si="67"/>
        <v>4391.1774000000005</v>
      </c>
      <c r="AD69" s="167">
        <f t="shared" si="68"/>
        <v>241.51475700000003</v>
      </c>
      <c r="AE69" s="165">
        <v>0</v>
      </c>
      <c r="AF69" s="166">
        <f t="shared" si="69"/>
        <v>0</v>
      </c>
      <c r="AG69" s="33">
        <f t="shared" si="70"/>
        <v>4832.6921570000004</v>
      </c>
      <c r="AH69" s="167">
        <f t="shared" si="71"/>
        <v>265.79806863500005</v>
      </c>
      <c r="AI69" s="165">
        <v>0</v>
      </c>
      <c r="AJ69" s="166">
        <f t="shared" si="72"/>
        <v>0</v>
      </c>
      <c r="AK69" s="33">
        <f t="shared" si="73"/>
        <v>5298.4902256350006</v>
      </c>
      <c r="AL69" s="167">
        <f t="shared" si="74"/>
        <v>291.41696240992502</v>
      </c>
      <c r="AM69" s="165">
        <v>0</v>
      </c>
      <c r="AN69" s="166">
        <f t="shared" si="75"/>
        <v>0</v>
      </c>
      <c r="AO69" s="33">
        <f t="shared" si="76"/>
        <v>5789.9071880449255</v>
      </c>
      <c r="AP69" s="167">
        <f t="shared" si="77"/>
        <v>318.44489534247089</v>
      </c>
      <c r="AQ69" s="165">
        <v>0</v>
      </c>
      <c r="AR69" s="166">
        <f t="shared" si="78"/>
        <v>0</v>
      </c>
      <c r="AS69" s="33">
        <f t="shared" si="79"/>
        <v>6308.3520833873963</v>
      </c>
      <c r="AT69" s="167">
        <f t="shared" si="80"/>
        <v>441.58464583711776</v>
      </c>
      <c r="AU69" s="165">
        <v>0</v>
      </c>
      <c r="AV69" s="166">
        <f t="shared" si="81"/>
        <v>0</v>
      </c>
      <c r="AW69" s="33">
        <f t="shared" si="82"/>
        <v>6949.9367292245142</v>
      </c>
      <c r="AX69" s="167">
        <f t="shared" si="83"/>
        <v>486.49557104571602</v>
      </c>
      <c r="AY69" s="165">
        <v>0</v>
      </c>
      <c r="AZ69" s="166">
        <f t="shared" si="84"/>
        <v>0</v>
      </c>
      <c r="BA69" s="33">
        <f t="shared" si="85"/>
        <v>7636.4323002702304</v>
      </c>
      <c r="BB69" s="167">
        <f t="shared" si="86"/>
        <v>534.55026101891622</v>
      </c>
      <c r="BC69" s="165">
        <v>0</v>
      </c>
      <c r="BD69" s="166">
        <f t="shared" si="87"/>
        <v>0</v>
      </c>
      <c r="BE69" s="33">
        <f t="shared" si="88"/>
        <v>8370.9825612891473</v>
      </c>
      <c r="BF69" s="167">
        <f t="shared" si="89"/>
        <v>585.96877929024038</v>
      </c>
      <c r="BG69" s="165">
        <v>0</v>
      </c>
      <c r="BH69" s="166">
        <f t="shared" si="90"/>
        <v>0</v>
      </c>
      <c r="BI69" s="33">
        <f t="shared" si="91"/>
        <v>9156.9513405793878</v>
      </c>
      <c r="BJ69" s="167">
        <f t="shared" si="92"/>
        <v>640.98659384055725</v>
      </c>
      <c r="BK69" s="87">
        <f t="shared" si="93"/>
        <v>0</v>
      </c>
      <c r="BL69" s="33">
        <f>'2021-2022 (B)'!AV69+'2022-2023'!BK69</f>
        <v>5100</v>
      </c>
    </row>
    <row r="70" spans="1:64">
      <c r="A70" s="10" t="s">
        <v>641</v>
      </c>
      <c r="B70" s="10" t="s">
        <v>115</v>
      </c>
      <c r="C70" s="80">
        <v>0</v>
      </c>
      <c r="D70" s="79">
        <f t="shared" si="47"/>
        <v>2400</v>
      </c>
      <c r="E70" s="78">
        <f>'2021-2022 (B)'!E70</f>
        <v>650</v>
      </c>
      <c r="F70" s="187">
        <f t="shared" si="48"/>
        <v>2400</v>
      </c>
      <c r="G70" s="159">
        <f t="shared" si="49"/>
        <v>2100</v>
      </c>
      <c r="H70" s="190">
        <f t="shared" si="50"/>
        <v>300</v>
      </c>
      <c r="I70" s="78">
        <f t="shared" si="51"/>
        <v>1679.6847072302176</v>
      </c>
      <c r="J70" s="78">
        <f t="shared" si="52"/>
        <v>0</v>
      </c>
      <c r="K70" s="78">
        <f t="shared" si="53"/>
        <v>115.5</v>
      </c>
      <c r="L70" s="78">
        <f t="shared" si="54"/>
        <v>729.68470723021767</v>
      </c>
      <c r="M70" s="194">
        <f t="shared" si="55"/>
        <v>729.68470723021767</v>
      </c>
      <c r="N70" s="78">
        <f t="shared" si="56"/>
        <v>1485.8152927697824</v>
      </c>
      <c r="O70" s="165">
        <v>600</v>
      </c>
      <c r="P70" s="166">
        <f t="shared" si="57"/>
        <v>0</v>
      </c>
      <c r="Q70" s="119">
        <f t="shared" si="58"/>
        <v>850</v>
      </c>
      <c r="R70" s="167">
        <f t="shared" si="59"/>
        <v>13.75</v>
      </c>
      <c r="S70" s="165">
        <v>500</v>
      </c>
      <c r="T70" s="166">
        <f t="shared" si="60"/>
        <v>0</v>
      </c>
      <c r="U70" s="33">
        <f t="shared" si="61"/>
        <v>563.75</v>
      </c>
      <c r="V70" s="167">
        <f t="shared" si="62"/>
        <v>3.5062500000000001</v>
      </c>
      <c r="W70" s="165">
        <v>0</v>
      </c>
      <c r="X70" s="166">
        <f t="shared" si="63"/>
        <v>0</v>
      </c>
      <c r="Y70" s="33">
        <f t="shared" si="64"/>
        <v>767.25625000000002</v>
      </c>
      <c r="Z70" s="167">
        <f t="shared" si="65"/>
        <v>42.199093750000003</v>
      </c>
      <c r="AA70" s="165">
        <v>0</v>
      </c>
      <c r="AB70" s="166">
        <f t="shared" si="66"/>
        <v>0</v>
      </c>
      <c r="AC70" s="33">
        <f t="shared" si="67"/>
        <v>1009.45534375</v>
      </c>
      <c r="AD70" s="167">
        <f t="shared" si="68"/>
        <v>55.520043906250002</v>
      </c>
      <c r="AE70" s="165">
        <v>0</v>
      </c>
      <c r="AF70" s="166">
        <f t="shared" si="69"/>
        <v>0</v>
      </c>
      <c r="AG70" s="33">
        <f t="shared" si="70"/>
        <v>1264.9753876562499</v>
      </c>
      <c r="AH70" s="167">
        <f t="shared" si="71"/>
        <v>69.573646321093747</v>
      </c>
      <c r="AI70" s="165">
        <v>1000</v>
      </c>
      <c r="AJ70" s="166">
        <f t="shared" si="72"/>
        <v>0</v>
      </c>
      <c r="AK70" s="33">
        <f t="shared" si="73"/>
        <v>534.5490339773437</v>
      </c>
      <c r="AL70" s="167">
        <f t="shared" si="74"/>
        <v>-25.599803131246098</v>
      </c>
      <c r="AM70" s="165">
        <v>0</v>
      </c>
      <c r="AN70" s="166">
        <f t="shared" si="75"/>
        <v>0</v>
      </c>
      <c r="AO70" s="33">
        <f t="shared" si="76"/>
        <v>708.94923084609763</v>
      </c>
      <c r="AP70" s="167">
        <f t="shared" si="77"/>
        <v>38.992207696535367</v>
      </c>
      <c r="AQ70" s="165">
        <v>0</v>
      </c>
      <c r="AR70" s="166">
        <f t="shared" si="78"/>
        <v>0</v>
      </c>
      <c r="AS70" s="33">
        <f t="shared" si="79"/>
        <v>947.94143854263302</v>
      </c>
      <c r="AT70" s="167">
        <f t="shared" si="80"/>
        <v>66.355900697984325</v>
      </c>
      <c r="AU70" s="165">
        <v>0</v>
      </c>
      <c r="AV70" s="166">
        <f t="shared" si="81"/>
        <v>0</v>
      </c>
      <c r="AW70" s="33">
        <f t="shared" si="82"/>
        <v>1214.2973392406172</v>
      </c>
      <c r="AX70" s="167">
        <f t="shared" si="83"/>
        <v>85.000813746843221</v>
      </c>
      <c r="AY70" s="165">
        <v>0</v>
      </c>
      <c r="AZ70" s="166">
        <f t="shared" si="84"/>
        <v>0</v>
      </c>
      <c r="BA70" s="33">
        <f t="shared" si="85"/>
        <v>1499.2981529874605</v>
      </c>
      <c r="BB70" s="167">
        <f t="shared" si="86"/>
        <v>104.95087070912224</v>
      </c>
      <c r="BC70" s="165">
        <v>0</v>
      </c>
      <c r="BD70" s="166">
        <f t="shared" si="87"/>
        <v>0</v>
      </c>
      <c r="BE70" s="33">
        <f t="shared" si="88"/>
        <v>1804.2490236965828</v>
      </c>
      <c r="BF70" s="167">
        <f t="shared" si="89"/>
        <v>126.2974316587608</v>
      </c>
      <c r="BG70" s="165">
        <v>0</v>
      </c>
      <c r="BH70" s="166">
        <f t="shared" si="90"/>
        <v>0</v>
      </c>
      <c r="BI70" s="33">
        <f t="shared" si="91"/>
        <v>2130.5464553553434</v>
      </c>
      <c r="BJ70" s="167">
        <f t="shared" si="92"/>
        <v>149.13825187487404</v>
      </c>
      <c r="BK70" s="87">
        <f t="shared" si="93"/>
        <v>2100</v>
      </c>
      <c r="BL70" s="33">
        <f>'2021-2022 (B)'!AV70+'2022-2023'!BK70</f>
        <v>12450</v>
      </c>
    </row>
    <row r="71" spans="1:64">
      <c r="A71" s="10" t="s">
        <v>642</v>
      </c>
      <c r="B71" s="10" t="s">
        <v>153</v>
      </c>
      <c r="C71" s="80">
        <v>0</v>
      </c>
      <c r="D71" s="79">
        <f t="shared" si="47"/>
        <v>2400</v>
      </c>
      <c r="E71" s="78">
        <f>'2021-2022 (B)'!E71</f>
        <v>4100</v>
      </c>
      <c r="F71" s="187">
        <f t="shared" si="48"/>
        <v>2400</v>
      </c>
      <c r="G71" s="159">
        <f t="shared" si="49"/>
        <v>0</v>
      </c>
      <c r="H71" s="190">
        <f t="shared" si="50"/>
        <v>2400</v>
      </c>
      <c r="I71" s="78">
        <f t="shared" si="51"/>
        <v>12042.226986987514</v>
      </c>
      <c r="J71" s="78">
        <f t="shared" si="52"/>
        <v>0</v>
      </c>
      <c r="K71" s="78">
        <f t="shared" si="53"/>
        <v>0</v>
      </c>
      <c r="L71" s="78">
        <f t="shared" si="54"/>
        <v>5542.2269869875145</v>
      </c>
      <c r="M71" s="194">
        <f t="shared" si="55"/>
        <v>5542.2269869875145</v>
      </c>
      <c r="N71" s="78">
        <f t="shared" si="56"/>
        <v>-5542.2269869875145</v>
      </c>
      <c r="O71" s="165">
        <v>0</v>
      </c>
      <c r="P71" s="166">
        <f t="shared" si="57"/>
        <v>0</v>
      </c>
      <c r="Q71" s="119">
        <f t="shared" si="58"/>
        <v>4300</v>
      </c>
      <c r="R71" s="167">
        <f t="shared" si="59"/>
        <v>236.5</v>
      </c>
      <c r="S71" s="165">
        <v>0</v>
      </c>
      <c r="T71" s="166">
        <f t="shared" si="60"/>
        <v>0</v>
      </c>
      <c r="U71" s="33">
        <f t="shared" si="61"/>
        <v>4736.5</v>
      </c>
      <c r="V71" s="167">
        <f t="shared" si="62"/>
        <v>260.50749999999999</v>
      </c>
      <c r="W71" s="165">
        <v>0</v>
      </c>
      <c r="X71" s="166">
        <f t="shared" si="63"/>
        <v>0</v>
      </c>
      <c r="Y71" s="33">
        <f t="shared" si="64"/>
        <v>5197.0074999999997</v>
      </c>
      <c r="Z71" s="167">
        <f t="shared" si="65"/>
        <v>285.83541249999996</v>
      </c>
      <c r="AA71" s="165">
        <v>0</v>
      </c>
      <c r="AB71" s="166">
        <f t="shared" si="66"/>
        <v>0</v>
      </c>
      <c r="AC71" s="33">
        <f t="shared" si="67"/>
        <v>5682.8429124999993</v>
      </c>
      <c r="AD71" s="167">
        <f t="shared" si="68"/>
        <v>312.55636018749999</v>
      </c>
      <c r="AE71" s="165">
        <v>0</v>
      </c>
      <c r="AF71" s="166">
        <f t="shared" si="69"/>
        <v>0</v>
      </c>
      <c r="AG71" s="33">
        <f t="shared" si="70"/>
        <v>6195.3992726874994</v>
      </c>
      <c r="AH71" s="167">
        <f t="shared" si="71"/>
        <v>340.7469599978125</v>
      </c>
      <c r="AI71" s="165">
        <v>0</v>
      </c>
      <c r="AJ71" s="166">
        <f t="shared" si="72"/>
        <v>0</v>
      </c>
      <c r="AK71" s="33">
        <f t="shared" si="73"/>
        <v>6736.1462326853116</v>
      </c>
      <c r="AL71" s="167">
        <f t="shared" si="74"/>
        <v>370.48804279769212</v>
      </c>
      <c r="AM71" s="165">
        <v>0</v>
      </c>
      <c r="AN71" s="166">
        <f t="shared" si="75"/>
        <v>0</v>
      </c>
      <c r="AO71" s="33">
        <f t="shared" si="76"/>
        <v>7306.6342754830039</v>
      </c>
      <c r="AP71" s="167">
        <f t="shared" si="77"/>
        <v>401.8648851515652</v>
      </c>
      <c r="AQ71" s="165">
        <v>0</v>
      </c>
      <c r="AR71" s="166">
        <f t="shared" si="78"/>
        <v>0</v>
      </c>
      <c r="AS71" s="33">
        <f t="shared" si="79"/>
        <v>7908.4991606345693</v>
      </c>
      <c r="AT71" s="167">
        <f t="shared" si="80"/>
        <v>553.59494124441994</v>
      </c>
      <c r="AU71" s="165">
        <v>0</v>
      </c>
      <c r="AV71" s="166">
        <f t="shared" si="81"/>
        <v>0</v>
      </c>
      <c r="AW71" s="33">
        <f t="shared" si="82"/>
        <v>8662.094101878989</v>
      </c>
      <c r="AX71" s="167">
        <f t="shared" si="83"/>
        <v>606.3465871315293</v>
      </c>
      <c r="AY71" s="165">
        <v>0</v>
      </c>
      <c r="AZ71" s="166">
        <f t="shared" si="84"/>
        <v>0</v>
      </c>
      <c r="BA71" s="33">
        <f t="shared" si="85"/>
        <v>9468.4406890105183</v>
      </c>
      <c r="BB71" s="167">
        <f t="shared" si="86"/>
        <v>662.7908482307364</v>
      </c>
      <c r="BC71" s="165">
        <v>0</v>
      </c>
      <c r="BD71" s="166">
        <f t="shared" si="87"/>
        <v>0</v>
      </c>
      <c r="BE71" s="33">
        <f t="shared" si="88"/>
        <v>10331.231537241254</v>
      </c>
      <c r="BF71" s="167">
        <f t="shared" si="89"/>
        <v>723.18620760688782</v>
      </c>
      <c r="BG71" s="165">
        <v>0</v>
      </c>
      <c r="BH71" s="166">
        <f t="shared" si="90"/>
        <v>0</v>
      </c>
      <c r="BI71" s="33">
        <f t="shared" si="91"/>
        <v>11254.417744848142</v>
      </c>
      <c r="BJ71" s="167">
        <f t="shared" si="92"/>
        <v>787.80924213936999</v>
      </c>
      <c r="BK71" s="87">
        <f t="shared" si="93"/>
        <v>0</v>
      </c>
      <c r="BL71" s="33">
        <f>'2021-2022 (B)'!AV71+'2022-2023'!BK71</f>
        <v>4000</v>
      </c>
    </row>
    <row r="72" spans="1:64">
      <c r="A72" s="10" t="s">
        <v>643</v>
      </c>
      <c r="B72" s="10" t="s">
        <v>122</v>
      </c>
      <c r="C72" s="80">
        <v>0</v>
      </c>
      <c r="D72" s="79">
        <f t="shared" si="47"/>
        <v>2400</v>
      </c>
      <c r="E72" s="78">
        <f>'2021-2022 (B)'!E72</f>
        <v>7100</v>
      </c>
      <c r="F72" s="187">
        <f t="shared" si="48"/>
        <v>2400</v>
      </c>
      <c r="G72" s="159">
        <f t="shared" si="49"/>
        <v>0</v>
      </c>
      <c r="H72" s="190">
        <f t="shared" si="50"/>
        <v>2400</v>
      </c>
      <c r="I72" s="78">
        <f t="shared" si="51"/>
        <v>18163.015312171799</v>
      </c>
      <c r="J72" s="78">
        <f t="shared" si="52"/>
        <v>0</v>
      </c>
      <c r="K72" s="78">
        <f t="shared" si="53"/>
        <v>0</v>
      </c>
      <c r="L72" s="78">
        <f t="shared" si="54"/>
        <v>8663.0153121717995</v>
      </c>
      <c r="M72" s="194">
        <f t="shared" si="55"/>
        <v>8663.0153121717995</v>
      </c>
      <c r="N72" s="78">
        <f t="shared" si="56"/>
        <v>-8663.0153121717995</v>
      </c>
      <c r="O72" s="165">
        <v>0</v>
      </c>
      <c r="P72" s="166">
        <f t="shared" si="57"/>
        <v>0</v>
      </c>
      <c r="Q72" s="119">
        <f t="shared" si="58"/>
        <v>7300</v>
      </c>
      <c r="R72" s="167">
        <f t="shared" si="59"/>
        <v>401.5</v>
      </c>
      <c r="S72" s="165">
        <v>0</v>
      </c>
      <c r="T72" s="166">
        <f t="shared" si="60"/>
        <v>0</v>
      </c>
      <c r="U72" s="33">
        <f t="shared" si="61"/>
        <v>7901.5</v>
      </c>
      <c r="V72" s="167">
        <f t="shared" si="62"/>
        <v>434.58249999999998</v>
      </c>
      <c r="W72" s="165">
        <v>0</v>
      </c>
      <c r="X72" s="166">
        <f t="shared" si="63"/>
        <v>0</v>
      </c>
      <c r="Y72" s="33">
        <f t="shared" si="64"/>
        <v>8536.0825000000004</v>
      </c>
      <c r="Z72" s="167">
        <f t="shared" si="65"/>
        <v>469.48453750000004</v>
      </c>
      <c r="AA72" s="165">
        <v>0</v>
      </c>
      <c r="AB72" s="166">
        <f t="shared" si="66"/>
        <v>0</v>
      </c>
      <c r="AC72" s="33">
        <f t="shared" si="67"/>
        <v>9205.5670375000009</v>
      </c>
      <c r="AD72" s="167">
        <f t="shared" si="68"/>
        <v>506.30618706250004</v>
      </c>
      <c r="AE72" s="165">
        <v>0</v>
      </c>
      <c r="AF72" s="166">
        <f t="shared" si="69"/>
        <v>0</v>
      </c>
      <c r="AG72" s="33">
        <f t="shared" si="70"/>
        <v>9911.8732245625015</v>
      </c>
      <c r="AH72" s="167">
        <f t="shared" si="71"/>
        <v>545.15302735093758</v>
      </c>
      <c r="AI72" s="165">
        <v>0</v>
      </c>
      <c r="AJ72" s="166">
        <f t="shared" si="72"/>
        <v>0</v>
      </c>
      <c r="AK72" s="33">
        <f t="shared" si="73"/>
        <v>10657.026251913439</v>
      </c>
      <c r="AL72" s="167">
        <f t="shared" si="74"/>
        <v>586.13644385523912</v>
      </c>
      <c r="AM72" s="165">
        <v>0</v>
      </c>
      <c r="AN72" s="166">
        <f t="shared" si="75"/>
        <v>0</v>
      </c>
      <c r="AO72" s="33">
        <f t="shared" si="76"/>
        <v>11443.162695768679</v>
      </c>
      <c r="AP72" s="167">
        <f t="shared" si="77"/>
        <v>629.37394826727734</v>
      </c>
      <c r="AQ72" s="165">
        <v>0</v>
      </c>
      <c r="AR72" s="166">
        <f t="shared" si="78"/>
        <v>0</v>
      </c>
      <c r="AS72" s="33">
        <f t="shared" si="79"/>
        <v>12272.536644035956</v>
      </c>
      <c r="AT72" s="167">
        <f t="shared" si="80"/>
        <v>859.07756508251703</v>
      </c>
      <c r="AU72" s="165">
        <v>0</v>
      </c>
      <c r="AV72" s="166">
        <f t="shared" si="81"/>
        <v>0</v>
      </c>
      <c r="AW72" s="33">
        <f t="shared" si="82"/>
        <v>13331.614209118472</v>
      </c>
      <c r="AX72" s="167">
        <f t="shared" si="83"/>
        <v>933.21299463829314</v>
      </c>
      <c r="AY72" s="165">
        <v>0</v>
      </c>
      <c r="AZ72" s="166">
        <f t="shared" si="84"/>
        <v>0</v>
      </c>
      <c r="BA72" s="33">
        <f t="shared" si="85"/>
        <v>14464.827203756766</v>
      </c>
      <c r="BB72" s="167">
        <f t="shared" si="86"/>
        <v>1012.5379042629737</v>
      </c>
      <c r="BC72" s="165">
        <v>0</v>
      </c>
      <c r="BD72" s="166">
        <f t="shared" si="87"/>
        <v>0</v>
      </c>
      <c r="BE72" s="33">
        <f t="shared" si="88"/>
        <v>15677.36510801974</v>
      </c>
      <c r="BF72" s="167">
        <f t="shared" si="89"/>
        <v>1097.4155575613818</v>
      </c>
      <c r="BG72" s="165">
        <v>0</v>
      </c>
      <c r="BH72" s="166">
        <f t="shared" si="90"/>
        <v>0</v>
      </c>
      <c r="BI72" s="33">
        <f t="shared" si="91"/>
        <v>16974.780665581122</v>
      </c>
      <c r="BJ72" s="167">
        <f t="shared" si="92"/>
        <v>1188.2346465906787</v>
      </c>
      <c r="BK72" s="87">
        <f t="shared" si="93"/>
        <v>0</v>
      </c>
      <c r="BL72" s="33">
        <f>'2021-2022 (B)'!AV72+'2022-2023'!BK72</f>
        <v>1000</v>
      </c>
    </row>
    <row r="73" spans="1:64">
      <c r="A73" s="10" t="s">
        <v>644</v>
      </c>
      <c r="B73" s="10" t="s">
        <v>129</v>
      </c>
      <c r="C73" s="80">
        <v>0</v>
      </c>
      <c r="D73" s="79">
        <f t="shared" si="47"/>
        <v>2400</v>
      </c>
      <c r="E73" s="78">
        <f>'2021-2022 (B)'!E73</f>
        <v>200</v>
      </c>
      <c r="F73" s="187">
        <f t="shared" si="48"/>
        <v>2400</v>
      </c>
      <c r="G73" s="159">
        <f t="shared" si="49"/>
        <v>600</v>
      </c>
      <c r="H73" s="190">
        <f t="shared" si="50"/>
        <v>1800</v>
      </c>
      <c r="I73" s="78">
        <f t="shared" si="51"/>
        <v>3071.2572640027856</v>
      </c>
      <c r="J73" s="78">
        <f t="shared" si="52"/>
        <v>0</v>
      </c>
      <c r="K73" s="78">
        <f t="shared" si="53"/>
        <v>33</v>
      </c>
      <c r="L73" s="78">
        <f>R73+V73+Z73+AD73+AH73+AL73+AP73+AT73+AX73+BB73+BF73+BJ73</f>
        <v>1071.2572640027854</v>
      </c>
      <c r="M73" s="194">
        <f>L73</f>
        <v>1071.2572640027854</v>
      </c>
      <c r="N73" s="78">
        <f t="shared" si="56"/>
        <v>-438.2572640027854</v>
      </c>
      <c r="O73" s="165">
        <v>200</v>
      </c>
      <c r="P73" s="166">
        <f t="shared" si="57"/>
        <v>0</v>
      </c>
      <c r="Q73" s="119">
        <f t="shared" si="58"/>
        <v>400</v>
      </c>
      <c r="R73" s="167">
        <f t="shared" si="59"/>
        <v>11</v>
      </c>
      <c r="S73" s="165">
        <v>200</v>
      </c>
      <c r="T73" s="166">
        <f t="shared" si="60"/>
        <v>0</v>
      </c>
      <c r="U73" s="33">
        <f t="shared" si="61"/>
        <v>411</v>
      </c>
      <c r="V73" s="167">
        <f t="shared" si="62"/>
        <v>11.605</v>
      </c>
      <c r="W73" s="165">
        <v>200</v>
      </c>
      <c r="X73" s="166">
        <f t="shared" si="63"/>
        <v>0</v>
      </c>
      <c r="Y73" s="33">
        <f t="shared" si="64"/>
        <v>422.60500000000002</v>
      </c>
      <c r="Z73" s="167">
        <f>(Y73-W73)*0.055</f>
        <v>12.243275000000001</v>
      </c>
      <c r="AA73" s="165">
        <v>0</v>
      </c>
      <c r="AB73" s="166">
        <f t="shared" si="66"/>
        <v>0</v>
      </c>
      <c r="AC73" s="33">
        <f t="shared" si="67"/>
        <v>634.84827500000006</v>
      </c>
      <c r="AD73" s="167">
        <f t="shared" si="68"/>
        <v>34.916655125000005</v>
      </c>
      <c r="AE73" s="165">
        <v>0</v>
      </c>
      <c r="AF73" s="166">
        <f t="shared" si="69"/>
        <v>0</v>
      </c>
      <c r="AG73" s="33">
        <f t="shared" si="70"/>
        <v>869.76493012500009</v>
      </c>
      <c r="AH73" s="167">
        <f t="shared" si="71"/>
        <v>47.837071156875005</v>
      </c>
      <c r="AI73" s="165">
        <v>0</v>
      </c>
      <c r="AJ73" s="166">
        <f t="shared" si="72"/>
        <v>0</v>
      </c>
      <c r="AK73" s="33">
        <f t="shared" si="73"/>
        <v>1117.6020012818751</v>
      </c>
      <c r="AL73" s="167">
        <f t="shared" si="74"/>
        <v>61.46811007050313</v>
      </c>
      <c r="AM73" s="165">
        <v>0</v>
      </c>
      <c r="AN73" s="166">
        <f t="shared" si="75"/>
        <v>0</v>
      </c>
      <c r="AO73" s="33">
        <f t="shared" si="76"/>
        <v>1379.0701113523783</v>
      </c>
      <c r="AP73" s="167">
        <f t="shared" si="77"/>
        <v>75.848856124380802</v>
      </c>
      <c r="AQ73" s="165">
        <v>0</v>
      </c>
      <c r="AR73" s="166">
        <f t="shared" si="78"/>
        <v>0</v>
      </c>
      <c r="AS73" s="33">
        <f t="shared" si="79"/>
        <v>1654.918967476759</v>
      </c>
      <c r="AT73" s="167">
        <f t="shared" si="80"/>
        <v>115.84432772337314</v>
      </c>
      <c r="AU73" s="165">
        <v>0</v>
      </c>
      <c r="AV73" s="166">
        <f t="shared" si="81"/>
        <v>0</v>
      </c>
      <c r="AW73" s="33">
        <f t="shared" si="82"/>
        <v>1970.7632952001322</v>
      </c>
      <c r="AX73" s="167">
        <f t="shared" si="83"/>
        <v>137.95343066400926</v>
      </c>
      <c r="AY73" s="165">
        <v>0</v>
      </c>
      <c r="AZ73" s="166">
        <f t="shared" si="84"/>
        <v>0</v>
      </c>
      <c r="BA73" s="33">
        <f t="shared" si="85"/>
        <v>2308.7167258641416</v>
      </c>
      <c r="BB73" s="167">
        <f t="shared" si="86"/>
        <v>161.61017081048993</v>
      </c>
      <c r="BC73" s="165">
        <v>0</v>
      </c>
      <c r="BD73" s="166">
        <f t="shared" si="87"/>
        <v>0</v>
      </c>
      <c r="BE73" s="33">
        <f t="shared" si="88"/>
        <v>2670.3268966746314</v>
      </c>
      <c r="BF73" s="167">
        <f t="shared" si="89"/>
        <v>186.92288276722422</v>
      </c>
      <c r="BG73" s="165">
        <v>0</v>
      </c>
      <c r="BH73" s="166">
        <f t="shared" si="90"/>
        <v>0</v>
      </c>
      <c r="BI73" s="33">
        <f t="shared" si="91"/>
        <v>3057.2497794418555</v>
      </c>
      <c r="BJ73" s="167">
        <f t="shared" si="92"/>
        <v>214.0074845609299</v>
      </c>
      <c r="BK73" s="87">
        <f t="shared" si="93"/>
        <v>600</v>
      </c>
      <c r="BL73" s="33">
        <f>'2021-2022 (B)'!AV73+'2022-2023'!BK73</f>
        <v>10100</v>
      </c>
    </row>
    <row r="74" spans="1:64">
      <c r="A74" s="10" t="s">
        <v>645</v>
      </c>
      <c r="B74" s="10" t="s">
        <v>130</v>
      </c>
      <c r="C74" s="80">
        <v>0</v>
      </c>
      <c r="D74" s="79">
        <f t="shared" si="47"/>
        <v>2400</v>
      </c>
      <c r="E74" s="78">
        <f>'2021-2022 (B)'!E74</f>
        <v>2584.85</v>
      </c>
      <c r="F74" s="187">
        <f t="shared" si="48"/>
        <v>2400</v>
      </c>
      <c r="G74" s="159">
        <f t="shared" si="49"/>
        <v>0</v>
      </c>
      <c r="H74" s="190">
        <f t="shared" si="50"/>
        <v>2400</v>
      </c>
      <c r="I74" s="78">
        <f t="shared" si="51"/>
        <v>8950.9228433531916</v>
      </c>
      <c r="J74" s="78">
        <f t="shared" si="52"/>
        <v>0</v>
      </c>
      <c r="K74" s="78">
        <f t="shared" si="53"/>
        <v>0</v>
      </c>
      <c r="L74" s="78">
        <f t="shared" si="54"/>
        <v>3966.0728433531908</v>
      </c>
      <c r="M74" s="194">
        <f t="shared" si="55"/>
        <v>3966.0728433531908</v>
      </c>
      <c r="N74" s="78">
        <f t="shared" si="56"/>
        <v>-3966.0728433531908</v>
      </c>
      <c r="O74" s="165">
        <v>0</v>
      </c>
      <c r="P74" s="166">
        <f t="shared" si="57"/>
        <v>0</v>
      </c>
      <c r="Q74" s="119">
        <f t="shared" si="58"/>
        <v>2784.85</v>
      </c>
      <c r="R74" s="167">
        <f t="shared" si="59"/>
        <v>153.16675000000001</v>
      </c>
      <c r="S74" s="165">
        <v>0</v>
      </c>
      <c r="T74" s="166">
        <f t="shared" si="60"/>
        <v>0</v>
      </c>
      <c r="U74" s="33">
        <f t="shared" si="61"/>
        <v>3138.0167499999998</v>
      </c>
      <c r="V74" s="167">
        <f t="shared" si="62"/>
        <v>172.59092124999998</v>
      </c>
      <c r="W74" s="165">
        <v>0</v>
      </c>
      <c r="X74" s="166">
        <f t="shared" si="63"/>
        <v>0</v>
      </c>
      <c r="Y74" s="33">
        <f t="shared" si="64"/>
        <v>3510.6076712499998</v>
      </c>
      <c r="Z74" s="167">
        <f t="shared" si="65"/>
        <v>193.08342191874999</v>
      </c>
      <c r="AA74" s="165">
        <v>0</v>
      </c>
      <c r="AB74" s="166">
        <f t="shared" si="66"/>
        <v>0</v>
      </c>
      <c r="AC74" s="33">
        <f t="shared" si="67"/>
        <v>3903.6910931687498</v>
      </c>
      <c r="AD74" s="167">
        <f t="shared" si="68"/>
        <v>214.70301012428123</v>
      </c>
      <c r="AE74" s="165">
        <v>0</v>
      </c>
      <c r="AF74" s="166">
        <f t="shared" si="69"/>
        <v>0</v>
      </c>
      <c r="AG74" s="33">
        <f t="shared" si="70"/>
        <v>4318.3941032930306</v>
      </c>
      <c r="AH74" s="167">
        <f t="shared" si="71"/>
        <v>237.51167568111669</v>
      </c>
      <c r="AI74" s="165">
        <v>0</v>
      </c>
      <c r="AJ74" s="166">
        <f t="shared" si="72"/>
        <v>0</v>
      </c>
      <c r="AK74" s="33">
        <f t="shared" si="73"/>
        <v>4755.9057789741473</v>
      </c>
      <c r="AL74" s="167">
        <f t="shared" si="74"/>
        <v>261.5748178435781</v>
      </c>
      <c r="AM74" s="165">
        <v>0</v>
      </c>
      <c r="AN74" s="166">
        <f t="shared" si="75"/>
        <v>0</v>
      </c>
      <c r="AO74" s="33">
        <f t="shared" si="76"/>
        <v>5217.4805968177252</v>
      </c>
      <c r="AP74" s="167">
        <f t="shared" si="77"/>
        <v>286.96143282497491</v>
      </c>
      <c r="AQ74" s="165">
        <v>0</v>
      </c>
      <c r="AR74" s="166">
        <f t="shared" si="78"/>
        <v>0</v>
      </c>
      <c r="AS74" s="33">
        <f t="shared" si="79"/>
        <v>5704.4420296426997</v>
      </c>
      <c r="AT74" s="167">
        <f t="shared" si="80"/>
        <v>399.31094207498904</v>
      </c>
      <c r="AU74" s="165">
        <v>0</v>
      </c>
      <c r="AV74" s="166">
        <f t="shared" si="81"/>
        <v>0</v>
      </c>
      <c r="AW74" s="33">
        <f t="shared" si="82"/>
        <v>6303.7529717176885</v>
      </c>
      <c r="AX74" s="167">
        <f t="shared" si="83"/>
        <v>441.26270802023822</v>
      </c>
      <c r="AY74" s="165">
        <v>0</v>
      </c>
      <c r="AZ74" s="166">
        <f t="shared" si="84"/>
        <v>0</v>
      </c>
      <c r="BA74" s="33">
        <f t="shared" si="85"/>
        <v>6945.0156797379268</v>
      </c>
      <c r="BB74" s="167">
        <f t="shared" si="86"/>
        <v>486.15109758165494</v>
      </c>
      <c r="BC74" s="165">
        <v>0</v>
      </c>
      <c r="BD74" s="166">
        <f t="shared" si="87"/>
        <v>0</v>
      </c>
      <c r="BE74" s="33">
        <f t="shared" si="88"/>
        <v>7631.1667773195813</v>
      </c>
      <c r="BF74" s="167">
        <f t="shared" si="89"/>
        <v>534.18167441237074</v>
      </c>
      <c r="BG74" s="165">
        <v>0</v>
      </c>
      <c r="BH74" s="166">
        <f t="shared" si="90"/>
        <v>0</v>
      </c>
      <c r="BI74" s="33">
        <f t="shared" si="91"/>
        <v>8365.3484517319521</v>
      </c>
      <c r="BJ74" s="167">
        <f t="shared" si="92"/>
        <v>585.57439162123671</v>
      </c>
      <c r="BK74" s="87">
        <f t="shared" si="93"/>
        <v>0</v>
      </c>
      <c r="BL74" s="33">
        <f>'2021-2022 (B)'!AV74+'2022-2023'!BK74</f>
        <v>5515.15</v>
      </c>
    </row>
    <row r="75" spans="1:64">
      <c r="A75" s="10" t="s">
        <v>646</v>
      </c>
      <c r="B75" s="10" t="s">
        <v>125</v>
      </c>
      <c r="C75" s="80">
        <v>0</v>
      </c>
      <c r="D75" s="79">
        <f t="shared" si="47"/>
        <v>2400</v>
      </c>
      <c r="E75" s="78">
        <f>'2021-2022 (B)'!E75</f>
        <v>2600</v>
      </c>
      <c r="F75" s="187">
        <f t="shared" si="48"/>
        <v>2400</v>
      </c>
      <c r="G75" s="159">
        <f t="shared" si="49"/>
        <v>1000</v>
      </c>
      <c r="H75" s="190">
        <f t="shared" si="50"/>
        <v>1400</v>
      </c>
      <c r="I75" s="78">
        <f t="shared" si="51"/>
        <v>7110.427279450214</v>
      </c>
      <c r="J75" s="78">
        <f t="shared" si="52"/>
        <v>0</v>
      </c>
      <c r="K75" s="78">
        <f t="shared" si="53"/>
        <v>55</v>
      </c>
      <c r="L75" s="78">
        <f t="shared" si="54"/>
        <v>3110.4272794502144</v>
      </c>
      <c r="M75" s="194">
        <f t="shared" si="55"/>
        <v>3110.4272794502144</v>
      </c>
      <c r="N75" s="78">
        <f t="shared" si="56"/>
        <v>-2055.4272794502144</v>
      </c>
      <c r="O75" s="165">
        <v>0</v>
      </c>
      <c r="P75" s="166">
        <f t="shared" si="57"/>
        <v>0</v>
      </c>
      <c r="Q75" s="119">
        <f t="shared" si="58"/>
        <v>2800</v>
      </c>
      <c r="R75" s="167">
        <f t="shared" si="59"/>
        <v>154</v>
      </c>
      <c r="S75" s="165">
        <v>0</v>
      </c>
      <c r="T75" s="166">
        <f t="shared" si="60"/>
        <v>0</v>
      </c>
      <c r="U75" s="33">
        <f t="shared" si="61"/>
        <v>3154</v>
      </c>
      <c r="V75" s="167">
        <f t="shared" si="62"/>
        <v>173.47</v>
      </c>
      <c r="W75" s="165">
        <v>800</v>
      </c>
      <c r="X75" s="166">
        <f t="shared" si="63"/>
        <v>0</v>
      </c>
      <c r="Y75" s="33">
        <f t="shared" si="64"/>
        <v>2727.47</v>
      </c>
      <c r="Z75" s="167">
        <f t="shared" si="65"/>
        <v>106.01084999999999</v>
      </c>
      <c r="AA75" s="165">
        <v>0</v>
      </c>
      <c r="AB75" s="166">
        <f t="shared" si="66"/>
        <v>0</v>
      </c>
      <c r="AC75" s="33">
        <f t="shared" si="67"/>
        <v>3033.4808499999999</v>
      </c>
      <c r="AD75" s="167">
        <f t="shared" si="68"/>
        <v>166.84144674999999</v>
      </c>
      <c r="AE75" s="165">
        <v>0</v>
      </c>
      <c r="AF75" s="166">
        <f t="shared" si="69"/>
        <v>0</v>
      </c>
      <c r="AG75" s="33">
        <f t="shared" si="70"/>
        <v>3400.3222967500001</v>
      </c>
      <c r="AH75" s="167">
        <f t="shared" si="71"/>
        <v>187.01772632125</v>
      </c>
      <c r="AI75" s="165">
        <v>200</v>
      </c>
      <c r="AJ75" s="166">
        <f t="shared" si="72"/>
        <v>0</v>
      </c>
      <c r="AK75" s="33">
        <f t="shared" si="73"/>
        <v>3587.34002307125</v>
      </c>
      <c r="AL75" s="167">
        <f t="shared" si="74"/>
        <v>186.30370126891876</v>
      </c>
      <c r="AM75" s="165">
        <v>0</v>
      </c>
      <c r="AN75" s="166">
        <f t="shared" si="75"/>
        <v>0</v>
      </c>
      <c r="AO75" s="33">
        <f t="shared" si="76"/>
        <v>3973.6437243401688</v>
      </c>
      <c r="AP75" s="167">
        <f t="shared" si="77"/>
        <v>218.55040483870928</v>
      </c>
      <c r="AQ75" s="165">
        <v>0</v>
      </c>
      <c r="AR75" s="166">
        <f t="shared" si="78"/>
        <v>0</v>
      </c>
      <c r="AS75" s="33">
        <f t="shared" si="79"/>
        <v>4392.194129178878</v>
      </c>
      <c r="AT75" s="167">
        <f t="shared" si="80"/>
        <v>307.45358904252151</v>
      </c>
      <c r="AU75" s="165">
        <v>0</v>
      </c>
      <c r="AV75" s="166">
        <f t="shared" si="81"/>
        <v>0</v>
      </c>
      <c r="AW75" s="33">
        <f t="shared" si="82"/>
        <v>4899.6477182213994</v>
      </c>
      <c r="AX75" s="167">
        <f t="shared" si="83"/>
        <v>342.97534027549801</v>
      </c>
      <c r="AY75" s="165">
        <v>0</v>
      </c>
      <c r="AZ75" s="166">
        <f t="shared" si="84"/>
        <v>0</v>
      </c>
      <c r="BA75" s="33">
        <f t="shared" si="85"/>
        <v>5442.6230584968971</v>
      </c>
      <c r="BB75" s="167">
        <f t="shared" si="86"/>
        <v>380.98361409478281</v>
      </c>
      <c r="BC75" s="165">
        <v>0</v>
      </c>
      <c r="BD75" s="166">
        <f t="shared" si="87"/>
        <v>0</v>
      </c>
      <c r="BE75" s="33">
        <f t="shared" si="88"/>
        <v>6023.6066725916799</v>
      </c>
      <c r="BF75" s="167">
        <f t="shared" si="89"/>
        <v>421.65246708141763</v>
      </c>
      <c r="BG75" s="165">
        <v>0</v>
      </c>
      <c r="BH75" s="166">
        <f t="shared" si="90"/>
        <v>0</v>
      </c>
      <c r="BI75" s="33">
        <f t="shared" si="91"/>
        <v>6645.2591396730977</v>
      </c>
      <c r="BJ75" s="167">
        <f t="shared" si="92"/>
        <v>465.16813977711689</v>
      </c>
      <c r="BK75" s="87">
        <f t="shared" si="93"/>
        <v>1000</v>
      </c>
      <c r="BL75" s="33">
        <f>'2021-2022 (B)'!AV75+'2022-2023'!BK75</f>
        <v>6700</v>
      </c>
    </row>
    <row r="76" spans="1:64">
      <c r="A76" s="10" t="s">
        <v>647</v>
      </c>
      <c r="B76" s="10" t="s">
        <v>131</v>
      </c>
      <c r="C76" s="80">
        <v>0</v>
      </c>
      <c r="D76" s="79">
        <f t="shared" si="47"/>
        <v>2400</v>
      </c>
      <c r="E76" s="78">
        <f>'2021-2022 (B)'!E76</f>
        <v>5800</v>
      </c>
      <c r="F76" s="187">
        <f t="shared" si="48"/>
        <v>2400</v>
      </c>
      <c r="G76" s="159">
        <f t="shared" si="49"/>
        <v>0</v>
      </c>
      <c r="H76" s="190">
        <f t="shared" si="50"/>
        <v>2400</v>
      </c>
      <c r="I76" s="78">
        <f t="shared" si="51"/>
        <v>15510.67370459194</v>
      </c>
      <c r="J76" s="78">
        <f t="shared" si="52"/>
        <v>0</v>
      </c>
      <c r="K76" s="78">
        <f t="shared" si="53"/>
        <v>0</v>
      </c>
      <c r="L76" s="78">
        <f t="shared" si="54"/>
        <v>7310.6737045919408</v>
      </c>
      <c r="M76" s="194">
        <f t="shared" si="55"/>
        <v>7310.6737045919408</v>
      </c>
      <c r="N76" s="78">
        <f t="shared" si="56"/>
        <v>-7310.6737045919408</v>
      </c>
      <c r="O76" s="165">
        <v>0</v>
      </c>
      <c r="P76" s="166">
        <f t="shared" si="57"/>
        <v>0</v>
      </c>
      <c r="Q76" s="119">
        <f t="shared" si="58"/>
        <v>6000</v>
      </c>
      <c r="R76" s="167">
        <f t="shared" si="59"/>
        <v>330</v>
      </c>
      <c r="S76" s="165">
        <v>0</v>
      </c>
      <c r="T76" s="166">
        <f t="shared" si="60"/>
        <v>0</v>
      </c>
      <c r="U76" s="33">
        <f t="shared" si="61"/>
        <v>6530</v>
      </c>
      <c r="V76" s="167">
        <f t="shared" si="62"/>
        <v>359.15</v>
      </c>
      <c r="W76" s="165">
        <v>0</v>
      </c>
      <c r="X76" s="166">
        <f t="shared" si="63"/>
        <v>0</v>
      </c>
      <c r="Y76" s="33">
        <f t="shared" si="64"/>
        <v>7089.15</v>
      </c>
      <c r="Z76" s="167">
        <f t="shared" si="65"/>
        <v>389.90324999999996</v>
      </c>
      <c r="AA76" s="165">
        <v>0</v>
      </c>
      <c r="AB76" s="166">
        <f t="shared" si="66"/>
        <v>0</v>
      </c>
      <c r="AC76" s="33">
        <f t="shared" si="67"/>
        <v>7679.0532499999999</v>
      </c>
      <c r="AD76" s="167">
        <f t="shared" si="68"/>
        <v>422.34792874999999</v>
      </c>
      <c r="AE76" s="165">
        <v>0</v>
      </c>
      <c r="AF76" s="166">
        <f t="shared" si="69"/>
        <v>0</v>
      </c>
      <c r="AG76" s="33">
        <f t="shared" si="70"/>
        <v>8301.4011787500003</v>
      </c>
      <c r="AH76" s="167">
        <f t="shared" si="71"/>
        <v>456.57706483125003</v>
      </c>
      <c r="AI76" s="165">
        <v>0</v>
      </c>
      <c r="AJ76" s="166">
        <f t="shared" si="72"/>
        <v>0</v>
      </c>
      <c r="AK76" s="33">
        <f t="shared" si="73"/>
        <v>8957.9782435812504</v>
      </c>
      <c r="AL76" s="167">
        <f t="shared" si="74"/>
        <v>492.68880339696875</v>
      </c>
      <c r="AM76" s="165">
        <v>0</v>
      </c>
      <c r="AN76" s="166">
        <f t="shared" si="75"/>
        <v>0</v>
      </c>
      <c r="AO76" s="33">
        <f t="shared" si="76"/>
        <v>9650.6670469782184</v>
      </c>
      <c r="AP76" s="167">
        <f t="shared" si="77"/>
        <v>530.78668758380206</v>
      </c>
      <c r="AQ76" s="165">
        <v>0</v>
      </c>
      <c r="AR76" s="166">
        <f t="shared" si="78"/>
        <v>0</v>
      </c>
      <c r="AS76" s="33">
        <f t="shared" si="79"/>
        <v>10381.453734562021</v>
      </c>
      <c r="AT76" s="167">
        <f t="shared" si="80"/>
        <v>726.70176141934155</v>
      </c>
      <c r="AU76" s="165">
        <v>0</v>
      </c>
      <c r="AV76" s="166">
        <f t="shared" si="81"/>
        <v>0</v>
      </c>
      <c r="AW76" s="33">
        <f t="shared" si="82"/>
        <v>11308.155495981362</v>
      </c>
      <c r="AX76" s="167">
        <f t="shared" si="83"/>
        <v>791.57088471869542</v>
      </c>
      <c r="AY76" s="165">
        <v>0</v>
      </c>
      <c r="AZ76" s="166">
        <f t="shared" si="84"/>
        <v>0</v>
      </c>
      <c r="BA76" s="33">
        <f t="shared" si="85"/>
        <v>12299.726380700058</v>
      </c>
      <c r="BB76" s="167">
        <f t="shared" si="86"/>
        <v>860.98084664900421</v>
      </c>
      <c r="BC76" s="165">
        <v>0</v>
      </c>
      <c r="BD76" s="166">
        <f t="shared" si="87"/>
        <v>0</v>
      </c>
      <c r="BE76" s="33">
        <f t="shared" si="88"/>
        <v>13360.707227349063</v>
      </c>
      <c r="BF76" s="167">
        <f t="shared" si="89"/>
        <v>935.24950591443451</v>
      </c>
      <c r="BG76" s="165">
        <v>0</v>
      </c>
      <c r="BH76" s="166">
        <f t="shared" si="90"/>
        <v>0</v>
      </c>
      <c r="BI76" s="33">
        <f t="shared" si="91"/>
        <v>14495.956733263498</v>
      </c>
      <c r="BJ76" s="167">
        <f t="shared" si="92"/>
        <v>1014.716971328445</v>
      </c>
      <c r="BK76" s="87">
        <f t="shared" si="93"/>
        <v>0</v>
      </c>
      <c r="BL76" s="33">
        <f>'2021-2022 (B)'!AV76+'2022-2023'!BK76</f>
        <v>2300</v>
      </c>
    </row>
    <row r="77" spans="1:64">
      <c r="A77" s="10" t="s">
        <v>648</v>
      </c>
      <c r="B77" s="10" t="s">
        <v>116</v>
      </c>
      <c r="C77" s="80">
        <v>0</v>
      </c>
      <c r="D77" s="79">
        <f t="shared" si="47"/>
        <v>2400</v>
      </c>
      <c r="E77" s="78">
        <f>'2021-2022 (B)'!E77</f>
        <v>7700</v>
      </c>
      <c r="F77" s="187">
        <f t="shared" si="48"/>
        <v>2400</v>
      </c>
      <c r="G77" s="159">
        <f t="shared" si="49"/>
        <v>0</v>
      </c>
      <c r="H77" s="190">
        <f t="shared" si="50"/>
        <v>2400</v>
      </c>
      <c r="I77" s="78">
        <f t="shared" si="51"/>
        <v>19387.172977208655</v>
      </c>
      <c r="J77" s="78">
        <f t="shared" si="52"/>
        <v>0</v>
      </c>
      <c r="K77" s="78">
        <f t="shared" si="53"/>
        <v>0</v>
      </c>
      <c r="L77" s="78">
        <f t="shared" si="54"/>
        <v>9287.1729772086546</v>
      </c>
      <c r="M77" s="194">
        <f t="shared" si="55"/>
        <v>9287.1729772086546</v>
      </c>
      <c r="N77" s="78">
        <f t="shared" si="56"/>
        <v>-9287.1729772086546</v>
      </c>
      <c r="O77" s="165">
        <v>0</v>
      </c>
      <c r="P77" s="166">
        <f t="shared" si="57"/>
        <v>0</v>
      </c>
      <c r="Q77" s="119">
        <f t="shared" si="58"/>
        <v>7900</v>
      </c>
      <c r="R77" s="167">
        <f t="shared" si="59"/>
        <v>434.5</v>
      </c>
      <c r="S77" s="165">
        <v>0</v>
      </c>
      <c r="T77" s="166">
        <f t="shared" si="60"/>
        <v>0</v>
      </c>
      <c r="U77" s="33">
        <f t="shared" si="61"/>
        <v>8534.5</v>
      </c>
      <c r="V77" s="167">
        <f t="shared" si="62"/>
        <v>469.39749999999998</v>
      </c>
      <c r="W77" s="165">
        <v>0</v>
      </c>
      <c r="X77" s="166">
        <f t="shared" si="63"/>
        <v>0</v>
      </c>
      <c r="Y77" s="33">
        <f t="shared" si="64"/>
        <v>9203.8974999999991</v>
      </c>
      <c r="Z77" s="167">
        <f t="shared" si="65"/>
        <v>506.21436249999994</v>
      </c>
      <c r="AA77" s="165">
        <v>0</v>
      </c>
      <c r="AB77" s="166">
        <f t="shared" si="66"/>
        <v>0</v>
      </c>
      <c r="AC77" s="33">
        <f t="shared" si="67"/>
        <v>9910.1118624999999</v>
      </c>
      <c r="AD77" s="167">
        <f t="shared" si="68"/>
        <v>545.05615243750003</v>
      </c>
      <c r="AE77" s="165">
        <v>0</v>
      </c>
      <c r="AF77" s="166">
        <f t="shared" si="69"/>
        <v>0</v>
      </c>
      <c r="AG77" s="33">
        <f t="shared" si="70"/>
        <v>10655.168014937501</v>
      </c>
      <c r="AH77" s="167">
        <f t="shared" si="71"/>
        <v>586.03424082156255</v>
      </c>
      <c r="AI77" s="165">
        <v>0</v>
      </c>
      <c r="AJ77" s="166">
        <f t="shared" si="72"/>
        <v>0</v>
      </c>
      <c r="AK77" s="33">
        <f t="shared" si="73"/>
        <v>11441.202255759063</v>
      </c>
      <c r="AL77" s="167">
        <f t="shared" si="74"/>
        <v>629.26612406674849</v>
      </c>
      <c r="AM77" s="165">
        <v>0</v>
      </c>
      <c r="AN77" s="166">
        <f t="shared" si="75"/>
        <v>0</v>
      </c>
      <c r="AO77" s="33">
        <f t="shared" si="76"/>
        <v>12270.468379825812</v>
      </c>
      <c r="AP77" s="167">
        <f t="shared" si="77"/>
        <v>674.87576089041966</v>
      </c>
      <c r="AQ77" s="165">
        <v>0</v>
      </c>
      <c r="AR77" s="166">
        <f t="shared" si="78"/>
        <v>0</v>
      </c>
      <c r="AS77" s="33">
        <f t="shared" si="79"/>
        <v>13145.344140716232</v>
      </c>
      <c r="AT77" s="167">
        <f t="shared" si="80"/>
        <v>920.17408985013628</v>
      </c>
      <c r="AU77" s="165">
        <v>0</v>
      </c>
      <c r="AV77" s="166">
        <f t="shared" si="81"/>
        <v>0</v>
      </c>
      <c r="AW77" s="33">
        <f t="shared" si="82"/>
        <v>14265.518230566367</v>
      </c>
      <c r="AX77" s="167">
        <f t="shared" si="83"/>
        <v>998.58627613964586</v>
      </c>
      <c r="AY77" s="165">
        <v>0</v>
      </c>
      <c r="AZ77" s="166">
        <f t="shared" si="84"/>
        <v>0</v>
      </c>
      <c r="BA77" s="33">
        <f t="shared" si="85"/>
        <v>15464.104506706013</v>
      </c>
      <c r="BB77" s="167">
        <f t="shared" si="86"/>
        <v>1082.487315469421</v>
      </c>
      <c r="BC77" s="165">
        <v>0</v>
      </c>
      <c r="BD77" s="166">
        <f t="shared" si="87"/>
        <v>0</v>
      </c>
      <c r="BE77" s="33">
        <f t="shared" si="88"/>
        <v>16746.591822175433</v>
      </c>
      <c r="BF77" s="167">
        <f t="shared" si="89"/>
        <v>1172.2614275522803</v>
      </c>
      <c r="BG77" s="165">
        <v>0</v>
      </c>
      <c r="BH77" s="166">
        <f t="shared" si="90"/>
        <v>0</v>
      </c>
      <c r="BI77" s="33">
        <f t="shared" si="91"/>
        <v>18118.853249727712</v>
      </c>
      <c r="BJ77" s="167">
        <f t="shared" si="92"/>
        <v>1268.3197274809399</v>
      </c>
      <c r="BK77" s="87">
        <f t="shared" si="93"/>
        <v>0</v>
      </c>
      <c r="BL77" s="33">
        <f>'2021-2022 (B)'!AV77+'2022-2023'!BK77</f>
        <v>300</v>
      </c>
    </row>
    <row r="78" spans="1:64">
      <c r="A78" s="10" t="s">
        <v>649</v>
      </c>
      <c r="B78" s="10" t="s">
        <v>132</v>
      </c>
      <c r="C78" s="80">
        <v>0</v>
      </c>
      <c r="D78" s="79">
        <f t="shared" si="47"/>
        <v>2400</v>
      </c>
      <c r="E78" s="78">
        <f>'2021-2022 (B)'!E78</f>
        <v>3500</v>
      </c>
      <c r="F78" s="187">
        <f t="shared" si="48"/>
        <v>2400</v>
      </c>
      <c r="G78" s="159">
        <f t="shared" si="49"/>
        <v>0</v>
      </c>
      <c r="H78" s="190">
        <f t="shared" si="50"/>
        <v>2400</v>
      </c>
      <c r="I78" s="78">
        <f t="shared" si="51"/>
        <v>10818.069321950657</v>
      </c>
      <c r="J78" s="78">
        <f t="shared" si="52"/>
        <v>0</v>
      </c>
      <c r="K78" s="78">
        <f t="shared" si="53"/>
        <v>0</v>
      </c>
      <c r="L78" s="78">
        <f t="shared" si="54"/>
        <v>4918.0693219506575</v>
      </c>
      <c r="M78" s="194">
        <f t="shared" si="55"/>
        <v>4918.0693219506575</v>
      </c>
      <c r="N78" s="78">
        <f t="shared" si="56"/>
        <v>-4918.0693219506575</v>
      </c>
      <c r="O78" s="165">
        <v>0</v>
      </c>
      <c r="P78" s="166">
        <f t="shared" si="57"/>
        <v>0</v>
      </c>
      <c r="Q78" s="119">
        <f t="shared" si="58"/>
        <v>3700</v>
      </c>
      <c r="R78" s="167">
        <f t="shared" si="59"/>
        <v>203.5</v>
      </c>
      <c r="S78" s="165">
        <v>0</v>
      </c>
      <c r="T78" s="166">
        <f t="shared" si="60"/>
        <v>0</v>
      </c>
      <c r="U78" s="33">
        <f t="shared" si="61"/>
        <v>4103.5</v>
      </c>
      <c r="V78" s="167">
        <f t="shared" si="62"/>
        <v>225.6925</v>
      </c>
      <c r="W78" s="165">
        <v>0</v>
      </c>
      <c r="X78" s="166">
        <f t="shared" si="63"/>
        <v>0</v>
      </c>
      <c r="Y78" s="33">
        <f t="shared" si="64"/>
        <v>4529.1925000000001</v>
      </c>
      <c r="Z78" s="167">
        <f t="shared" si="65"/>
        <v>249.10558750000001</v>
      </c>
      <c r="AA78" s="165">
        <v>0</v>
      </c>
      <c r="AB78" s="166">
        <f t="shared" si="66"/>
        <v>0</v>
      </c>
      <c r="AC78" s="33">
        <f t="shared" si="67"/>
        <v>4978.2980875000003</v>
      </c>
      <c r="AD78" s="167">
        <f t="shared" si="68"/>
        <v>273.8063948125</v>
      </c>
      <c r="AE78" s="165">
        <v>0</v>
      </c>
      <c r="AF78" s="166">
        <f t="shared" si="69"/>
        <v>0</v>
      </c>
      <c r="AG78" s="33">
        <f t="shared" si="70"/>
        <v>5452.1044823125003</v>
      </c>
      <c r="AH78" s="167">
        <f t="shared" si="71"/>
        <v>299.86574652718753</v>
      </c>
      <c r="AI78" s="165">
        <v>0</v>
      </c>
      <c r="AJ78" s="166">
        <f t="shared" si="72"/>
        <v>0</v>
      </c>
      <c r="AK78" s="33">
        <f t="shared" si="73"/>
        <v>5951.9702288396875</v>
      </c>
      <c r="AL78" s="167">
        <f t="shared" si="74"/>
        <v>327.35836258618281</v>
      </c>
      <c r="AM78" s="165">
        <v>0</v>
      </c>
      <c r="AN78" s="166">
        <f t="shared" si="75"/>
        <v>0</v>
      </c>
      <c r="AO78" s="33">
        <f t="shared" si="76"/>
        <v>6479.3285914258704</v>
      </c>
      <c r="AP78" s="167">
        <f t="shared" si="77"/>
        <v>356.36307252842289</v>
      </c>
      <c r="AQ78" s="165">
        <v>0</v>
      </c>
      <c r="AR78" s="166">
        <f t="shared" si="78"/>
        <v>0</v>
      </c>
      <c r="AS78" s="33">
        <f t="shared" si="79"/>
        <v>7035.6916639542933</v>
      </c>
      <c r="AT78" s="167">
        <f t="shared" si="80"/>
        <v>492.49841647680057</v>
      </c>
      <c r="AU78" s="165">
        <v>0</v>
      </c>
      <c r="AV78" s="166">
        <f t="shared" si="81"/>
        <v>0</v>
      </c>
      <c r="AW78" s="33">
        <f t="shared" si="82"/>
        <v>7728.1900804310935</v>
      </c>
      <c r="AX78" s="167">
        <f t="shared" si="83"/>
        <v>540.97330563017658</v>
      </c>
      <c r="AY78" s="165">
        <v>0</v>
      </c>
      <c r="AZ78" s="166">
        <f t="shared" si="84"/>
        <v>0</v>
      </c>
      <c r="BA78" s="33">
        <f t="shared" si="85"/>
        <v>8469.163386061271</v>
      </c>
      <c r="BB78" s="167">
        <f t="shared" si="86"/>
        <v>592.84143702428901</v>
      </c>
      <c r="BC78" s="165">
        <v>0</v>
      </c>
      <c r="BD78" s="166">
        <f t="shared" si="87"/>
        <v>0</v>
      </c>
      <c r="BE78" s="33">
        <f t="shared" si="88"/>
        <v>9262.0048230855609</v>
      </c>
      <c r="BF78" s="167">
        <f t="shared" si="89"/>
        <v>648.34033761598937</v>
      </c>
      <c r="BG78" s="165">
        <v>0</v>
      </c>
      <c r="BH78" s="166">
        <f t="shared" si="90"/>
        <v>0</v>
      </c>
      <c r="BI78" s="33">
        <f t="shared" si="91"/>
        <v>10110.34516070155</v>
      </c>
      <c r="BJ78" s="167">
        <f t="shared" si="92"/>
        <v>707.72416124910865</v>
      </c>
      <c r="BK78" s="87">
        <f t="shared" si="93"/>
        <v>0</v>
      </c>
      <c r="BL78" s="33">
        <f>'2021-2022 (B)'!AV78+'2022-2023'!BK78</f>
        <v>4500</v>
      </c>
    </row>
    <row r="79" spans="1:64">
      <c r="A79" s="10" t="s">
        <v>650</v>
      </c>
      <c r="B79" s="10" t="s">
        <v>113</v>
      </c>
      <c r="C79" s="80">
        <v>0</v>
      </c>
      <c r="D79" s="79">
        <f t="shared" si="47"/>
        <v>2400</v>
      </c>
      <c r="E79" s="78">
        <f>'2021-2022 (B)'!E79</f>
        <v>7300</v>
      </c>
      <c r="F79" s="187">
        <f t="shared" si="48"/>
        <v>2400</v>
      </c>
      <c r="G79" s="159">
        <f t="shared" si="49"/>
        <v>0</v>
      </c>
      <c r="H79" s="190">
        <f t="shared" si="50"/>
        <v>2400</v>
      </c>
      <c r="I79" s="78">
        <f t="shared" si="51"/>
        <v>18571.067867184083</v>
      </c>
      <c r="J79" s="78">
        <f t="shared" si="52"/>
        <v>0</v>
      </c>
      <c r="K79" s="78">
        <f t="shared" si="53"/>
        <v>0</v>
      </c>
      <c r="L79" s="78">
        <f t="shared" si="54"/>
        <v>8871.0678671840833</v>
      </c>
      <c r="M79" s="194">
        <f t="shared" si="55"/>
        <v>8871.0678671840833</v>
      </c>
      <c r="N79" s="78">
        <f t="shared" si="56"/>
        <v>-8871.0678671840833</v>
      </c>
      <c r="O79" s="165">
        <v>0</v>
      </c>
      <c r="P79" s="166">
        <f t="shared" si="57"/>
        <v>0</v>
      </c>
      <c r="Q79" s="119">
        <f t="shared" si="58"/>
        <v>7500</v>
      </c>
      <c r="R79" s="167">
        <f t="shared" si="59"/>
        <v>412.5</v>
      </c>
      <c r="S79" s="165">
        <v>0</v>
      </c>
      <c r="T79" s="166">
        <f t="shared" si="60"/>
        <v>0</v>
      </c>
      <c r="U79" s="33">
        <f t="shared" si="61"/>
        <v>8112.5</v>
      </c>
      <c r="V79" s="167">
        <f t="shared" si="62"/>
        <v>446.1875</v>
      </c>
      <c r="W79" s="165">
        <v>0</v>
      </c>
      <c r="X79" s="166">
        <f t="shared" si="63"/>
        <v>0</v>
      </c>
      <c r="Y79" s="33">
        <f t="shared" si="64"/>
        <v>8758.6875</v>
      </c>
      <c r="Z79" s="167">
        <f t="shared" si="65"/>
        <v>481.72781250000003</v>
      </c>
      <c r="AA79" s="165">
        <v>0</v>
      </c>
      <c r="AB79" s="166">
        <f t="shared" si="66"/>
        <v>0</v>
      </c>
      <c r="AC79" s="33">
        <f t="shared" si="67"/>
        <v>9440.4153124999993</v>
      </c>
      <c r="AD79" s="167">
        <f t="shared" si="68"/>
        <v>519.22284218749996</v>
      </c>
      <c r="AE79" s="165">
        <v>0</v>
      </c>
      <c r="AF79" s="166">
        <f t="shared" si="69"/>
        <v>0</v>
      </c>
      <c r="AG79" s="33">
        <f t="shared" si="70"/>
        <v>10159.6381546875</v>
      </c>
      <c r="AH79" s="167">
        <f t="shared" si="71"/>
        <v>558.78009850781245</v>
      </c>
      <c r="AI79" s="165">
        <v>0</v>
      </c>
      <c r="AJ79" s="166">
        <f t="shared" si="72"/>
        <v>0</v>
      </c>
      <c r="AK79" s="33">
        <f t="shared" si="73"/>
        <v>10918.418253195312</v>
      </c>
      <c r="AL79" s="167">
        <f t="shared" si="74"/>
        <v>600.51300392574217</v>
      </c>
      <c r="AM79" s="165">
        <v>0</v>
      </c>
      <c r="AN79" s="166">
        <f t="shared" si="75"/>
        <v>0</v>
      </c>
      <c r="AO79" s="33">
        <f t="shared" si="76"/>
        <v>11718.931257121054</v>
      </c>
      <c r="AP79" s="167">
        <f t="shared" si="77"/>
        <v>644.54121914165796</v>
      </c>
      <c r="AQ79" s="165">
        <v>0</v>
      </c>
      <c r="AR79" s="166">
        <f t="shared" si="78"/>
        <v>0</v>
      </c>
      <c r="AS79" s="33">
        <f t="shared" si="79"/>
        <v>12563.472476262712</v>
      </c>
      <c r="AT79" s="167">
        <f t="shared" si="80"/>
        <v>879.44307333838992</v>
      </c>
      <c r="AU79" s="165">
        <v>0</v>
      </c>
      <c r="AV79" s="166">
        <f t="shared" si="81"/>
        <v>0</v>
      </c>
      <c r="AW79" s="33">
        <f t="shared" si="82"/>
        <v>13642.915549601103</v>
      </c>
      <c r="AX79" s="167">
        <f t="shared" si="83"/>
        <v>955.00408847207723</v>
      </c>
      <c r="AY79" s="165">
        <v>0</v>
      </c>
      <c r="AZ79" s="166">
        <f t="shared" si="84"/>
        <v>0</v>
      </c>
      <c r="BA79" s="33">
        <f t="shared" si="85"/>
        <v>14797.919638073179</v>
      </c>
      <c r="BB79" s="167">
        <f t="shared" si="86"/>
        <v>1035.8543746651226</v>
      </c>
      <c r="BC79" s="165">
        <v>0</v>
      </c>
      <c r="BD79" s="166">
        <f t="shared" si="87"/>
        <v>0</v>
      </c>
      <c r="BE79" s="33">
        <f t="shared" si="88"/>
        <v>16033.774012738302</v>
      </c>
      <c r="BF79" s="167">
        <f t="shared" si="89"/>
        <v>1122.3641808916814</v>
      </c>
      <c r="BG79" s="165">
        <v>0</v>
      </c>
      <c r="BH79" s="166">
        <f t="shared" si="90"/>
        <v>0</v>
      </c>
      <c r="BI79" s="33">
        <f t="shared" si="91"/>
        <v>17356.138193629984</v>
      </c>
      <c r="BJ79" s="167">
        <f t="shared" si="92"/>
        <v>1214.9296735540991</v>
      </c>
      <c r="BK79" s="87">
        <f t="shared" si="93"/>
        <v>0</v>
      </c>
      <c r="BL79" s="33">
        <f>'2021-2022 (B)'!AV79+'2022-2023'!BK79</f>
        <v>800</v>
      </c>
    </row>
    <row r="80" spans="1:64">
      <c r="A80" s="10" t="s">
        <v>651</v>
      </c>
      <c r="B80" s="10" t="s">
        <v>124</v>
      </c>
      <c r="C80" s="80">
        <v>0</v>
      </c>
      <c r="D80" s="79">
        <f t="shared" si="47"/>
        <v>2400</v>
      </c>
      <c r="E80" s="78">
        <f>'2021-2022 (B)'!E80</f>
        <v>6100</v>
      </c>
      <c r="F80" s="187">
        <f t="shared" si="48"/>
        <v>2400</v>
      </c>
      <c r="G80" s="159">
        <f t="shared" si="49"/>
        <v>0</v>
      </c>
      <c r="H80" s="190">
        <f t="shared" si="50"/>
        <v>2400</v>
      </c>
      <c r="I80" s="78">
        <f t="shared" si="51"/>
        <v>16122.752537110369</v>
      </c>
      <c r="J80" s="78">
        <f t="shared" si="52"/>
        <v>0</v>
      </c>
      <c r="K80" s="78">
        <f t="shared" si="53"/>
        <v>0</v>
      </c>
      <c r="L80" s="78">
        <f t="shared" si="54"/>
        <v>7622.7525371103684</v>
      </c>
      <c r="M80" s="194">
        <f t="shared" si="55"/>
        <v>7622.7525371103684</v>
      </c>
      <c r="N80" s="78">
        <f t="shared" si="56"/>
        <v>-7622.7525371103684</v>
      </c>
      <c r="O80" s="165">
        <v>0</v>
      </c>
      <c r="P80" s="166">
        <f t="shared" si="57"/>
        <v>0</v>
      </c>
      <c r="Q80" s="119">
        <f t="shared" si="58"/>
        <v>6300</v>
      </c>
      <c r="R80" s="167">
        <f t="shared" si="59"/>
        <v>346.5</v>
      </c>
      <c r="S80" s="165">
        <v>0</v>
      </c>
      <c r="T80" s="166">
        <f t="shared" si="60"/>
        <v>0</v>
      </c>
      <c r="U80" s="33">
        <f t="shared" si="61"/>
        <v>6846.5</v>
      </c>
      <c r="V80" s="167">
        <f t="shared" si="62"/>
        <v>376.5575</v>
      </c>
      <c r="W80" s="165">
        <v>0</v>
      </c>
      <c r="X80" s="166">
        <f t="shared" si="63"/>
        <v>0</v>
      </c>
      <c r="Y80" s="33">
        <f t="shared" si="64"/>
        <v>7423.0574999999999</v>
      </c>
      <c r="Z80" s="167">
        <f t="shared" si="65"/>
        <v>408.26816250000002</v>
      </c>
      <c r="AA80" s="165">
        <v>0</v>
      </c>
      <c r="AB80" s="166">
        <f t="shared" si="66"/>
        <v>0</v>
      </c>
      <c r="AC80" s="33">
        <f t="shared" si="67"/>
        <v>8031.3256624999995</v>
      </c>
      <c r="AD80" s="167">
        <f t="shared" si="68"/>
        <v>441.72291143749999</v>
      </c>
      <c r="AE80" s="165">
        <v>0</v>
      </c>
      <c r="AF80" s="166">
        <f t="shared" si="69"/>
        <v>0</v>
      </c>
      <c r="AG80" s="33">
        <f t="shared" si="70"/>
        <v>8673.0485739374999</v>
      </c>
      <c r="AH80" s="167">
        <f t="shared" si="71"/>
        <v>477.01767156656251</v>
      </c>
      <c r="AI80" s="165">
        <v>0</v>
      </c>
      <c r="AJ80" s="166">
        <f t="shared" si="72"/>
        <v>0</v>
      </c>
      <c r="AK80" s="33">
        <f t="shared" si="73"/>
        <v>9350.066245504062</v>
      </c>
      <c r="AL80" s="167">
        <f t="shared" si="74"/>
        <v>514.25364350272343</v>
      </c>
      <c r="AM80" s="165">
        <v>0</v>
      </c>
      <c r="AN80" s="166">
        <f t="shared" si="75"/>
        <v>0</v>
      </c>
      <c r="AO80" s="33">
        <f t="shared" si="76"/>
        <v>10064.319889006785</v>
      </c>
      <c r="AP80" s="167">
        <f t="shared" si="77"/>
        <v>553.53759389537322</v>
      </c>
      <c r="AQ80" s="165">
        <v>0</v>
      </c>
      <c r="AR80" s="166">
        <f t="shared" si="78"/>
        <v>0</v>
      </c>
      <c r="AS80" s="33">
        <f t="shared" si="79"/>
        <v>10817.857482902158</v>
      </c>
      <c r="AT80" s="167">
        <f t="shared" si="80"/>
        <v>757.25002380315118</v>
      </c>
      <c r="AU80" s="165">
        <v>0</v>
      </c>
      <c r="AV80" s="166">
        <f t="shared" si="81"/>
        <v>0</v>
      </c>
      <c r="AW80" s="33">
        <f t="shared" si="82"/>
        <v>11775.10750670531</v>
      </c>
      <c r="AX80" s="167">
        <f t="shared" si="83"/>
        <v>824.25752546937179</v>
      </c>
      <c r="AY80" s="165">
        <v>0</v>
      </c>
      <c r="AZ80" s="166">
        <f t="shared" si="84"/>
        <v>0</v>
      </c>
      <c r="BA80" s="33">
        <f t="shared" si="85"/>
        <v>12799.365032174681</v>
      </c>
      <c r="BB80" s="167">
        <f t="shared" si="86"/>
        <v>895.95555225222779</v>
      </c>
      <c r="BC80" s="165">
        <v>0</v>
      </c>
      <c r="BD80" s="166">
        <f t="shared" si="87"/>
        <v>0</v>
      </c>
      <c r="BE80" s="33">
        <f t="shared" si="88"/>
        <v>13895.320584426909</v>
      </c>
      <c r="BF80" s="167">
        <f t="shared" si="89"/>
        <v>972.67244090988368</v>
      </c>
      <c r="BG80" s="165">
        <v>0</v>
      </c>
      <c r="BH80" s="166">
        <f t="shared" si="90"/>
        <v>0</v>
      </c>
      <c r="BI80" s="33">
        <f t="shared" si="91"/>
        <v>15067.993025336793</v>
      </c>
      <c r="BJ80" s="167">
        <f t="shared" si="92"/>
        <v>1054.7595117735757</v>
      </c>
      <c r="BK80" s="87">
        <f t="shared" si="93"/>
        <v>0</v>
      </c>
      <c r="BL80" s="33">
        <f>'2021-2022 (B)'!AV80+'2022-2023'!BK80</f>
        <v>1900</v>
      </c>
    </row>
    <row r="81" spans="1:65">
      <c r="A81" s="10" t="s">
        <v>652</v>
      </c>
      <c r="B81" s="10" t="s">
        <v>149</v>
      </c>
      <c r="C81" s="80">
        <v>0</v>
      </c>
      <c r="D81" s="79">
        <f t="shared" si="47"/>
        <v>2400</v>
      </c>
      <c r="E81" s="78">
        <f>'2021-2022 (B)'!E81</f>
        <v>3350</v>
      </c>
      <c r="F81" s="187">
        <f t="shared" si="48"/>
        <v>2400</v>
      </c>
      <c r="G81" s="159">
        <f t="shared" si="49"/>
        <v>1300</v>
      </c>
      <c r="H81" s="190">
        <f t="shared" si="50"/>
        <v>1100</v>
      </c>
      <c r="I81" s="78">
        <f t="shared" si="51"/>
        <v>8431.9180795949105</v>
      </c>
      <c r="J81" s="78">
        <f t="shared" si="52"/>
        <v>0</v>
      </c>
      <c r="K81" s="78">
        <f t="shared" si="53"/>
        <v>71.5</v>
      </c>
      <c r="L81" s="78">
        <f t="shared" si="54"/>
        <v>3981.9180795949101</v>
      </c>
      <c r="M81" s="194">
        <f t="shared" si="55"/>
        <v>3981.9180795949101</v>
      </c>
      <c r="N81" s="78">
        <f t="shared" si="56"/>
        <v>-2610.4180795949101</v>
      </c>
      <c r="O81" s="165">
        <v>0</v>
      </c>
      <c r="P81" s="166">
        <f t="shared" si="57"/>
        <v>0</v>
      </c>
      <c r="Q81" s="119">
        <f t="shared" si="58"/>
        <v>3550</v>
      </c>
      <c r="R81" s="167">
        <f t="shared" si="59"/>
        <v>195.25</v>
      </c>
      <c r="S81" s="165">
        <v>0</v>
      </c>
      <c r="T81" s="166">
        <f t="shared" si="60"/>
        <v>0</v>
      </c>
      <c r="U81" s="33">
        <f t="shared" si="61"/>
        <v>3945.25</v>
      </c>
      <c r="V81" s="167">
        <f t="shared" si="62"/>
        <v>216.98875000000001</v>
      </c>
      <c r="W81" s="165">
        <v>300</v>
      </c>
      <c r="X81" s="166">
        <f t="shared" si="63"/>
        <v>0</v>
      </c>
      <c r="Y81" s="33">
        <f t="shared" si="64"/>
        <v>4062.23875</v>
      </c>
      <c r="Z81" s="167">
        <f t="shared" si="65"/>
        <v>206.92313125000001</v>
      </c>
      <c r="AA81" s="165">
        <v>250</v>
      </c>
      <c r="AB81" s="166">
        <f t="shared" si="66"/>
        <v>0</v>
      </c>
      <c r="AC81" s="33">
        <f t="shared" si="67"/>
        <v>4219.1618812500001</v>
      </c>
      <c r="AD81" s="167">
        <f t="shared" si="68"/>
        <v>218.30390346875001</v>
      </c>
      <c r="AE81" s="165">
        <v>250</v>
      </c>
      <c r="AF81" s="166">
        <f t="shared" si="69"/>
        <v>0</v>
      </c>
      <c r="AG81" s="33">
        <f t="shared" si="70"/>
        <v>4387.46578471875</v>
      </c>
      <c r="AH81" s="167">
        <f t="shared" si="71"/>
        <v>227.56061815953126</v>
      </c>
      <c r="AI81" s="165">
        <v>0</v>
      </c>
      <c r="AJ81" s="166">
        <f t="shared" si="72"/>
        <v>0</v>
      </c>
      <c r="AK81" s="33">
        <f t="shared" si="73"/>
        <v>4815.0264028782813</v>
      </c>
      <c r="AL81" s="167">
        <f t="shared" si="74"/>
        <v>264.82645215830547</v>
      </c>
      <c r="AM81" s="165">
        <v>0</v>
      </c>
      <c r="AN81" s="166">
        <f t="shared" si="75"/>
        <v>0</v>
      </c>
      <c r="AO81" s="33">
        <f t="shared" si="76"/>
        <v>5279.8528550365863</v>
      </c>
      <c r="AP81" s="167">
        <f t="shared" si="77"/>
        <v>290.39190702701222</v>
      </c>
      <c r="AQ81" s="165">
        <v>0</v>
      </c>
      <c r="AR81" s="166">
        <f t="shared" si="78"/>
        <v>0</v>
      </c>
      <c r="AS81" s="33">
        <f t="shared" si="79"/>
        <v>5770.2447620635985</v>
      </c>
      <c r="AT81" s="167">
        <f t="shared" si="80"/>
        <v>403.91713334445194</v>
      </c>
      <c r="AU81" s="165">
        <v>0</v>
      </c>
      <c r="AV81" s="166">
        <f t="shared" si="81"/>
        <v>0</v>
      </c>
      <c r="AW81" s="33">
        <f t="shared" si="82"/>
        <v>6374.1618954080504</v>
      </c>
      <c r="AX81" s="167">
        <f t="shared" si="83"/>
        <v>446.19133267856358</v>
      </c>
      <c r="AY81" s="165">
        <v>250</v>
      </c>
      <c r="AZ81" s="166">
        <f t="shared" si="84"/>
        <v>0</v>
      </c>
      <c r="BA81" s="33">
        <f t="shared" si="85"/>
        <v>6770.3532280866139</v>
      </c>
      <c r="BB81" s="167">
        <f t="shared" si="86"/>
        <v>456.42472596606302</v>
      </c>
      <c r="BC81" s="165">
        <v>0</v>
      </c>
      <c r="BD81" s="166">
        <f t="shared" si="87"/>
        <v>0</v>
      </c>
      <c r="BE81" s="33">
        <f t="shared" si="88"/>
        <v>7426.7779540526772</v>
      </c>
      <c r="BF81" s="167">
        <f t="shared" si="89"/>
        <v>519.87445678368749</v>
      </c>
      <c r="BG81" s="165">
        <v>250</v>
      </c>
      <c r="BH81" s="166">
        <f t="shared" si="90"/>
        <v>0</v>
      </c>
      <c r="BI81" s="33">
        <f t="shared" si="91"/>
        <v>7896.6524108363647</v>
      </c>
      <c r="BJ81" s="167">
        <f t="shared" si="92"/>
        <v>535.26566875854553</v>
      </c>
      <c r="BK81" s="87">
        <f t="shared" si="93"/>
        <v>1300</v>
      </c>
      <c r="BL81" s="33">
        <f>'2021-2022 (B)'!AV81+'2022-2023'!BK81</f>
        <v>6950</v>
      </c>
    </row>
    <row r="82" spans="1:65">
      <c r="A82" s="10" t="s">
        <v>653</v>
      </c>
      <c r="B82" s="10" t="s">
        <v>148</v>
      </c>
      <c r="C82" s="80">
        <v>0</v>
      </c>
      <c r="D82" s="79">
        <f t="shared" si="47"/>
        <v>2400</v>
      </c>
      <c r="E82" s="78">
        <f>'2021-2022 (B)'!E82</f>
        <v>1600</v>
      </c>
      <c r="F82" s="187">
        <f t="shared" si="48"/>
        <v>2400</v>
      </c>
      <c r="G82" s="159">
        <f t="shared" si="49"/>
        <v>4500</v>
      </c>
      <c r="H82" s="190">
        <f t="shared" si="50"/>
        <v>-2100</v>
      </c>
      <c r="I82" s="78">
        <f t="shared" si="51"/>
        <v>-856.00027527758175</v>
      </c>
      <c r="J82" s="78">
        <f t="shared" si="52"/>
        <v>0</v>
      </c>
      <c r="K82" s="78">
        <f t="shared" si="53"/>
        <v>247.5</v>
      </c>
      <c r="L82" s="78">
        <f t="shared" si="54"/>
        <v>-356.00027527758164</v>
      </c>
      <c r="M82" s="194">
        <f t="shared" si="55"/>
        <v>-356.00027527758164</v>
      </c>
      <c r="N82" s="78">
        <f t="shared" si="56"/>
        <v>5103.5002752775817</v>
      </c>
      <c r="O82" s="165">
        <v>0</v>
      </c>
      <c r="P82" s="166">
        <f t="shared" si="57"/>
        <v>0</v>
      </c>
      <c r="Q82" s="119">
        <f t="shared" si="58"/>
        <v>1800</v>
      </c>
      <c r="R82" s="167">
        <f t="shared" si="59"/>
        <v>99</v>
      </c>
      <c r="S82" s="165">
        <v>0</v>
      </c>
      <c r="T82" s="166">
        <f t="shared" si="60"/>
        <v>0</v>
      </c>
      <c r="U82" s="33">
        <f t="shared" si="61"/>
        <v>2099</v>
      </c>
      <c r="V82" s="167">
        <f t="shared" si="62"/>
        <v>115.44500000000001</v>
      </c>
      <c r="W82" s="165">
        <v>0</v>
      </c>
      <c r="X82" s="166">
        <f t="shared" si="63"/>
        <v>0</v>
      </c>
      <c r="Y82" s="33">
        <f t="shared" si="64"/>
        <v>2414.4450000000002</v>
      </c>
      <c r="Z82" s="167">
        <f t="shared" si="65"/>
        <v>132.79447500000001</v>
      </c>
      <c r="AA82" s="165">
        <v>0</v>
      </c>
      <c r="AB82" s="166">
        <f t="shared" si="66"/>
        <v>0</v>
      </c>
      <c r="AC82" s="33">
        <f t="shared" si="67"/>
        <v>2747.2394750000003</v>
      </c>
      <c r="AD82" s="167">
        <f t="shared" si="68"/>
        <v>151.09817112500002</v>
      </c>
      <c r="AE82" s="165">
        <f>3500+1000</f>
        <v>4500</v>
      </c>
      <c r="AF82" s="166">
        <f t="shared" si="69"/>
        <v>0</v>
      </c>
      <c r="AG82" s="33">
        <f t="shared" si="70"/>
        <v>-1401.6623538749996</v>
      </c>
      <c r="AH82" s="167">
        <f t="shared" si="71"/>
        <v>-324.59142946312494</v>
      </c>
      <c r="AI82" s="165">
        <v>0</v>
      </c>
      <c r="AJ82" s="166">
        <f t="shared" si="72"/>
        <v>0</v>
      </c>
      <c r="AK82" s="33">
        <f t="shared" si="73"/>
        <v>-1526.2537833381245</v>
      </c>
      <c r="AL82" s="167">
        <f t="shared" si="74"/>
        <v>-83.943958083596854</v>
      </c>
      <c r="AM82" s="165">
        <v>0</v>
      </c>
      <c r="AN82" s="166">
        <f t="shared" si="75"/>
        <v>0</v>
      </c>
      <c r="AO82" s="33">
        <f t="shared" si="76"/>
        <v>-1410.1977414217215</v>
      </c>
      <c r="AP82" s="167">
        <f t="shared" si="77"/>
        <v>-77.560875778194685</v>
      </c>
      <c r="AQ82" s="165">
        <v>0</v>
      </c>
      <c r="AR82" s="166">
        <f t="shared" si="78"/>
        <v>0</v>
      </c>
      <c r="AS82" s="33">
        <f t="shared" si="79"/>
        <v>-1287.7586171999162</v>
      </c>
      <c r="AT82" s="167">
        <f t="shared" si="80"/>
        <v>-90.143103203994144</v>
      </c>
      <c r="AU82" s="165">
        <v>0</v>
      </c>
      <c r="AV82" s="166">
        <f t="shared" si="81"/>
        <v>0</v>
      </c>
      <c r="AW82" s="33">
        <f t="shared" si="82"/>
        <v>-1177.9017204039103</v>
      </c>
      <c r="AX82" s="167">
        <f t="shared" si="83"/>
        <v>-82.453120428273735</v>
      </c>
      <c r="AY82" s="165">
        <v>0</v>
      </c>
      <c r="AZ82" s="166">
        <f t="shared" si="84"/>
        <v>0</v>
      </c>
      <c r="BA82" s="33">
        <f t="shared" si="85"/>
        <v>-1060.354840832184</v>
      </c>
      <c r="BB82" s="167">
        <f t="shared" si="86"/>
        <v>-74.22483885825288</v>
      </c>
      <c r="BC82" s="165">
        <v>0</v>
      </c>
      <c r="BD82" s="166">
        <f t="shared" si="87"/>
        <v>0</v>
      </c>
      <c r="BE82" s="33">
        <f t="shared" si="88"/>
        <v>-934.57967969043682</v>
      </c>
      <c r="BF82" s="167">
        <f t="shared" si="89"/>
        <v>-65.42057757833058</v>
      </c>
      <c r="BG82" s="165">
        <v>0</v>
      </c>
      <c r="BH82" s="166">
        <f t="shared" si="90"/>
        <v>0</v>
      </c>
      <c r="BI82" s="33">
        <f t="shared" si="91"/>
        <v>-800.00025726876743</v>
      </c>
      <c r="BJ82" s="167">
        <f t="shared" si="92"/>
        <v>-56.000018008813726</v>
      </c>
      <c r="BK82" s="87">
        <f t="shared" si="93"/>
        <v>4500</v>
      </c>
      <c r="BL82" s="33">
        <f>'2021-2022 (B)'!AV82+'2022-2023'!BK82</f>
        <v>11000</v>
      </c>
    </row>
    <row r="83" spans="1:65">
      <c r="A83" s="10" t="s">
        <v>654</v>
      </c>
      <c r="B83" s="10" t="s">
        <v>127</v>
      </c>
      <c r="C83" s="80">
        <v>0</v>
      </c>
      <c r="D83" s="79">
        <f t="shared" si="47"/>
        <v>2400</v>
      </c>
      <c r="E83" s="78">
        <f>'2021-2022 (B)'!E83</f>
        <v>1500</v>
      </c>
      <c r="F83" s="187">
        <f t="shared" si="48"/>
        <v>2400</v>
      </c>
      <c r="G83" s="159">
        <f t="shared" si="49"/>
        <v>0</v>
      </c>
      <c r="H83" s="190">
        <f t="shared" si="50"/>
        <v>2400</v>
      </c>
      <c r="I83" s="78">
        <f t="shared" si="51"/>
        <v>6737.5437718278008</v>
      </c>
      <c r="J83" s="78">
        <f t="shared" si="52"/>
        <v>0</v>
      </c>
      <c r="K83" s="78">
        <f t="shared" si="53"/>
        <v>0</v>
      </c>
      <c r="L83" s="78">
        <f t="shared" si="54"/>
        <v>2837.5437718278013</v>
      </c>
      <c r="M83" s="194">
        <f t="shared" si="55"/>
        <v>2837.5437718278013</v>
      </c>
      <c r="N83" s="78">
        <f t="shared" si="56"/>
        <v>-2837.5437718278013</v>
      </c>
      <c r="O83" s="165">
        <v>0</v>
      </c>
      <c r="P83" s="166">
        <f t="shared" si="57"/>
        <v>0</v>
      </c>
      <c r="Q83" s="119">
        <f t="shared" si="58"/>
        <v>1700</v>
      </c>
      <c r="R83" s="167">
        <f t="shared" si="59"/>
        <v>93.5</v>
      </c>
      <c r="S83" s="165">
        <v>0</v>
      </c>
      <c r="T83" s="166">
        <f t="shared" si="60"/>
        <v>0</v>
      </c>
      <c r="U83" s="33">
        <f t="shared" si="61"/>
        <v>1993.5</v>
      </c>
      <c r="V83" s="167">
        <f t="shared" si="62"/>
        <v>109.6425</v>
      </c>
      <c r="W83" s="165">
        <v>0</v>
      </c>
      <c r="X83" s="166">
        <f t="shared" si="63"/>
        <v>0</v>
      </c>
      <c r="Y83" s="33">
        <f t="shared" si="64"/>
        <v>2303.1424999999999</v>
      </c>
      <c r="Z83" s="167">
        <f t="shared" si="65"/>
        <v>126.6728375</v>
      </c>
      <c r="AA83" s="165">
        <v>0</v>
      </c>
      <c r="AB83" s="166">
        <f t="shared" si="66"/>
        <v>0</v>
      </c>
      <c r="AC83" s="33">
        <f t="shared" si="67"/>
        <v>2629.8153374999997</v>
      </c>
      <c r="AD83" s="167">
        <f t="shared" si="68"/>
        <v>144.63984356249998</v>
      </c>
      <c r="AE83" s="165">
        <v>0</v>
      </c>
      <c r="AF83" s="166">
        <f t="shared" si="69"/>
        <v>0</v>
      </c>
      <c r="AG83" s="33">
        <f t="shared" si="70"/>
        <v>2974.4551810624998</v>
      </c>
      <c r="AH83" s="167">
        <f t="shared" si="71"/>
        <v>163.59503495843748</v>
      </c>
      <c r="AI83" s="165">
        <v>0</v>
      </c>
      <c r="AJ83" s="166">
        <f t="shared" si="72"/>
        <v>0</v>
      </c>
      <c r="AK83" s="33">
        <f t="shared" si="73"/>
        <v>3338.0502160209371</v>
      </c>
      <c r="AL83" s="167">
        <f t="shared" si="74"/>
        <v>183.59276188115155</v>
      </c>
      <c r="AM83" s="165">
        <v>0</v>
      </c>
      <c r="AN83" s="166">
        <f t="shared" si="75"/>
        <v>0</v>
      </c>
      <c r="AO83" s="33">
        <f t="shared" si="76"/>
        <v>3721.6429779020887</v>
      </c>
      <c r="AP83" s="167">
        <f t="shared" si="77"/>
        <v>204.69036378461487</v>
      </c>
      <c r="AQ83" s="165">
        <v>0</v>
      </c>
      <c r="AR83" s="166">
        <f t="shared" si="78"/>
        <v>0</v>
      </c>
      <c r="AS83" s="33">
        <f t="shared" si="79"/>
        <v>4126.3333416867035</v>
      </c>
      <c r="AT83" s="167">
        <f t="shared" si="80"/>
        <v>288.84333391806928</v>
      </c>
      <c r="AU83" s="165">
        <v>0</v>
      </c>
      <c r="AV83" s="166">
        <f t="shared" si="81"/>
        <v>0</v>
      </c>
      <c r="AW83" s="33">
        <f t="shared" si="82"/>
        <v>4615.1766756047728</v>
      </c>
      <c r="AX83" s="167">
        <f t="shared" si="83"/>
        <v>323.0623672923341</v>
      </c>
      <c r="AY83" s="165">
        <v>0</v>
      </c>
      <c r="AZ83" s="166">
        <f t="shared" si="84"/>
        <v>0</v>
      </c>
      <c r="BA83" s="33">
        <f t="shared" si="85"/>
        <v>5138.2390428971066</v>
      </c>
      <c r="BB83" s="167">
        <f t="shared" si="86"/>
        <v>359.6767330027975</v>
      </c>
      <c r="BC83" s="165">
        <v>0</v>
      </c>
      <c r="BD83" s="166">
        <f t="shared" si="87"/>
        <v>0</v>
      </c>
      <c r="BE83" s="33">
        <f t="shared" si="88"/>
        <v>5697.9157758999045</v>
      </c>
      <c r="BF83" s="167">
        <f t="shared" si="89"/>
        <v>398.85410431299334</v>
      </c>
      <c r="BG83" s="165">
        <v>0</v>
      </c>
      <c r="BH83" s="166">
        <f t="shared" si="90"/>
        <v>0</v>
      </c>
      <c r="BI83" s="33">
        <f t="shared" si="91"/>
        <v>6296.769880212898</v>
      </c>
      <c r="BJ83" s="167">
        <f t="shared" si="92"/>
        <v>440.77389161490288</v>
      </c>
      <c r="BK83" s="87">
        <f t="shared" si="93"/>
        <v>0</v>
      </c>
      <c r="BL83" s="33">
        <f>'2021-2022 (B)'!AV83+'2022-2023'!BK83</f>
        <v>6600</v>
      </c>
    </row>
    <row r="84" spans="1:65">
      <c r="A84" s="10" t="s">
        <v>655</v>
      </c>
      <c r="B84" s="10" t="s">
        <v>147</v>
      </c>
      <c r="C84" s="80">
        <v>0</v>
      </c>
      <c r="D84" s="79">
        <f t="shared" si="47"/>
        <v>2400</v>
      </c>
      <c r="E84" s="78">
        <f>'2021-2022 (B)'!E84</f>
        <v>5600</v>
      </c>
      <c r="F84" s="187">
        <f t="shared" si="48"/>
        <v>2400</v>
      </c>
      <c r="G84" s="159">
        <f t="shared" si="49"/>
        <v>0</v>
      </c>
      <c r="H84" s="190">
        <f t="shared" si="50"/>
        <v>2400</v>
      </c>
      <c r="I84" s="78">
        <f t="shared" si="51"/>
        <v>15102.621149579656</v>
      </c>
      <c r="J84" s="78">
        <f t="shared" si="52"/>
        <v>0</v>
      </c>
      <c r="K84" s="78">
        <f t="shared" si="53"/>
        <v>0</v>
      </c>
      <c r="L84" s="78">
        <f t="shared" si="54"/>
        <v>7102.6211495796551</v>
      </c>
      <c r="M84" s="194">
        <f t="shared" si="55"/>
        <v>7102.6211495796551</v>
      </c>
      <c r="N84" s="78">
        <f t="shared" si="56"/>
        <v>-7102.6211495796551</v>
      </c>
      <c r="O84" s="165">
        <v>0</v>
      </c>
      <c r="P84" s="166">
        <f t="shared" si="57"/>
        <v>0</v>
      </c>
      <c r="Q84" s="119">
        <f t="shared" si="58"/>
        <v>5800</v>
      </c>
      <c r="R84" s="167">
        <f t="shared" si="59"/>
        <v>319</v>
      </c>
      <c r="S84" s="165">
        <v>0</v>
      </c>
      <c r="T84" s="166">
        <f t="shared" si="60"/>
        <v>0</v>
      </c>
      <c r="U84" s="33">
        <f t="shared" si="61"/>
        <v>6319</v>
      </c>
      <c r="V84" s="167">
        <f t="shared" si="62"/>
        <v>347.54500000000002</v>
      </c>
      <c r="W84" s="165">
        <v>0</v>
      </c>
      <c r="X84" s="166">
        <f t="shared" si="63"/>
        <v>0</v>
      </c>
      <c r="Y84" s="33">
        <f t="shared" si="64"/>
        <v>6866.5450000000001</v>
      </c>
      <c r="Z84" s="167">
        <f t="shared" si="65"/>
        <v>377.65997500000003</v>
      </c>
      <c r="AA84" s="165">
        <v>0</v>
      </c>
      <c r="AB84" s="166">
        <f t="shared" si="66"/>
        <v>0</v>
      </c>
      <c r="AC84" s="33">
        <f t="shared" si="67"/>
        <v>7444.2049750000006</v>
      </c>
      <c r="AD84" s="167">
        <f t="shared" si="68"/>
        <v>409.43127362500002</v>
      </c>
      <c r="AE84" s="165">
        <v>0</v>
      </c>
      <c r="AF84" s="166">
        <f t="shared" si="69"/>
        <v>0</v>
      </c>
      <c r="AG84" s="33">
        <f t="shared" si="70"/>
        <v>8053.6362486250009</v>
      </c>
      <c r="AH84" s="167">
        <f t="shared" si="71"/>
        <v>442.94999367437504</v>
      </c>
      <c r="AI84" s="165">
        <v>0</v>
      </c>
      <c r="AJ84" s="166">
        <f t="shared" si="72"/>
        <v>0</v>
      </c>
      <c r="AK84" s="33">
        <f t="shared" si="73"/>
        <v>8696.5862422993741</v>
      </c>
      <c r="AL84" s="167">
        <f t="shared" si="74"/>
        <v>478.31224332646559</v>
      </c>
      <c r="AM84" s="165">
        <v>0</v>
      </c>
      <c r="AN84" s="166">
        <f t="shared" si="75"/>
        <v>0</v>
      </c>
      <c r="AO84" s="33">
        <f t="shared" si="76"/>
        <v>9374.8984856258394</v>
      </c>
      <c r="AP84" s="167">
        <f t="shared" si="77"/>
        <v>515.61941670942122</v>
      </c>
      <c r="AQ84" s="165">
        <v>0</v>
      </c>
      <c r="AR84" s="166">
        <f t="shared" si="78"/>
        <v>0</v>
      </c>
      <c r="AS84" s="33">
        <f t="shared" si="79"/>
        <v>10090.517902335261</v>
      </c>
      <c r="AT84" s="167">
        <f t="shared" si="80"/>
        <v>706.33625316346831</v>
      </c>
      <c r="AU84" s="165">
        <v>0</v>
      </c>
      <c r="AV84" s="166">
        <f t="shared" si="81"/>
        <v>0</v>
      </c>
      <c r="AW84" s="33">
        <f t="shared" si="82"/>
        <v>10996.85415549873</v>
      </c>
      <c r="AX84" s="167">
        <f t="shared" si="83"/>
        <v>769.77979088491111</v>
      </c>
      <c r="AY84" s="165">
        <v>0</v>
      </c>
      <c r="AZ84" s="166">
        <f t="shared" si="84"/>
        <v>0</v>
      </c>
      <c r="BA84" s="33">
        <f t="shared" si="85"/>
        <v>11966.633946383641</v>
      </c>
      <c r="BB84" s="167">
        <f t="shared" si="86"/>
        <v>837.664376246855</v>
      </c>
      <c r="BC84" s="165">
        <v>0</v>
      </c>
      <c r="BD84" s="166">
        <f t="shared" si="87"/>
        <v>0</v>
      </c>
      <c r="BE84" s="33">
        <f t="shared" si="88"/>
        <v>13004.298322630497</v>
      </c>
      <c r="BF84" s="167">
        <f t="shared" si="89"/>
        <v>910.30088258413491</v>
      </c>
      <c r="BG84" s="165">
        <v>0</v>
      </c>
      <c r="BH84" s="166">
        <f t="shared" si="90"/>
        <v>0</v>
      </c>
      <c r="BI84" s="33">
        <f t="shared" si="91"/>
        <v>14114.599205214632</v>
      </c>
      <c r="BJ84" s="167">
        <f t="shared" si="92"/>
        <v>988.0219443650243</v>
      </c>
      <c r="BK84" s="87">
        <f t="shared" si="93"/>
        <v>0</v>
      </c>
      <c r="BL84" s="33">
        <f>'2021-2022 (B)'!AV84+'2022-2023'!BK84</f>
        <v>2500</v>
      </c>
    </row>
    <row r="85" spans="1:65">
      <c r="A85" s="10" t="s">
        <v>656</v>
      </c>
      <c r="B85" s="10" t="s">
        <v>121</v>
      </c>
      <c r="C85" s="80">
        <v>0</v>
      </c>
      <c r="D85" s="79">
        <f t="shared" si="47"/>
        <v>2400</v>
      </c>
      <c r="E85" s="78">
        <f>'2021-2022 (B)'!E85</f>
        <v>3150</v>
      </c>
      <c r="F85" s="187">
        <f t="shared" si="48"/>
        <v>2400</v>
      </c>
      <c r="G85" s="159">
        <f t="shared" si="49"/>
        <v>0</v>
      </c>
      <c r="H85" s="190">
        <f t="shared" si="50"/>
        <v>2400</v>
      </c>
      <c r="I85" s="78">
        <f t="shared" si="51"/>
        <v>10103.977350679157</v>
      </c>
      <c r="J85" s="78">
        <f t="shared" si="52"/>
        <v>0</v>
      </c>
      <c r="K85" s="78">
        <f t="shared" si="53"/>
        <v>0</v>
      </c>
      <c r="L85" s="78">
        <f t="shared" si="54"/>
        <v>4553.9773506791571</v>
      </c>
      <c r="M85" s="194">
        <f t="shared" si="55"/>
        <v>4553.9773506791571</v>
      </c>
      <c r="N85" s="78">
        <f t="shared" si="56"/>
        <v>-4553.9773506791571</v>
      </c>
      <c r="O85" s="165">
        <v>0</v>
      </c>
      <c r="P85" s="166">
        <f t="shared" si="57"/>
        <v>0</v>
      </c>
      <c r="Q85" s="119">
        <f t="shared" si="58"/>
        <v>3350</v>
      </c>
      <c r="R85" s="167">
        <f t="shared" si="59"/>
        <v>184.25</v>
      </c>
      <c r="S85" s="165">
        <v>0</v>
      </c>
      <c r="T85" s="166">
        <f t="shared" si="60"/>
        <v>0</v>
      </c>
      <c r="U85" s="33">
        <f t="shared" si="61"/>
        <v>3734.25</v>
      </c>
      <c r="V85" s="167">
        <f t="shared" si="62"/>
        <v>205.38374999999999</v>
      </c>
      <c r="W85" s="165">
        <v>0</v>
      </c>
      <c r="X85" s="166">
        <f t="shared" si="63"/>
        <v>0</v>
      </c>
      <c r="Y85" s="33">
        <f t="shared" si="64"/>
        <v>4139.63375</v>
      </c>
      <c r="Z85" s="167">
        <f t="shared" si="65"/>
        <v>227.67985625</v>
      </c>
      <c r="AA85" s="165">
        <v>0</v>
      </c>
      <c r="AB85" s="166">
        <f t="shared" si="66"/>
        <v>0</v>
      </c>
      <c r="AC85" s="33">
        <f t="shared" si="67"/>
        <v>4567.3136062499998</v>
      </c>
      <c r="AD85" s="167">
        <f t="shared" si="68"/>
        <v>251.20224834375</v>
      </c>
      <c r="AE85" s="165">
        <v>0</v>
      </c>
      <c r="AF85" s="166">
        <f t="shared" si="69"/>
        <v>0</v>
      </c>
      <c r="AG85" s="33">
        <f t="shared" si="70"/>
        <v>5018.5158545937502</v>
      </c>
      <c r="AH85" s="167">
        <f t="shared" si="71"/>
        <v>276.01837200265624</v>
      </c>
      <c r="AI85" s="165">
        <v>0</v>
      </c>
      <c r="AJ85" s="166">
        <f t="shared" si="72"/>
        <v>0</v>
      </c>
      <c r="AK85" s="33">
        <f t="shared" si="73"/>
        <v>5494.5342265964064</v>
      </c>
      <c r="AL85" s="167">
        <f t="shared" si="74"/>
        <v>302.19938246280236</v>
      </c>
      <c r="AM85" s="165">
        <v>0</v>
      </c>
      <c r="AN85" s="166">
        <f t="shared" si="75"/>
        <v>0</v>
      </c>
      <c r="AO85" s="33">
        <f t="shared" si="76"/>
        <v>5996.7336090592089</v>
      </c>
      <c r="AP85" s="167">
        <f t="shared" si="77"/>
        <v>329.82034849825646</v>
      </c>
      <c r="AQ85" s="165">
        <v>0</v>
      </c>
      <c r="AR85" s="166">
        <f t="shared" si="78"/>
        <v>0</v>
      </c>
      <c r="AS85" s="33">
        <f t="shared" si="79"/>
        <v>6526.5539575574658</v>
      </c>
      <c r="AT85" s="167">
        <f t="shared" si="80"/>
        <v>456.85877702902263</v>
      </c>
      <c r="AU85" s="165">
        <v>0</v>
      </c>
      <c r="AV85" s="166">
        <f t="shared" si="81"/>
        <v>0</v>
      </c>
      <c r="AW85" s="33">
        <f t="shared" si="82"/>
        <v>7183.4127345864881</v>
      </c>
      <c r="AX85" s="167">
        <f t="shared" si="83"/>
        <v>502.8388914210542</v>
      </c>
      <c r="AY85" s="165">
        <v>0</v>
      </c>
      <c r="AZ85" s="166">
        <f t="shared" si="84"/>
        <v>0</v>
      </c>
      <c r="BA85" s="33">
        <f t="shared" si="85"/>
        <v>7886.2516260075427</v>
      </c>
      <c r="BB85" s="167">
        <f t="shared" si="86"/>
        <v>552.03761382052801</v>
      </c>
      <c r="BC85" s="165">
        <v>0</v>
      </c>
      <c r="BD85" s="166">
        <f t="shared" si="87"/>
        <v>0</v>
      </c>
      <c r="BE85" s="33">
        <f t="shared" si="88"/>
        <v>8638.289239828071</v>
      </c>
      <c r="BF85" s="167">
        <f t="shared" si="89"/>
        <v>604.68024678796507</v>
      </c>
      <c r="BG85" s="165">
        <v>0</v>
      </c>
      <c r="BH85" s="166">
        <f t="shared" si="90"/>
        <v>0</v>
      </c>
      <c r="BI85" s="33">
        <f t="shared" si="91"/>
        <v>9442.9694866160353</v>
      </c>
      <c r="BJ85" s="167">
        <f t="shared" si="92"/>
        <v>661.0078640631225</v>
      </c>
      <c r="BK85" s="87">
        <f t="shared" si="93"/>
        <v>0</v>
      </c>
      <c r="BL85" s="33">
        <f>'2021-2022 (B)'!AV85+'2022-2023'!BK85</f>
        <v>4850</v>
      </c>
    </row>
    <row r="86" spans="1:65">
      <c r="A86" s="10" t="s">
        <v>657</v>
      </c>
      <c r="B86" s="10" t="s">
        <v>145</v>
      </c>
      <c r="C86" s="80">
        <v>0</v>
      </c>
      <c r="D86" s="79">
        <f t="shared" si="47"/>
        <v>2400</v>
      </c>
      <c r="E86" s="78">
        <f>'2021-2022 (B)'!E86</f>
        <v>4700</v>
      </c>
      <c r="F86" s="187">
        <f t="shared" si="48"/>
        <v>2400</v>
      </c>
      <c r="G86" s="159">
        <f t="shared" si="49"/>
        <v>3600</v>
      </c>
      <c r="H86" s="190">
        <f t="shared" si="50"/>
        <v>-1200</v>
      </c>
      <c r="I86" s="78">
        <f t="shared" si="51"/>
        <v>7750.6602381708799</v>
      </c>
      <c r="J86" s="78">
        <f t="shared" si="52"/>
        <v>0</v>
      </c>
      <c r="K86" s="78">
        <f t="shared" si="53"/>
        <v>198</v>
      </c>
      <c r="L86" s="78">
        <f t="shared" si="54"/>
        <v>4250.6602381708799</v>
      </c>
      <c r="M86" s="194">
        <f t="shared" si="55"/>
        <v>4250.6602381708799</v>
      </c>
      <c r="N86" s="78">
        <f t="shared" si="56"/>
        <v>-452.66023817087989</v>
      </c>
      <c r="O86" s="165">
        <v>300</v>
      </c>
      <c r="P86" s="166">
        <f t="shared" si="57"/>
        <v>0</v>
      </c>
      <c r="Q86" s="119">
        <f t="shared" si="58"/>
        <v>4900</v>
      </c>
      <c r="R86" s="167">
        <f t="shared" si="59"/>
        <v>253</v>
      </c>
      <c r="S86" s="165">
        <v>300</v>
      </c>
      <c r="T86" s="166">
        <f t="shared" si="60"/>
        <v>0</v>
      </c>
      <c r="U86" s="33">
        <f t="shared" si="61"/>
        <v>5053</v>
      </c>
      <c r="V86" s="167">
        <f t="shared" si="62"/>
        <v>261.41500000000002</v>
      </c>
      <c r="W86" s="165">
        <v>300</v>
      </c>
      <c r="X86" s="166">
        <f t="shared" si="63"/>
        <v>0</v>
      </c>
      <c r="Y86" s="33">
        <f t="shared" si="64"/>
        <v>5214.415</v>
      </c>
      <c r="Z86" s="167">
        <f t="shared" si="65"/>
        <v>270.29282499999999</v>
      </c>
      <c r="AA86" s="165">
        <v>300</v>
      </c>
      <c r="AB86" s="166">
        <f t="shared" si="66"/>
        <v>0</v>
      </c>
      <c r="AC86" s="33">
        <f t="shared" si="67"/>
        <v>5384.7078249999995</v>
      </c>
      <c r="AD86" s="167">
        <f t="shared" si="68"/>
        <v>279.65893037499995</v>
      </c>
      <c r="AE86" s="165">
        <v>300</v>
      </c>
      <c r="AF86" s="166">
        <f t="shared" si="69"/>
        <v>0</v>
      </c>
      <c r="AG86" s="33">
        <f t="shared" si="70"/>
        <v>5564.3667553749992</v>
      </c>
      <c r="AH86" s="167">
        <f t="shared" si="71"/>
        <v>289.54017154562496</v>
      </c>
      <c r="AI86" s="165">
        <v>300</v>
      </c>
      <c r="AJ86" s="166">
        <f t="shared" si="72"/>
        <v>0</v>
      </c>
      <c r="AK86" s="33">
        <f t="shared" si="73"/>
        <v>5753.9069269206238</v>
      </c>
      <c r="AL86" s="167">
        <f t="shared" si="74"/>
        <v>299.96488098063429</v>
      </c>
      <c r="AM86" s="165">
        <v>300</v>
      </c>
      <c r="AN86" s="166">
        <f t="shared" si="75"/>
        <v>0</v>
      </c>
      <c r="AO86" s="33">
        <f t="shared" si="76"/>
        <v>5953.8718079012579</v>
      </c>
      <c r="AP86" s="167">
        <f t="shared" si="77"/>
        <v>310.96294943456917</v>
      </c>
      <c r="AQ86" s="165">
        <f>300</f>
        <v>300</v>
      </c>
      <c r="AR86" s="166">
        <f t="shared" si="78"/>
        <v>0</v>
      </c>
      <c r="AS86" s="33">
        <f t="shared" si="79"/>
        <v>6164.8347573358269</v>
      </c>
      <c r="AT86" s="167">
        <f t="shared" si="80"/>
        <v>410.53843301350793</v>
      </c>
      <c r="AU86" s="165">
        <f>300</f>
        <v>300</v>
      </c>
      <c r="AV86" s="166">
        <f t="shared" si="81"/>
        <v>0</v>
      </c>
      <c r="AW86" s="33">
        <f t="shared" si="82"/>
        <v>6475.3731903493344</v>
      </c>
      <c r="AX86" s="167">
        <f t="shared" si="83"/>
        <v>432.27612332445347</v>
      </c>
      <c r="AY86" s="165">
        <v>300</v>
      </c>
      <c r="AZ86" s="166">
        <f t="shared" si="84"/>
        <v>0</v>
      </c>
      <c r="BA86" s="33">
        <f t="shared" si="85"/>
        <v>6807.6493136737881</v>
      </c>
      <c r="BB86" s="167">
        <f t="shared" si="86"/>
        <v>455.53545195716521</v>
      </c>
      <c r="BC86" s="165">
        <v>300</v>
      </c>
      <c r="BD86" s="166">
        <f t="shared" si="87"/>
        <v>0</v>
      </c>
      <c r="BE86" s="33">
        <f t="shared" si="88"/>
        <v>7163.1847656309537</v>
      </c>
      <c r="BF86" s="167">
        <f t="shared" si="89"/>
        <v>480.42293359416681</v>
      </c>
      <c r="BG86" s="165">
        <v>300</v>
      </c>
      <c r="BH86" s="166">
        <f t="shared" si="90"/>
        <v>0</v>
      </c>
      <c r="BI86" s="33">
        <f t="shared" si="91"/>
        <v>7543.6076992251201</v>
      </c>
      <c r="BJ86" s="167">
        <f t="shared" si="92"/>
        <v>507.05253894575844</v>
      </c>
      <c r="BK86" s="87">
        <f t="shared" si="93"/>
        <v>3600</v>
      </c>
      <c r="BL86" s="33">
        <f>'2021-2022 (B)'!AV86+'2022-2023'!BK86</f>
        <v>9300</v>
      </c>
    </row>
    <row r="87" spans="1:65">
      <c r="A87" s="10" t="s">
        <v>658</v>
      </c>
      <c r="B87" s="10" t="s">
        <v>146</v>
      </c>
      <c r="C87" s="80">
        <v>0</v>
      </c>
      <c r="D87" s="79">
        <f t="shared" si="47"/>
        <v>2400</v>
      </c>
      <c r="E87" s="78">
        <f>'2021-2022 (B)'!E87</f>
        <v>7900</v>
      </c>
      <c r="F87" s="187">
        <f t="shared" si="48"/>
        <v>2400</v>
      </c>
      <c r="G87" s="159">
        <f t="shared" si="49"/>
        <v>0</v>
      </c>
      <c r="H87" s="190">
        <f t="shared" si="50"/>
        <v>2400</v>
      </c>
      <c r="I87" s="78">
        <f t="shared" si="51"/>
        <v>19795.225532220942</v>
      </c>
      <c r="J87" s="78">
        <f t="shared" si="52"/>
        <v>0</v>
      </c>
      <c r="K87" s="78">
        <f t="shared" si="53"/>
        <v>0</v>
      </c>
      <c r="L87" s="78">
        <f t="shared" si="54"/>
        <v>9495.2255322209421</v>
      </c>
      <c r="M87" s="194">
        <f t="shared" si="55"/>
        <v>9495.2255322209421</v>
      </c>
      <c r="N87" s="78">
        <f t="shared" si="56"/>
        <v>-9495.2255322209421</v>
      </c>
      <c r="O87" s="165">
        <v>0</v>
      </c>
      <c r="P87" s="166">
        <f t="shared" si="57"/>
        <v>0</v>
      </c>
      <c r="Q87" s="119">
        <f t="shared" si="58"/>
        <v>8100</v>
      </c>
      <c r="R87" s="167">
        <f t="shared" si="59"/>
        <v>445.5</v>
      </c>
      <c r="S87" s="165">
        <v>0</v>
      </c>
      <c r="T87" s="166">
        <f t="shared" si="60"/>
        <v>0</v>
      </c>
      <c r="U87" s="33">
        <f t="shared" si="61"/>
        <v>8745.5</v>
      </c>
      <c r="V87" s="167">
        <f t="shared" si="62"/>
        <v>481.0025</v>
      </c>
      <c r="W87" s="165">
        <v>0</v>
      </c>
      <c r="X87" s="166">
        <f t="shared" si="63"/>
        <v>0</v>
      </c>
      <c r="Y87" s="33">
        <f t="shared" si="64"/>
        <v>9426.5025000000005</v>
      </c>
      <c r="Z87" s="167">
        <f t="shared" si="65"/>
        <v>518.45763750000003</v>
      </c>
      <c r="AA87" s="165">
        <v>0</v>
      </c>
      <c r="AB87" s="166">
        <f t="shared" si="66"/>
        <v>0</v>
      </c>
      <c r="AC87" s="33">
        <f t="shared" si="67"/>
        <v>10144.9601375</v>
      </c>
      <c r="AD87" s="167">
        <f t="shared" si="68"/>
        <v>557.97280756250007</v>
      </c>
      <c r="AE87" s="165">
        <v>0</v>
      </c>
      <c r="AF87" s="166">
        <f t="shared" si="69"/>
        <v>0</v>
      </c>
      <c r="AG87" s="33">
        <f t="shared" si="70"/>
        <v>10902.932945062501</v>
      </c>
      <c r="AH87" s="167">
        <f t="shared" si="71"/>
        <v>599.66131197843754</v>
      </c>
      <c r="AI87" s="165">
        <v>0</v>
      </c>
      <c r="AJ87" s="166">
        <f t="shared" si="72"/>
        <v>0</v>
      </c>
      <c r="AK87" s="33">
        <f t="shared" si="73"/>
        <v>11702.594257040939</v>
      </c>
      <c r="AL87" s="167">
        <f t="shared" si="74"/>
        <v>643.64268413725165</v>
      </c>
      <c r="AM87" s="165">
        <v>0</v>
      </c>
      <c r="AN87" s="166">
        <f t="shared" si="75"/>
        <v>0</v>
      </c>
      <c r="AO87" s="33">
        <f t="shared" si="76"/>
        <v>12546.236941178191</v>
      </c>
      <c r="AP87" s="167">
        <f t="shared" si="77"/>
        <v>690.0430317648005</v>
      </c>
      <c r="AQ87" s="165">
        <v>0</v>
      </c>
      <c r="AR87" s="166">
        <f t="shared" si="78"/>
        <v>0</v>
      </c>
      <c r="AS87" s="33">
        <f t="shared" si="79"/>
        <v>13436.279972942992</v>
      </c>
      <c r="AT87" s="167">
        <f t="shared" si="80"/>
        <v>940.53959810600952</v>
      </c>
      <c r="AU87" s="165">
        <v>0</v>
      </c>
      <c r="AV87" s="166">
        <f t="shared" si="81"/>
        <v>0</v>
      </c>
      <c r="AW87" s="33">
        <f t="shared" si="82"/>
        <v>14576.819571049002</v>
      </c>
      <c r="AX87" s="167">
        <f t="shared" si="83"/>
        <v>1020.3773699734302</v>
      </c>
      <c r="AY87" s="165">
        <v>0</v>
      </c>
      <c r="AZ87" s="166">
        <f t="shared" si="84"/>
        <v>0</v>
      </c>
      <c r="BA87" s="33">
        <f t="shared" si="85"/>
        <v>15797.196941022432</v>
      </c>
      <c r="BB87" s="167">
        <f t="shared" si="86"/>
        <v>1105.8037858715704</v>
      </c>
      <c r="BC87" s="165">
        <v>0</v>
      </c>
      <c r="BD87" s="166">
        <f t="shared" si="87"/>
        <v>0</v>
      </c>
      <c r="BE87" s="33">
        <f t="shared" si="88"/>
        <v>17103.000726894003</v>
      </c>
      <c r="BF87" s="167">
        <f t="shared" si="89"/>
        <v>1197.2100508825804</v>
      </c>
      <c r="BG87" s="165">
        <v>0</v>
      </c>
      <c r="BH87" s="166">
        <f t="shared" si="90"/>
        <v>0</v>
      </c>
      <c r="BI87" s="33">
        <f t="shared" si="91"/>
        <v>18500.210777776581</v>
      </c>
      <c r="BJ87" s="167">
        <f t="shared" si="92"/>
        <v>1295.0147544443607</v>
      </c>
      <c r="BK87" s="87">
        <f t="shared" si="93"/>
        <v>0</v>
      </c>
      <c r="BL87" s="33">
        <f>'2021-2022 (B)'!AV87+'2022-2023'!BK87</f>
        <v>100</v>
      </c>
    </row>
    <row r="88" spans="1:65">
      <c r="A88" s="10" t="s">
        <v>659</v>
      </c>
      <c r="B88" s="10" t="s">
        <v>133</v>
      </c>
      <c r="C88" s="80">
        <v>0</v>
      </c>
      <c r="D88" s="79">
        <f t="shared" si="47"/>
        <v>2400</v>
      </c>
      <c r="E88" s="78">
        <f>'2021-2022 (B)'!E88</f>
        <v>6900</v>
      </c>
      <c r="F88" s="187">
        <f t="shared" si="48"/>
        <v>2400</v>
      </c>
      <c r="G88" s="159">
        <f t="shared" si="49"/>
        <v>2200</v>
      </c>
      <c r="H88" s="190">
        <f t="shared" si="50"/>
        <v>200</v>
      </c>
      <c r="I88" s="78">
        <f t="shared" si="51"/>
        <v>14305.813147923855</v>
      </c>
      <c r="J88" s="78">
        <f t="shared" si="52"/>
        <v>0</v>
      </c>
      <c r="K88" s="78">
        <f t="shared" si="53"/>
        <v>121</v>
      </c>
      <c r="L88" s="78">
        <f t="shared" si="54"/>
        <v>7205.8131479238536</v>
      </c>
      <c r="M88" s="194">
        <f t="shared" si="55"/>
        <v>7205.8131479238536</v>
      </c>
      <c r="N88" s="78">
        <f t="shared" si="56"/>
        <v>-4884.8131479238536</v>
      </c>
      <c r="O88" s="165">
        <v>200</v>
      </c>
      <c r="P88" s="166">
        <f t="shared" si="57"/>
        <v>0</v>
      </c>
      <c r="Q88" s="119">
        <f t="shared" si="58"/>
        <v>7100</v>
      </c>
      <c r="R88" s="167">
        <f t="shared" si="59"/>
        <v>379.5</v>
      </c>
      <c r="S88" s="165">
        <v>200</v>
      </c>
      <c r="T88" s="166">
        <f t="shared" si="60"/>
        <v>0</v>
      </c>
      <c r="U88" s="33">
        <f t="shared" si="61"/>
        <v>7479.5</v>
      </c>
      <c r="V88" s="167">
        <f t="shared" si="62"/>
        <v>400.3725</v>
      </c>
      <c r="W88" s="165">
        <v>200</v>
      </c>
      <c r="X88" s="166">
        <f t="shared" si="63"/>
        <v>0</v>
      </c>
      <c r="Y88" s="33">
        <f t="shared" si="64"/>
        <v>7879.8725000000004</v>
      </c>
      <c r="Z88" s="167">
        <f t="shared" si="65"/>
        <v>422.3929875</v>
      </c>
      <c r="AA88" s="165">
        <v>200</v>
      </c>
      <c r="AB88" s="166">
        <f t="shared" si="66"/>
        <v>0</v>
      </c>
      <c r="AC88" s="33">
        <f t="shared" si="67"/>
        <v>8302.2654875000007</v>
      </c>
      <c r="AD88" s="167">
        <f t="shared" si="68"/>
        <v>445.62460181250003</v>
      </c>
      <c r="AE88" s="165">
        <v>200</v>
      </c>
      <c r="AF88" s="166">
        <f t="shared" si="69"/>
        <v>0</v>
      </c>
      <c r="AG88" s="33">
        <f t="shared" si="70"/>
        <v>8747.890089312501</v>
      </c>
      <c r="AH88" s="167">
        <f t="shared" si="71"/>
        <v>470.13395491218756</v>
      </c>
      <c r="AI88" s="165">
        <v>200</v>
      </c>
      <c r="AJ88" s="166">
        <f t="shared" si="72"/>
        <v>0</v>
      </c>
      <c r="AK88" s="33">
        <f t="shared" si="73"/>
        <v>9218.0240442246886</v>
      </c>
      <c r="AL88" s="167">
        <f t="shared" si="74"/>
        <v>495.99132243235789</v>
      </c>
      <c r="AM88" s="165">
        <v>200</v>
      </c>
      <c r="AN88" s="166">
        <f t="shared" si="75"/>
        <v>0</v>
      </c>
      <c r="AO88" s="33">
        <f t="shared" si="76"/>
        <v>9714.0153666570459</v>
      </c>
      <c r="AP88" s="167">
        <f t="shared" si="77"/>
        <v>523.27084516613752</v>
      </c>
      <c r="AQ88" s="165">
        <f>200</f>
        <v>200</v>
      </c>
      <c r="AR88" s="166">
        <f t="shared" si="78"/>
        <v>0</v>
      </c>
      <c r="AS88" s="33">
        <f t="shared" si="79"/>
        <v>10237.286211823184</v>
      </c>
      <c r="AT88" s="167">
        <f t="shared" si="80"/>
        <v>702.61003482762294</v>
      </c>
      <c r="AU88" s="165">
        <f>200</f>
        <v>200</v>
      </c>
      <c r="AV88" s="166">
        <f t="shared" si="81"/>
        <v>0</v>
      </c>
      <c r="AW88" s="33">
        <f t="shared" si="82"/>
        <v>10939.896246650807</v>
      </c>
      <c r="AX88" s="167">
        <f t="shared" si="83"/>
        <v>751.79273726555664</v>
      </c>
      <c r="AY88" s="165">
        <v>200</v>
      </c>
      <c r="AZ88" s="166">
        <f t="shared" si="84"/>
        <v>0</v>
      </c>
      <c r="BA88" s="33">
        <f t="shared" si="85"/>
        <v>11691.688983916363</v>
      </c>
      <c r="BB88" s="167">
        <f t="shared" si="86"/>
        <v>804.41822887414548</v>
      </c>
      <c r="BC88" s="165">
        <v>200</v>
      </c>
      <c r="BD88" s="166">
        <f t="shared" si="87"/>
        <v>0</v>
      </c>
      <c r="BE88" s="33">
        <f t="shared" si="88"/>
        <v>12496.107212790508</v>
      </c>
      <c r="BF88" s="167">
        <f t="shared" si="89"/>
        <v>860.72750489533564</v>
      </c>
      <c r="BG88" s="165">
        <v>0</v>
      </c>
      <c r="BH88" s="166">
        <f t="shared" si="90"/>
        <v>0</v>
      </c>
      <c r="BI88" s="33">
        <f t="shared" si="91"/>
        <v>13556.834717685844</v>
      </c>
      <c r="BJ88" s="167">
        <f t="shared" si="92"/>
        <v>948.9784302380092</v>
      </c>
      <c r="BK88" s="87">
        <f t="shared" si="93"/>
        <v>2200</v>
      </c>
      <c r="BL88" s="33">
        <f>'2021-2022 (B)'!AV88+'2022-2023'!BK88</f>
        <v>5100</v>
      </c>
    </row>
    <row r="89" spans="1:65">
      <c r="A89" s="10" t="s">
        <v>660</v>
      </c>
      <c r="B89" s="10" t="s">
        <v>134</v>
      </c>
      <c r="C89" s="80">
        <v>0</v>
      </c>
      <c r="D89" s="79">
        <f t="shared" si="47"/>
        <v>2400</v>
      </c>
      <c r="E89" s="78">
        <f>'2021-2022 (B)'!E89</f>
        <v>7400</v>
      </c>
      <c r="F89" s="187">
        <f t="shared" si="48"/>
        <v>2400</v>
      </c>
      <c r="G89" s="159">
        <f t="shared" si="49"/>
        <v>0</v>
      </c>
      <c r="H89" s="190">
        <f t="shared" si="50"/>
        <v>2400</v>
      </c>
      <c r="I89" s="78">
        <f t="shared" si="51"/>
        <v>18775.094144690225</v>
      </c>
      <c r="J89" s="78">
        <f t="shared" si="52"/>
        <v>0</v>
      </c>
      <c r="K89" s="78">
        <f t="shared" si="53"/>
        <v>0</v>
      </c>
      <c r="L89" s="78">
        <f t="shared" si="54"/>
        <v>8975.0941446902252</v>
      </c>
      <c r="M89" s="194">
        <f t="shared" si="55"/>
        <v>8975.0941446902252</v>
      </c>
      <c r="N89" s="78">
        <f t="shared" si="56"/>
        <v>-8975.0941446902252</v>
      </c>
      <c r="O89" s="165">
        <v>0</v>
      </c>
      <c r="P89" s="166">
        <f t="shared" si="57"/>
        <v>0</v>
      </c>
      <c r="Q89" s="119">
        <f t="shared" si="58"/>
        <v>7600</v>
      </c>
      <c r="R89" s="167">
        <f t="shared" si="59"/>
        <v>418</v>
      </c>
      <c r="S89" s="165">
        <v>0</v>
      </c>
      <c r="T89" s="166">
        <f t="shared" si="60"/>
        <v>0</v>
      </c>
      <c r="U89" s="33">
        <f t="shared" si="61"/>
        <v>8218</v>
      </c>
      <c r="V89" s="167">
        <f t="shared" si="62"/>
        <v>451.99</v>
      </c>
      <c r="W89" s="165">
        <v>0</v>
      </c>
      <c r="X89" s="166">
        <f t="shared" si="63"/>
        <v>0</v>
      </c>
      <c r="Y89" s="33">
        <f t="shared" si="64"/>
        <v>8869.99</v>
      </c>
      <c r="Z89" s="167">
        <f t="shared" si="65"/>
        <v>487.84944999999999</v>
      </c>
      <c r="AA89" s="165">
        <v>0</v>
      </c>
      <c r="AB89" s="166">
        <f t="shared" si="66"/>
        <v>0</v>
      </c>
      <c r="AC89" s="33">
        <f t="shared" si="67"/>
        <v>9557.8394499999995</v>
      </c>
      <c r="AD89" s="167">
        <f t="shared" si="68"/>
        <v>525.68116974999998</v>
      </c>
      <c r="AE89" s="165">
        <v>0</v>
      </c>
      <c r="AF89" s="166">
        <f t="shared" si="69"/>
        <v>0</v>
      </c>
      <c r="AG89" s="33">
        <f t="shared" si="70"/>
        <v>10283.520619749999</v>
      </c>
      <c r="AH89" s="167">
        <f t="shared" si="71"/>
        <v>565.59363408624995</v>
      </c>
      <c r="AI89" s="165">
        <v>0</v>
      </c>
      <c r="AJ89" s="166">
        <f t="shared" si="72"/>
        <v>0</v>
      </c>
      <c r="AK89" s="33">
        <f t="shared" si="73"/>
        <v>11049.114253836249</v>
      </c>
      <c r="AL89" s="167">
        <f t="shared" si="74"/>
        <v>607.70128396099369</v>
      </c>
      <c r="AM89" s="165">
        <v>0</v>
      </c>
      <c r="AN89" s="166">
        <f t="shared" si="75"/>
        <v>0</v>
      </c>
      <c r="AO89" s="33">
        <f t="shared" si="76"/>
        <v>11856.815537797243</v>
      </c>
      <c r="AP89" s="167">
        <f t="shared" si="77"/>
        <v>652.12485457884839</v>
      </c>
      <c r="AQ89" s="165">
        <v>0</v>
      </c>
      <c r="AR89" s="166">
        <f t="shared" si="78"/>
        <v>0</v>
      </c>
      <c r="AS89" s="33">
        <f t="shared" si="79"/>
        <v>12708.940392376091</v>
      </c>
      <c r="AT89" s="167">
        <f t="shared" si="80"/>
        <v>889.62582746632643</v>
      </c>
      <c r="AU89" s="165">
        <v>0</v>
      </c>
      <c r="AV89" s="166">
        <f t="shared" si="81"/>
        <v>0</v>
      </c>
      <c r="AW89" s="33">
        <f t="shared" si="82"/>
        <v>13798.566219842418</v>
      </c>
      <c r="AX89" s="167">
        <f t="shared" si="83"/>
        <v>965.89963538896939</v>
      </c>
      <c r="AY89" s="165">
        <v>0</v>
      </c>
      <c r="AZ89" s="166">
        <f t="shared" si="84"/>
        <v>0</v>
      </c>
      <c r="BA89" s="33">
        <f t="shared" si="85"/>
        <v>14964.465855231387</v>
      </c>
      <c r="BB89" s="167">
        <f t="shared" si="86"/>
        <v>1047.5126098661972</v>
      </c>
      <c r="BC89" s="165">
        <v>0</v>
      </c>
      <c r="BD89" s="166">
        <f t="shared" si="87"/>
        <v>0</v>
      </c>
      <c r="BE89" s="33">
        <f t="shared" si="88"/>
        <v>16211.978465097583</v>
      </c>
      <c r="BF89" s="167">
        <f t="shared" si="89"/>
        <v>1134.8384925568309</v>
      </c>
      <c r="BG89" s="165">
        <v>0</v>
      </c>
      <c r="BH89" s="166">
        <f t="shared" si="90"/>
        <v>0</v>
      </c>
      <c r="BI89" s="33">
        <f t="shared" si="91"/>
        <v>17546.816957654417</v>
      </c>
      <c r="BJ89" s="167">
        <f t="shared" si="92"/>
        <v>1228.2771870358092</v>
      </c>
      <c r="BK89" s="87">
        <f t="shared" si="93"/>
        <v>0</v>
      </c>
      <c r="BL89" s="33">
        <f>'2021-2022 (B)'!AV89+'2022-2023'!BK89</f>
        <v>700</v>
      </c>
      <c r="BM89">
        <f>86-5</f>
        <v>81</v>
      </c>
    </row>
    <row r="90" spans="1:65">
      <c r="A90" s="10" t="s">
        <v>661</v>
      </c>
      <c r="B90" s="10" t="s">
        <v>116</v>
      </c>
      <c r="C90" s="80">
        <v>0</v>
      </c>
      <c r="D90" s="79">
        <f t="shared" si="47"/>
        <v>2400</v>
      </c>
      <c r="E90" s="78">
        <f>'2021-2022 (B)'!E90</f>
        <v>2900</v>
      </c>
      <c r="F90" s="187">
        <f t="shared" si="48"/>
        <v>2400</v>
      </c>
      <c r="G90" s="159">
        <f t="shared" si="49"/>
        <v>3000</v>
      </c>
      <c r="H90" s="190">
        <f t="shared" si="50"/>
        <v>-600</v>
      </c>
      <c r="I90" s="78">
        <f t="shared" si="51"/>
        <v>4634.017394575345</v>
      </c>
      <c r="J90" s="78">
        <f t="shared" si="52"/>
        <v>0</v>
      </c>
      <c r="K90" s="78">
        <f t="shared" si="53"/>
        <v>165</v>
      </c>
      <c r="L90" s="78">
        <f t="shared" si="54"/>
        <v>2334.0173945753445</v>
      </c>
      <c r="M90" s="194">
        <f t="shared" si="55"/>
        <v>2334.0173945753445</v>
      </c>
      <c r="N90" s="78">
        <f t="shared" si="56"/>
        <v>830.9826054246555</v>
      </c>
      <c r="O90" s="165">
        <v>0</v>
      </c>
      <c r="P90" s="166">
        <f t="shared" si="57"/>
        <v>0</v>
      </c>
      <c r="Q90" s="119">
        <f t="shared" si="58"/>
        <v>3100</v>
      </c>
      <c r="R90" s="167">
        <f t="shared" si="59"/>
        <v>170.5</v>
      </c>
      <c r="S90" s="165">
        <v>0</v>
      </c>
      <c r="T90" s="166">
        <f t="shared" si="60"/>
        <v>0</v>
      </c>
      <c r="U90" s="33">
        <f t="shared" si="61"/>
        <v>3470.5</v>
      </c>
      <c r="V90" s="167">
        <f t="shared" si="62"/>
        <v>190.8775</v>
      </c>
      <c r="W90" s="165">
        <v>0</v>
      </c>
      <c r="X90" s="166">
        <f t="shared" si="63"/>
        <v>0</v>
      </c>
      <c r="Y90" s="33">
        <f t="shared" si="64"/>
        <v>3861.3775000000001</v>
      </c>
      <c r="Z90" s="167">
        <f t="shared" si="65"/>
        <v>212.37576250000001</v>
      </c>
      <c r="AA90" s="165">
        <v>0</v>
      </c>
      <c r="AB90" s="166">
        <f t="shared" si="66"/>
        <v>0</v>
      </c>
      <c r="AC90" s="33">
        <f t="shared" si="67"/>
        <v>4273.7532625000003</v>
      </c>
      <c r="AD90" s="167">
        <f t="shared" si="68"/>
        <v>235.05642943750001</v>
      </c>
      <c r="AE90" s="165">
        <v>2000</v>
      </c>
      <c r="AF90" s="166">
        <f t="shared" si="69"/>
        <v>0</v>
      </c>
      <c r="AG90" s="33">
        <f t="shared" si="70"/>
        <v>2708.8096919375002</v>
      </c>
      <c r="AH90" s="167">
        <f t="shared" si="71"/>
        <v>38.984533056562512</v>
      </c>
      <c r="AI90" s="165">
        <v>0</v>
      </c>
      <c r="AJ90" s="166">
        <f t="shared" si="72"/>
        <v>0</v>
      </c>
      <c r="AK90" s="33">
        <f t="shared" si="73"/>
        <v>2947.7942249940629</v>
      </c>
      <c r="AL90" s="167">
        <f t="shared" si="74"/>
        <v>162.12868237467347</v>
      </c>
      <c r="AM90" s="165">
        <v>0</v>
      </c>
      <c r="AN90" s="166">
        <f t="shared" si="75"/>
        <v>0</v>
      </c>
      <c r="AO90" s="33">
        <f t="shared" si="76"/>
        <v>3309.9229073687366</v>
      </c>
      <c r="AP90" s="167">
        <f t="shared" si="77"/>
        <v>182.04575990528051</v>
      </c>
      <c r="AQ90" s="165">
        <v>1000</v>
      </c>
      <c r="AR90" s="166">
        <f t="shared" si="78"/>
        <v>0</v>
      </c>
      <c r="AS90" s="33">
        <f t="shared" si="79"/>
        <v>2691.9686672740172</v>
      </c>
      <c r="AT90" s="167">
        <f t="shared" si="80"/>
        <v>118.43780670918122</v>
      </c>
      <c r="AU90" s="165">
        <v>0</v>
      </c>
      <c r="AV90" s="166">
        <f t="shared" si="81"/>
        <v>0</v>
      </c>
      <c r="AW90" s="33">
        <f t="shared" si="82"/>
        <v>3010.4064739831983</v>
      </c>
      <c r="AX90" s="167">
        <f t="shared" si="83"/>
        <v>210.72845317882391</v>
      </c>
      <c r="AY90" s="165">
        <v>0</v>
      </c>
      <c r="AZ90" s="166">
        <f t="shared" si="84"/>
        <v>0</v>
      </c>
      <c r="BA90" s="33">
        <f t="shared" si="85"/>
        <v>3421.1349271620224</v>
      </c>
      <c r="BB90" s="167">
        <f t="shared" si="86"/>
        <v>239.47944490134159</v>
      </c>
      <c r="BC90" s="165">
        <v>0</v>
      </c>
      <c r="BD90" s="166">
        <f t="shared" si="87"/>
        <v>0</v>
      </c>
      <c r="BE90" s="33">
        <f t="shared" si="88"/>
        <v>3860.614372063364</v>
      </c>
      <c r="BF90" s="167">
        <f t="shared" si="89"/>
        <v>270.2430060444355</v>
      </c>
      <c r="BG90" s="165">
        <v>0</v>
      </c>
      <c r="BH90" s="166">
        <f t="shared" si="90"/>
        <v>0</v>
      </c>
      <c r="BI90" s="33">
        <f t="shared" si="91"/>
        <v>4330.8573781077994</v>
      </c>
      <c r="BJ90" s="167">
        <f t="shared" si="92"/>
        <v>303.16001646754597</v>
      </c>
      <c r="BK90" s="87">
        <f t="shared" si="93"/>
        <v>3000</v>
      </c>
      <c r="BL90" s="33">
        <f>'2021-2022 (B)'!AV90+'2022-2023'!BK90</f>
        <v>9300</v>
      </c>
    </row>
    <row r="91" spans="1:65" ht="14.65" thickBot="1">
      <c r="C91" s="117">
        <f t="shared" ref="C91:AH91" si="94">SUM(C2:C90)</f>
        <v>0</v>
      </c>
      <c r="D91" s="117">
        <f t="shared" si="94"/>
        <v>213600</v>
      </c>
      <c r="E91" s="117">
        <f t="shared" si="94"/>
        <v>381387.29</v>
      </c>
      <c r="F91" s="117">
        <f t="shared" si="94"/>
        <v>213600</v>
      </c>
      <c r="G91" s="192">
        <f t="shared" si="94"/>
        <v>62150</v>
      </c>
      <c r="H91" s="117">
        <f t="shared" si="94"/>
        <v>151450</v>
      </c>
      <c r="I91" s="117">
        <f t="shared" si="94"/>
        <v>1009620.0957399784</v>
      </c>
      <c r="J91" s="117">
        <f t="shared" si="94"/>
        <v>0</v>
      </c>
      <c r="K91" s="117">
        <f t="shared" si="94"/>
        <v>3418.25</v>
      </c>
      <c r="L91" s="117">
        <f t="shared" si="94"/>
        <v>476782.80573997821</v>
      </c>
      <c r="M91" s="195">
        <f t="shared" si="94"/>
        <v>476782.80573997821</v>
      </c>
      <c r="N91" s="117">
        <f t="shared" si="94"/>
        <v>-411214.55573997833</v>
      </c>
      <c r="O91" s="172">
        <f t="shared" si="94"/>
        <v>9900</v>
      </c>
      <c r="P91" s="177">
        <f t="shared" si="94"/>
        <v>0</v>
      </c>
      <c r="Q91" s="117">
        <f t="shared" si="94"/>
        <v>399187.29</v>
      </c>
      <c r="R91" s="176">
        <f t="shared" si="94"/>
        <v>21410.800950000001</v>
      </c>
      <c r="S91" s="172">
        <f t="shared" si="94"/>
        <v>3950</v>
      </c>
      <c r="T91" s="177">
        <f t="shared" si="94"/>
        <v>0</v>
      </c>
      <c r="U91" s="117">
        <f t="shared" si="94"/>
        <v>434448.09095000004</v>
      </c>
      <c r="V91" s="176">
        <f t="shared" si="94"/>
        <v>23677.395002249996</v>
      </c>
      <c r="W91" s="172">
        <f t="shared" si="94"/>
        <v>5550</v>
      </c>
      <c r="X91" s="177">
        <f t="shared" si="94"/>
        <v>0</v>
      </c>
      <c r="Y91" s="117">
        <f t="shared" si="94"/>
        <v>470375.48595225008</v>
      </c>
      <c r="Z91" s="176">
        <f t="shared" si="94"/>
        <v>25565.401727373745</v>
      </c>
      <c r="AA91" s="195">
        <f t="shared" si="94"/>
        <v>4450</v>
      </c>
      <c r="AB91" s="177">
        <f t="shared" si="94"/>
        <v>0</v>
      </c>
      <c r="AC91" s="117">
        <f t="shared" si="94"/>
        <v>509290.88767962373</v>
      </c>
      <c r="AD91" s="176">
        <f t="shared" si="94"/>
        <v>27766.248822379315</v>
      </c>
      <c r="AE91" s="172">
        <f t="shared" si="94"/>
        <v>12300</v>
      </c>
      <c r="AF91" s="177">
        <f t="shared" si="94"/>
        <v>0</v>
      </c>
      <c r="AG91" s="117">
        <f t="shared" si="94"/>
        <v>542557.13650200306</v>
      </c>
      <c r="AH91" s="176">
        <f t="shared" si="94"/>
        <v>29164.14250761017</v>
      </c>
      <c r="AI91" s="172">
        <f t="shared" ref="AI91:BL91" si="95">SUM(AI2:AI90)</f>
        <v>4100</v>
      </c>
      <c r="AJ91" s="177">
        <f t="shared" si="95"/>
        <v>0</v>
      </c>
      <c r="AK91" s="117">
        <f t="shared" si="95"/>
        <v>585421.27900961286</v>
      </c>
      <c r="AL91" s="176">
        <f t="shared" si="95"/>
        <v>31972.670345528735</v>
      </c>
      <c r="AM91" s="172">
        <f t="shared" si="95"/>
        <v>3850</v>
      </c>
      <c r="AN91" s="177">
        <f t="shared" si="95"/>
        <v>0</v>
      </c>
      <c r="AO91" s="117">
        <f t="shared" si="95"/>
        <v>631343.94935514219</v>
      </c>
      <c r="AP91" s="176">
        <f t="shared" si="95"/>
        <v>34512.167214532812</v>
      </c>
      <c r="AQ91" s="172">
        <f t="shared" si="95"/>
        <v>3900</v>
      </c>
      <c r="AR91" s="177">
        <f t="shared" si="95"/>
        <v>0</v>
      </c>
      <c r="AS91" s="117">
        <f t="shared" si="95"/>
        <v>679756.11656967469</v>
      </c>
      <c r="AT91" s="176">
        <f t="shared" si="95"/>
        <v>47309.928159877243</v>
      </c>
      <c r="AU91" s="172">
        <f t="shared" si="95"/>
        <v>3800</v>
      </c>
      <c r="AV91" s="177">
        <f t="shared" si="95"/>
        <v>0</v>
      </c>
      <c r="AW91" s="117">
        <f t="shared" si="95"/>
        <v>741066.04472955223</v>
      </c>
      <c r="AX91" s="176">
        <f t="shared" si="95"/>
        <v>51608.623131068663</v>
      </c>
      <c r="AY91" s="172">
        <f t="shared" si="95"/>
        <v>4800</v>
      </c>
      <c r="AZ91" s="177">
        <f t="shared" si="95"/>
        <v>0</v>
      </c>
      <c r="BA91" s="117">
        <f t="shared" si="95"/>
        <v>805674.66786062054</v>
      </c>
      <c r="BB91" s="176">
        <f t="shared" si="95"/>
        <v>56061.226750243441</v>
      </c>
      <c r="BC91" s="172">
        <f t="shared" si="95"/>
        <v>2250</v>
      </c>
      <c r="BD91" s="177">
        <f t="shared" si="95"/>
        <v>0</v>
      </c>
      <c r="BE91" s="117">
        <f t="shared" si="95"/>
        <v>877285.89461086388</v>
      </c>
      <c r="BF91" s="176">
        <f t="shared" si="95"/>
        <v>61252.512622760485</v>
      </c>
      <c r="BG91" s="172">
        <f t="shared" si="95"/>
        <v>3300</v>
      </c>
      <c r="BH91" s="177">
        <f t="shared" si="95"/>
        <v>0</v>
      </c>
      <c r="BI91" s="117">
        <f t="shared" si="95"/>
        <v>953038.4072336246</v>
      </c>
      <c r="BJ91" s="176">
        <f t="shared" si="95"/>
        <v>66481.688506353748</v>
      </c>
      <c r="BK91" s="117">
        <f t="shared" si="95"/>
        <v>62150</v>
      </c>
      <c r="BL91" s="117">
        <f t="shared" si="95"/>
        <v>454702.71</v>
      </c>
    </row>
    <row r="92" spans="1:65" ht="14.65" thickTop="1">
      <c r="O92" s="125" t="s">
        <v>186</v>
      </c>
      <c r="S92" s="125" t="s">
        <v>509</v>
      </c>
      <c r="W92" s="125" t="s">
        <v>517</v>
      </c>
      <c r="AA92" s="174" t="s">
        <v>496</v>
      </c>
    </row>
    <row r="93" spans="1:65" ht="24">
      <c r="A93" t="s">
        <v>516</v>
      </c>
      <c r="G93" s="146"/>
      <c r="H93" s="207" t="s">
        <v>409</v>
      </c>
      <c r="O93" s="174">
        <f>AVERAGE(O91,S91,W91,AA91,AE91,AI91,AM91,AQ91,AU91,AY91,BC91,BG91)</f>
        <v>5179.166666666667</v>
      </c>
      <c r="AU93" s="125" t="s">
        <v>202</v>
      </c>
      <c r="AY93" s="125" t="s">
        <v>203</v>
      </c>
      <c r="BC93" s="125" t="s">
        <v>204</v>
      </c>
      <c r="BG93" s="125" t="s">
        <v>205</v>
      </c>
      <c r="BK93" t="s">
        <v>519</v>
      </c>
      <c r="BL93" s="250">
        <v>467611.02</v>
      </c>
    </row>
    <row r="94" spans="1:65" ht="35.65">
      <c r="G94" s="205"/>
      <c r="H94" s="207" t="s">
        <v>408</v>
      </c>
      <c r="AU94" s="174">
        <f>7700-AQ91</f>
        <v>3800</v>
      </c>
      <c r="BK94" t="s">
        <v>518</v>
      </c>
      <c r="BL94" s="255">
        <f>'Interest Earned'!N8</f>
        <v>18891.82</v>
      </c>
    </row>
    <row r="95" spans="1:65" ht="35.65">
      <c r="G95" s="175"/>
      <c r="H95" s="207" t="s">
        <v>410</v>
      </c>
      <c r="AU95" s="174"/>
      <c r="BK95" t="s">
        <v>520</v>
      </c>
      <c r="BL95" s="254">
        <v>2334.89</v>
      </c>
    </row>
    <row r="96" spans="1:65">
      <c r="BL96" s="254"/>
    </row>
    <row r="97" spans="63:64">
      <c r="BL97" s="256">
        <f>BL91+BL94+BL95</f>
        <v>475929.42000000004</v>
      </c>
    </row>
    <row r="98" spans="63:64">
      <c r="BK98" t="s">
        <v>521</v>
      </c>
      <c r="BL98" s="58">
        <f>BL97-BL93</f>
        <v>8318.4000000000233</v>
      </c>
    </row>
    <row r="102" spans="63:64">
      <c r="BK102">
        <f>12000*60%</f>
        <v>7200</v>
      </c>
    </row>
  </sheetData>
  <autoFilter ref="A1:BN95" xr:uid="{00000000-0009-0000-0000-000007000000}"/>
  <conditionalFormatting sqref="G2:G90">
    <cfRule type="cellIs" dxfId="20" priority="1" operator="lessThan">
      <formula>1199.99</formula>
    </cfRule>
    <cfRule type="cellIs" dxfId="19" priority="2" operator="between">
      <formula>1199.99</formula>
      <formula>2399.99</formula>
    </cfRule>
    <cfRule type="cellIs" dxfId="18" priority="3" operator="greaterThan">
      <formula>2400</formula>
    </cfRule>
    <cfRule type="cellIs" dxfId="17" priority="5" operator="between">
      <formula>1200</formula>
      <formula>2399.99</formula>
    </cfRule>
    <cfRule type="iconSet" priority="7">
      <iconSet iconSet="3Arrows">
        <cfvo type="percent" val="0"/>
        <cfvo type="percent" val="33"/>
        <cfvo type="percent" val="67"/>
      </iconSet>
    </cfRule>
    <cfRule type="cellIs" dxfId="16" priority="11" operator="between">
      <formula>1201</formula>
      <formula>2401</formula>
    </cfRule>
    <cfRule type="cellIs" dxfId="15" priority="12" operator="lessThan">
      <formula>1200</formula>
    </cfRule>
    <cfRule type="cellIs" dxfId="14" priority="13" operator="greaterThan">
      <formula>2400</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1"/>
  <sheetViews>
    <sheetView workbookViewId="0">
      <selection activeCell="D17" sqref="D17"/>
    </sheetView>
  </sheetViews>
  <sheetFormatPr defaultRowHeight="14.25"/>
  <cols>
    <col min="1" max="1" width="15.3984375" bestFit="1" customWidth="1"/>
    <col min="2" max="2" width="8.1328125" bestFit="1" customWidth="1"/>
    <col min="3" max="3" width="9.1328125" style="10"/>
    <col min="5" max="5" width="28" style="215" bestFit="1" customWidth="1"/>
    <col min="7" max="7" width="10.1328125" bestFit="1" customWidth="1"/>
  </cols>
  <sheetData>
    <row r="1" spans="1:8">
      <c r="A1" s="88" t="s">
        <v>256</v>
      </c>
      <c r="B1" t="s">
        <v>257</v>
      </c>
      <c r="C1" s="10" t="s">
        <v>258</v>
      </c>
      <c r="D1" t="s">
        <v>259</v>
      </c>
      <c r="E1" s="215" t="s">
        <v>0</v>
      </c>
      <c r="F1" t="s">
        <v>260</v>
      </c>
      <c r="G1" t="s">
        <v>261</v>
      </c>
      <c r="H1" t="s">
        <v>387</v>
      </c>
    </row>
    <row r="2" spans="1:8" ht="14.65">
      <c r="A2" s="208">
        <v>44721</v>
      </c>
      <c r="B2" s="211" t="s">
        <v>412</v>
      </c>
      <c r="C2" s="211" t="s">
        <v>422</v>
      </c>
      <c r="E2" s="216" t="s">
        <v>429</v>
      </c>
    </row>
    <row r="3" spans="1:8" ht="14.65">
      <c r="A3" s="209">
        <v>44718</v>
      </c>
      <c r="B3" s="212" t="s">
        <v>413</v>
      </c>
      <c r="C3" s="212" t="s">
        <v>422</v>
      </c>
      <c r="E3" s="216" t="s">
        <v>430</v>
      </c>
    </row>
    <row r="4" spans="1:8" ht="14.65">
      <c r="A4" s="209">
        <v>44713</v>
      </c>
      <c r="B4" s="219" t="s">
        <v>463</v>
      </c>
      <c r="C4" s="212" t="s">
        <v>422</v>
      </c>
      <c r="E4" s="216"/>
    </row>
    <row r="5" spans="1:8" ht="14.65">
      <c r="A5" s="209">
        <v>44711</v>
      </c>
      <c r="B5" s="212" t="s">
        <v>412</v>
      </c>
      <c r="C5" s="212" t="s">
        <v>422</v>
      </c>
      <c r="E5" s="216" t="s">
        <v>67</v>
      </c>
    </row>
    <row r="6" spans="1:8" ht="14.65">
      <c r="A6" s="209">
        <v>44711</v>
      </c>
      <c r="B6" s="212" t="s">
        <v>413</v>
      </c>
      <c r="C6" s="212" t="s">
        <v>422</v>
      </c>
      <c r="E6" s="216" t="s">
        <v>183</v>
      </c>
    </row>
    <row r="7" spans="1:8" ht="14.65">
      <c r="A7" s="209">
        <v>44707</v>
      </c>
      <c r="B7" s="212" t="s">
        <v>414</v>
      </c>
      <c r="C7" s="212" t="s">
        <v>422</v>
      </c>
      <c r="E7" s="216" t="s">
        <v>53</v>
      </c>
    </row>
    <row r="8" spans="1:8" ht="14.65">
      <c r="A8" s="209">
        <v>44707</v>
      </c>
      <c r="B8" s="212" t="s">
        <v>413</v>
      </c>
      <c r="C8" s="212" t="s">
        <v>422</v>
      </c>
      <c r="E8" s="216" t="s">
        <v>431</v>
      </c>
    </row>
    <row r="9" spans="1:8" ht="14.65">
      <c r="A9" s="209">
        <v>44707</v>
      </c>
      <c r="B9" s="212" t="s">
        <v>413</v>
      </c>
      <c r="C9" s="212" t="s">
        <v>422</v>
      </c>
      <c r="E9" s="216" t="s">
        <v>36</v>
      </c>
    </row>
    <row r="10" spans="1:8" ht="14.65">
      <c r="A10" s="209">
        <v>44707</v>
      </c>
      <c r="B10" s="212" t="s">
        <v>413</v>
      </c>
      <c r="C10" s="212" t="s">
        <v>422</v>
      </c>
      <c r="E10" s="216" t="s">
        <v>432</v>
      </c>
    </row>
    <row r="11" spans="1:8" ht="14.65">
      <c r="A11" s="209">
        <v>44707</v>
      </c>
      <c r="B11" s="212" t="s">
        <v>415</v>
      </c>
      <c r="C11" s="212" t="s">
        <v>422</v>
      </c>
      <c r="E11" s="216" t="s">
        <v>433</v>
      </c>
    </row>
    <row r="12" spans="1:8" ht="14.65">
      <c r="A12" s="209">
        <v>44706</v>
      </c>
      <c r="B12" s="212" t="s">
        <v>412</v>
      </c>
      <c r="C12" s="212" t="s">
        <v>422</v>
      </c>
      <c r="E12" s="216" t="s">
        <v>434</v>
      </c>
    </row>
    <row r="13" spans="1:8" ht="14.65">
      <c r="A13" s="209">
        <v>44698</v>
      </c>
      <c r="B13" s="212" t="s">
        <v>412</v>
      </c>
      <c r="C13" s="212" t="s">
        <v>422</v>
      </c>
      <c r="E13" s="216" t="s">
        <v>435</v>
      </c>
    </row>
    <row r="14" spans="1:8" ht="14.65">
      <c r="A14" s="209">
        <v>44698</v>
      </c>
      <c r="B14" s="212" t="s">
        <v>412</v>
      </c>
      <c r="C14" s="212" t="s">
        <v>422</v>
      </c>
      <c r="E14" s="216" t="s">
        <v>436</v>
      </c>
    </row>
    <row r="15" spans="1:8" ht="14.65">
      <c r="A15" s="209">
        <v>44698</v>
      </c>
      <c r="B15" s="212" t="s">
        <v>413</v>
      </c>
      <c r="C15" s="212" t="s">
        <v>422</v>
      </c>
      <c r="E15" s="216" t="s">
        <v>437</v>
      </c>
    </row>
    <row r="16" spans="1:8" ht="15" customHeight="1">
      <c r="A16" s="209">
        <v>44695</v>
      </c>
      <c r="B16" s="212" t="s">
        <v>416</v>
      </c>
      <c r="C16" s="212" t="s">
        <v>422</v>
      </c>
      <c r="E16" s="217" t="s">
        <v>25</v>
      </c>
    </row>
    <row r="17" spans="1:5" ht="15" customHeight="1">
      <c r="A17" s="209">
        <v>44690</v>
      </c>
      <c r="B17" s="212" t="s">
        <v>417</v>
      </c>
      <c r="C17" s="212" t="s">
        <v>422</v>
      </c>
      <c r="E17" s="217" t="s">
        <v>438</v>
      </c>
    </row>
    <row r="18" spans="1:5" ht="14.65">
      <c r="A18" s="209">
        <v>44690</v>
      </c>
      <c r="B18" s="212" t="s">
        <v>413</v>
      </c>
      <c r="C18" s="212" t="s">
        <v>422</v>
      </c>
      <c r="E18" s="217" t="s">
        <v>439</v>
      </c>
    </row>
    <row r="19" spans="1:5" ht="14.65">
      <c r="A19" s="209">
        <v>44686</v>
      </c>
      <c r="B19" s="212" t="s">
        <v>413</v>
      </c>
      <c r="C19" s="212" t="s">
        <v>422</v>
      </c>
      <c r="E19" s="217" t="s">
        <v>440</v>
      </c>
    </row>
    <row r="20" spans="1:5" ht="14.65">
      <c r="A20" s="209">
        <v>44682</v>
      </c>
      <c r="B20" s="219" t="s">
        <v>462</v>
      </c>
      <c r="C20" s="212" t="s">
        <v>422</v>
      </c>
      <c r="E20" s="214"/>
    </row>
    <row r="21" spans="1:5" ht="14.65">
      <c r="A21" s="209">
        <v>44680</v>
      </c>
      <c r="B21" s="212" t="s">
        <v>413</v>
      </c>
      <c r="C21" s="212" t="s">
        <v>422</v>
      </c>
      <c r="E21" s="217" t="s">
        <v>441</v>
      </c>
    </row>
    <row r="22" spans="1:5" ht="14.65">
      <c r="A22" s="209">
        <v>44680</v>
      </c>
      <c r="B22" s="212" t="s">
        <v>413</v>
      </c>
      <c r="C22" s="212" t="s">
        <v>422</v>
      </c>
      <c r="E22" s="217" t="s">
        <v>442</v>
      </c>
    </row>
    <row r="23" spans="1:5" ht="14.65">
      <c r="A23" s="209">
        <v>44680</v>
      </c>
      <c r="B23" s="212" t="s">
        <v>415</v>
      </c>
      <c r="C23" s="212" t="s">
        <v>422</v>
      </c>
      <c r="E23" s="217" t="s">
        <v>443</v>
      </c>
    </row>
    <row r="24" spans="1:5" ht="14.65">
      <c r="A24" s="209">
        <v>44680</v>
      </c>
      <c r="B24" s="212" t="s">
        <v>414</v>
      </c>
      <c r="C24" s="212" t="s">
        <v>422</v>
      </c>
      <c r="E24" s="217" t="s">
        <v>444</v>
      </c>
    </row>
    <row r="25" spans="1:5" ht="14.65">
      <c r="A25" s="209">
        <v>44680</v>
      </c>
      <c r="B25" s="212" t="s">
        <v>412</v>
      </c>
      <c r="C25" s="212" t="s">
        <v>422</v>
      </c>
      <c r="E25" s="217" t="s">
        <v>445</v>
      </c>
    </row>
    <row r="26" spans="1:5" ht="14.65">
      <c r="A26" s="209">
        <v>44680</v>
      </c>
      <c r="B26" s="212" t="s">
        <v>414</v>
      </c>
      <c r="C26" s="212" t="s">
        <v>422</v>
      </c>
      <c r="E26" s="217" t="s">
        <v>446</v>
      </c>
    </row>
    <row r="27" spans="1:5" ht="14.65">
      <c r="A27" s="209">
        <v>44677</v>
      </c>
      <c r="B27" s="212" t="s">
        <v>413</v>
      </c>
      <c r="C27" s="212" t="s">
        <v>422</v>
      </c>
      <c r="E27" s="217" t="s">
        <v>447</v>
      </c>
    </row>
    <row r="28" spans="1:5" ht="14.65">
      <c r="A28" s="209">
        <v>44677</v>
      </c>
      <c r="B28" s="212" t="s">
        <v>412</v>
      </c>
      <c r="C28" s="212" t="s">
        <v>422</v>
      </c>
      <c r="E28" s="217" t="s">
        <v>448</v>
      </c>
    </row>
    <row r="29" spans="1:5" ht="14.65">
      <c r="A29" s="209">
        <v>44676</v>
      </c>
      <c r="B29" s="212" t="s">
        <v>413</v>
      </c>
      <c r="C29" s="212" t="s">
        <v>422</v>
      </c>
      <c r="E29" s="217" t="s">
        <v>449</v>
      </c>
    </row>
    <row r="30" spans="1:5" ht="14.65">
      <c r="A30" s="209">
        <v>44670</v>
      </c>
      <c r="B30" s="212" t="s">
        <v>412</v>
      </c>
      <c r="C30" s="212" t="s">
        <v>422</v>
      </c>
      <c r="E30" s="217" t="s">
        <v>450</v>
      </c>
    </row>
    <row r="31" spans="1:5" ht="15" customHeight="1">
      <c r="A31" s="209">
        <v>44670</v>
      </c>
      <c r="B31" s="212" t="s">
        <v>417</v>
      </c>
      <c r="C31" s="212" t="s">
        <v>422</v>
      </c>
      <c r="E31" s="217" t="s">
        <v>438</v>
      </c>
    </row>
    <row r="32" spans="1:5" ht="14.65">
      <c r="A32" s="209">
        <v>44670</v>
      </c>
      <c r="B32" s="212" t="s">
        <v>412</v>
      </c>
      <c r="C32" s="212" t="s">
        <v>422</v>
      </c>
      <c r="E32" s="217" t="s">
        <v>451</v>
      </c>
    </row>
    <row r="33" spans="1:5" ht="14.65">
      <c r="A33" s="209">
        <v>44658</v>
      </c>
      <c r="B33" s="212" t="s">
        <v>414</v>
      </c>
      <c r="C33" s="212" t="s">
        <v>422</v>
      </c>
      <c r="E33" s="217" t="s">
        <v>452</v>
      </c>
    </row>
    <row r="34" spans="1:5" ht="14.65">
      <c r="A34" s="209">
        <v>44655</v>
      </c>
      <c r="B34" s="212" t="s">
        <v>418</v>
      </c>
      <c r="C34" s="212" t="s">
        <v>422</v>
      </c>
      <c r="E34" s="217" t="s">
        <v>453</v>
      </c>
    </row>
    <row r="35" spans="1:5" ht="14.65">
      <c r="A35" s="209">
        <v>44655</v>
      </c>
      <c r="B35" s="212" t="s">
        <v>413</v>
      </c>
      <c r="C35" s="212" t="s">
        <v>422</v>
      </c>
      <c r="E35" s="217" t="s">
        <v>440</v>
      </c>
    </row>
    <row r="36" spans="1:5" ht="15" customHeight="1">
      <c r="A36" s="209">
        <v>44652</v>
      </c>
      <c r="B36" s="212" t="s">
        <v>419</v>
      </c>
      <c r="C36" s="212" t="s">
        <v>422</v>
      </c>
      <c r="E36" s="217" t="s">
        <v>454</v>
      </c>
    </row>
    <row r="37" spans="1:5" ht="14.65">
      <c r="A37" s="209">
        <v>44652</v>
      </c>
      <c r="B37" s="219" t="s">
        <v>461</v>
      </c>
      <c r="C37" s="212" t="s">
        <v>422</v>
      </c>
      <c r="E37" s="214"/>
    </row>
    <row r="38" spans="1:5" ht="14.65">
      <c r="A38" s="209">
        <v>44649</v>
      </c>
      <c r="B38" s="212" t="s">
        <v>412</v>
      </c>
      <c r="C38" s="212" t="s">
        <v>423</v>
      </c>
      <c r="E38" s="217" t="s">
        <v>455</v>
      </c>
    </row>
    <row r="39" spans="1:5" ht="14.65">
      <c r="A39" s="209">
        <v>44648</v>
      </c>
      <c r="B39" s="212" t="s">
        <v>412</v>
      </c>
      <c r="C39" s="212" t="s">
        <v>423</v>
      </c>
      <c r="E39" s="217" t="s">
        <v>449</v>
      </c>
    </row>
    <row r="40" spans="1:5" ht="14.65">
      <c r="A40" s="209">
        <v>44648</v>
      </c>
      <c r="B40" s="212" t="s">
        <v>413</v>
      </c>
      <c r="C40" s="212" t="s">
        <v>424</v>
      </c>
      <c r="E40" s="217" t="s">
        <v>441</v>
      </c>
    </row>
    <row r="41" spans="1:5" ht="14.65">
      <c r="A41" s="209">
        <v>44648</v>
      </c>
      <c r="B41" s="212" t="s">
        <v>413</v>
      </c>
      <c r="C41" s="212" t="s">
        <v>424</v>
      </c>
      <c r="E41" s="217" t="s">
        <v>447</v>
      </c>
    </row>
    <row r="42" spans="1:5" ht="14.65">
      <c r="A42" s="209">
        <v>44648</v>
      </c>
      <c r="B42" s="212" t="s">
        <v>413</v>
      </c>
      <c r="C42" s="212" t="s">
        <v>424</v>
      </c>
      <c r="E42" s="217" t="s">
        <v>456</v>
      </c>
    </row>
    <row r="43" spans="1:5" ht="14.65">
      <c r="A43" s="209">
        <v>44648</v>
      </c>
      <c r="B43" s="212" t="s">
        <v>415</v>
      </c>
      <c r="C43" s="212" t="s">
        <v>425</v>
      </c>
      <c r="E43" s="217" t="s">
        <v>443</v>
      </c>
    </row>
    <row r="44" spans="1:5" ht="15" customHeight="1">
      <c r="A44" s="209">
        <v>44648</v>
      </c>
      <c r="B44" s="212" t="s">
        <v>417</v>
      </c>
      <c r="C44" s="212" t="s">
        <v>426</v>
      </c>
      <c r="E44" s="217" t="s">
        <v>457</v>
      </c>
    </row>
    <row r="45" spans="1:5" ht="15" customHeight="1">
      <c r="A45" s="209">
        <v>44648</v>
      </c>
      <c r="B45" s="212" t="s">
        <v>417</v>
      </c>
      <c r="C45" s="212" t="s">
        <v>426</v>
      </c>
      <c r="E45" s="217" t="s">
        <v>458</v>
      </c>
    </row>
    <row r="46" spans="1:5" ht="14.65">
      <c r="A46" s="209">
        <v>44648</v>
      </c>
      <c r="B46" s="212" t="s">
        <v>412</v>
      </c>
      <c r="C46" s="212" t="s">
        <v>423</v>
      </c>
      <c r="E46" s="217" t="s">
        <v>448</v>
      </c>
    </row>
    <row r="47" spans="1:5" ht="14.65">
      <c r="A47" s="209">
        <v>44643</v>
      </c>
      <c r="B47" s="212" t="s">
        <v>412</v>
      </c>
      <c r="C47" s="212" t="s">
        <v>423</v>
      </c>
      <c r="E47" s="217" t="s">
        <v>445</v>
      </c>
    </row>
    <row r="48" spans="1:5" ht="14.65">
      <c r="A48" s="209">
        <v>44638</v>
      </c>
      <c r="B48" s="212" t="s">
        <v>420</v>
      </c>
      <c r="C48" s="212" t="s">
        <v>427</v>
      </c>
      <c r="E48" s="217" t="s">
        <v>459</v>
      </c>
    </row>
    <row r="49" spans="1:5" ht="14.65">
      <c r="A49" s="209">
        <v>44638</v>
      </c>
      <c r="B49" s="212" t="s">
        <v>413</v>
      </c>
      <c r="C49" s="212" t="s">
        <v>424</v>
      </c>
      <c r="E49" s="217" t="s">
        <v>442</v>
      </c>
    </row>
    <row r="50" spans="1:5" ht="29.25">
      <c r="A50" s="210" t="s">
        <v>411</v>
      </c>
      <c r="B50" s="213" t="s">
        <v>421</v>
      </c>
      <c r="C50" s="213" t="s">
        <v>428</v>
      </c>
      <c r="E50" s="217" t="s">
        <v>460</v>
      </c>
    </row>
    <row r="51" spans="1:5">
      <c r="E51" s="218" t="s">
        <v>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BN104"/>
  <sheetViews>
    <sheetView topLeftCell="A24" zoomScale="80" zoomScaleNormal="80" workbookViewId="0">
      <pane xSplit="1" topLeftCell="AV1" activePane="topRight" state="frozen"/>
      <selection pane="topRight" activeCell="A2" sqref="A2:A90"/>
    </sheetView>
  </sheetViews>
  <sheetFormatPr defaultColWidth="9.1328125" defaultRowHeight="14.25"/>
  <cols>
    <col min="1" max="1" width="31.3984375" customWidth="1"/>
    <col min="2" max="2" width="15.59765625" customWidth="1"/>
    <col min="3" max="3" width="14.265625" customWidth="1"/>
    <col min="4" max="4" width="12.265625" customWidth="1"/>
    <col min="5" max="5" width="13.86328125" customWidth="1"/>
    <col min="6" max="6" width="12.86328125" customWidth="1"/>
    <col min="7" max="7" width="16.1328125" customWidth="1"/>
    <col min="8" max="10" width="11" customWidth="1"/>
    <col min="11" max="11" width="11.265625" customWidth="1"/>
    <col min="12" max="12" width="15" customWidth="1"/>
    <col min="13" max="13" width="16.3984375" style="196" customWidth="1"/>
    <col min="14" max="14" width="14.1328125" customWidth="1"/>
    <col min="15" max="15" width="12.3984375" customWidth="1"/>
    <col min="16" max="16" width="13.1328125" customWidth="1"/>
    <col min="17" max="17" width="11.59765625" customWidth="1"/>
    <col min="18" max="18" width="12.265625" customWidth="1"/>
    <col min="19" max="19" width="13.1328125" customWidth="1"/>
    <col min="20" max="20" width="11.59765625" customWidth="1"/>
    <col min="21" max="21" width="14.3984375" customWidth="1"/>
    <col min="22" max="22" width="12.73046875" customWidth="1"/>
    <col min="23" max="23" width="12.1328125" customWidth="1"/>
    <col min="24" max="24" width="11" customWidth="1"/>
    <col min="25" max="25" width="14.3984375" customWidth="1"/>
    <col min="26" max="26" width="12.73046875" customWidth="1"/>
    <col min="27" max="27" width="12" customWidth="1"/>
    <col min="28" max="28" width="9.1328125" customWidth="1"/>
    <col min="29" max="29" width="13" customWidth="1"/>
    <col min="30" max="30" width="12.73046875" customWidth="1"/>
    <col min="31" max="31" width="12.59765625" customWidth="1"/>
    <col min="32" max="32" width="9.1328125" customWidth="1"/>
    <col min="33" max="33" width="14.1328125" customWidth="1"/>
    <col min="34" max="34" width="12.73046875" customWidth="1"/>
    <col min="35" max="35" width="12.1328125" customWidth="1"/>
    <col min="36" max="36" width="9.1328125" customWidth="1"/>
    <col min="37" max="37" width="14.3984375" customWidth="1"/>
    <col min="38" max="38" width="12.73046875" customWidth="1"/>
    <col min="39" max="39" width="11.59765625" customWidth="1"/>
    <col min="40" max="40" width="11.3984375" customWidth="1"/>
    <col min="41" max="41" width="13.1328125" customWidth="1"/>
    <col min="42" max="42" width="12.73046875" customWidth="1"/>
    <col min="43" max="43" width="12.1328125" customWidth="1"/>
    <col min="44" max="44" width="9.1328125" customWidth="1"/>
    <col min="45" max="46" width="12.73046875" customWidth="1"/>
    <col min="47" max="47" width="13.3984375" customWidth="1"/>
    <col min="48" max="48" width="9.1328125" customWidth="1"/>
    <col min="49" max="49" width="13.1328125" customWidth="1"/>
    <col min="50" max="50" width="12.73046875" customWidth="1"/>
    <col min="51" max="60" width="10" customWidth="1"/>
    <col min="61" max="61" width="12.59765625" customWidth="1"/>
    <col min="62" max="62" width="10" customWidth="1"/>
    <col min="63" max="63" width="12.73046875" customWidth="1"/>
    <col min="64" max="64" width="12.86328125" customWidth="1"/>
  </cols>
  <sheetData>
    <row r="1" spans="1:64" s="14" customFormat="1" ht="78.75" customHeight="1">
      <c r="A1" s="11" t="s">
        <v>0</v>
      </c>
      <c r="B1" s="11" t="s">
        <v>106</v>
      </c>
      <c r="C1" s="113" t="s">
        <v>388</v>
      </c>
      <c r="D1" s="113" t="s">
        <v>389</v>
      </c>
      <c r="E1" s="113" t="s">
        <v>390</v>
      </c>
      <c r="F1" s="268" t="s">
        <v>523</v>
      </c>
      <c r="G1" s="12" t="s">
        <v>228</v>
      </c>
      <c r="H1" s="269" t="s">
        <v>227</v>
      </c>
      <c r="I1" s="267" t="s">
        <v>229</v>
      </c>
      <c r="J1" s="267" t="s">
        <v>226</v>
      </c>
      <c r="K1" s="12" t="s">
        <v>231</v>
      </c>
      <c r="L1" s="267" t="s">
        <v>524</v>
      </c>
      <c r="M1" s="193" t="s">
        <v>236</v>
      </c>
      <c r="N1" s="267" t="s">
        <v>230</v>
      </c>
      <c r="O1" s="115">
        <v>45108</v>
      </c>
      <c r="P1" s="114" t="s">
        <v>515</v>
      </c>
      <c r="Q1" s="118" t="s">
        <v>234</v>
      </c>
      <c r="R1" s="35" t="s">
        <v>99</v>
      </c>
      <c r="S1" s="115">
        <v>45139</v>
      </c>
      <c r="T1" s="114" t="s">
        <v>515</v>
      </c>
      <c r="U1" s="118" t="s">
        <v>234</v>
      </c>
      <c r="V1" s="35" t="s">
        <v>99</v>
      </c>
      <c r="W1" s="115">
        <v>45170</v>
      </c>
      <c r="X1" s="114" t="s">
        <v>515</v>
      </c>
      <c r="Y1" s="118" t="s">
        <v>234</v>
      </c>
      <c r="Z1" s="35" t="s">
        <v>99</v>
      </c>
      <c r="AA1" s="115">
        <v>45200</v>
      </c>
      <c r="AB1" s="114" t="s">
        <v>515</v>
      </c>
      <c r="AC1" s="118" t="s">
        <v>234</v>
      </c>
      <c r="AD1" s="35" t="s">
        <v>99</v>
      </c>
      <c r="AE1" s="115">
        <v>45231</v>
      </c>
      <c r="AF1" s="114" t="s">
        <v>515</v>
      </c>
      <c r="AG1" s="118" t="s">
        <v>234</v>
      </c>
      <c r="AH1" s="35" t="s">
        <v>99</v>
      </c>
      <c r="AI1" s="115">
        <v>45261</v>
      </c>
      <c r="AJ1" s="114" t="s">
        <v>515</v>
      </c>
      <c r="AK1" s="118" t="s">
        <v>234</v>
      </c>
      <c r="AL1" s="35" t="s">
        <v>99</v>
      </c>
      <c r="AM1" s="115">
        <v>45292</v>
      </c>
      <c r="AN1" s="114" t="s">
        <v>515</v>
      </c>
      <c r="AO1" s="118" t="s">
        <v>234</v>
      </c>
      <c r="AP1" s="35" t="s">
        <v>99</v>
      </c>
      <c r="AQ1" s="115">
        <v>45323</v>
      </c>
      <c r="AR1" s="114" t="s">
        <v>515</v>
      </c>
      <c r="AS1" s="118" t="s">
        <v>234</v>
      </c>
      <c r="AT1" s="35" t="s">
        <v>99</v>
      </c>
      <c r="AU1" s="115">
        <v>45352</v>
      </c>
      <c r="AV1" s="114" t="s">
        <v>515</v>
      </c>
      <c r="AW1" s="118" t="s">
        <v>234</v>
      </c>
      <c r="AX1" s="35" t="s">
        <v>99</v>
      </c>
      <c r="AY1" s="115">
        <v>45383</v>
      </c>
      <c r="AZ1" s="114" t="s">
        <v>515</v>
      </c>
      <c r="BA1" s="118" t="s">
        <v>234</v>
      </c>
      <c r="BB1" s="35" t="s">
        <v>99</v>
      </c>
      <c r="BC1" s="115">
        <v>45413</v>
      </c>
      <c r="BD1" s="114" t="s">
        <v>515</v>
      </c>
      <c r="BE1" s="118" t="s">
        <v>234</v>
      </c>
      <c r="BF1" s="35" t="s">
        <v>99</v>
      </c>
      <c r="BG1" s="115">
        <v>45444</v>
      </c>
      <c r="BH1" s="114" t="s">
        <v>515</v>
      </c>
      <c r="BI1" s="118" t="s">
        <v>234</v>
      </c>
      <c r="BJ1" s="35" t="s">
        <v>99</v>
      </c>
      <c r="BK1" s="86" t="s">
        <v>217</v>
      </c>
      <c r="BL1" s="86" t="s">
        <v>522</v>
      </c>
    </row>
    <row r="2" spans="1:64">
      <c r="A2" s="10" t="s">
        <v>573</v>
      </c>
      <c r="B2" s="121" t="s">
        <v>107</v>
      </c>
      <c r="C2" s="80">
        <v>0</v>
      </c>
      <c r="D2" s="79">
        <f>200*12</f>
        <v>2400</v>
      </c>
      <c r="E2" s="78">
        <f>'2022-2023'!I2</f>
        <v>6178.1282752890093</v>
      </c>
      <c r="F2" s="187">
        <f>C2+D2</f>
        <v>2400</v>
      </c>
      <c r="G2" s="33">
        <f>BK2</f>
        <v>1600</v>
      </c>
      <c r="H2" s="190">
        <f>F2-G2-C2</f>
        <v>800</v>
      </c>
      <c r="I2" s="78">
        <f>H2+L2+E2</f>
        <v>13975.877898581479</v>
      </c>
      <c r="J2" s="78">
        <f>P2+T2+X2+AB2+AF2+AJ2+AN2+AR2+AV2+AZ2+BD2+BH2</f>
        <v>0</v>
      </c>
      <c r="K2" s="78">
        <f>(G2-J2-C2)*5.5%</f>
        <v>88</v>
      </c>
      <c r="L2" s="78">
        <f>R2+V2+Z2+AD2+AH2+AL2+AP2+AT2+AX2+BB2+BF2+BJ2</f>
        <v>6997.7496232924696</v>
      </c>
      <c r="M2" s="194">
        <f>L2</f>
        <v>6997.7496232924696</v>
      </c>
      <c r="N2" s="78">
        <f>G2-J2-L2+K2</f>
        <v>-5309.7496232924696</v>
      </c>
      <c r="O2" s="165">
        <v>600</v>
      </c>
      <c r="P2" s="166">
        <f>O2*0%</f>
        <v>0</v>
      </c>
      <c r="Q2" s="119">
        <f>E2+200</f>
        <v>6378.1282752890093</v>
      </c>
      <c r="R2" s="167">
        <f>(Q2-O2)*0.055</f>
        <v>317.79705514089551</v>
      </c>
      <c r="S2" s="165">
        <v>0</v>
      </c>
      <c r="T2" s="166">
        <f>S2*0%</f>
        <v>0</v>
      </c>
      <c r="U2" s="33">
        <f>Q2-S2+200+R2</f>
        <v>6895.9253304299045</v>
      </c>
      <c r="V2" s="167">
        <f>(U2-S2)*0.055</f>
        <v>379.27589317364476</v>
      </c>
      <c r="W2" s="165">
        <v>0</v>
      </c>
      <c r="X2" s="166">
        <f>W2*0%</f>
        <v>0</v>
      </c>
      <c r="Y2" s="33">
        <f>U2-W2+200+V2</f>
        <v>7475.2012236035489</v>
      </c>
      <c r="Z2" s="167">
        <f>(Y2-W2)*0.055</f>
        <v>411.1360672981952</v>
      </c>
      <c r="AA2" s="165">
        <v>0</v>
      </c>
      <c r="AB2" s="166">
        <f>AA2*0%</f>
        <v>0</v>
      </c>
      <c r="AC2" s="33">
        <f>Y2-AA2+200+Z2</f>
        <v>8086.3372909017444</v>
      </c>
      <c r="AD2" s="167">
        <f>(AC2-AA2)*0.055</f>
        <v>444.74855099959592</v>
      </c>
      <c r="AE2" s="165">
        <v>0</v>
      </c>
      <c r="AF2" s="166">
        <f>AE2*0%</f>
        <v>0</v>
      </c>
      <c r="AG2" s="33">
        <f>AC2-AE2+200+AD2</f>
        <v>8731.0858419013421</v>
      </c>
      <c r="AH2" s="167">
        <f>(AG2-AE2)*0.055</f>
        <v>480.2097213045738</v>
      </c>
      <c r="AI2" s="165">
        <f>200+600+200</f>
        <v>1000</v>
      </c>
      <c r="AJ2" s="166">
        <f>AI2*0%</f>
        <v>0</v>
      </c>
      <c r="AK2" s="33">
        <f>AG2-AI2+200+AH2</f>
        <v>8411.2955632059166</v>
      </c>
      <c r="AL2" s="167">
        <f>(AK2-AI2)*0.055</f>
        <v>407.62125597632541</v>
      </c>
      <c r="AM2" s="165">
        <v>0</v>
      </c>
      <c r="AN2" s="166">
        <f>AM2*0%</f>
        <v>0</v>
      </c>
      <c r="AO2" s="33">
        <f>AK2-AM2+200+AL2</f>
        <v>9018.9168191822428</v>
      </c>
      <c r="AP2" s="167">
        <f>(AO2-AM2)*0.055</f>
        <v>496.04042505502338</v>
      </c>
      <c r="AQ2" s="165">
        <v>0</v>
      </c>
      <c r="AR2" s="166">
        <f>AQ2*0%</f>
        <v>0</v>
      </c>
      <c r="AS2" s="33">
        <f>AO2-AQ2+200+AP2</f>
        <v>9714.9572442372664</v>
      </c>
      <c r="AT2" s="167">
        <f>(AS2-AQ2)*0.07</f>
        <v>680.0470070966087</v>
      </c>
      <c r="AU2" s="165">
        <v>0</v>
      </c>
      <c r="AV2" s="166">
        <f>AU2*0%</f>
        <v>0</v>
      </c>
      <c r="AW2" s="33">
        <f>AS2-AU2+200+AT2</f>
        <v>10595.004251333876</v>
      </c>
      <c r="AX2" s="167">
        <f>(AW2-AU2)*0.07</f>
        <v>741.65029759337142</v>
      </c>
      <c r="AY2" s="165">
        <v>0</v>
      </c>
      <c r="AZ2" s="166">
        <f>AY2*0%</f>
        <v>0</v>
      </c>
      <c r="BA2" s="33">
        <f>AW2-AY2+200+AX2</f>
        <v>11536.654548927247</v>
      </c>
      <c r="BB2" s="167">
        <f>(BA2-AY2)*0.07</f>
        <v>807.56581842490732</v>
      </c>
      <c r="BC2" s="165">
        <v>0</v>
      </c>
      <c r="BD2" s="166">
        <f>BC2*0%</f>
        <v>0</v>
      </c>
      <c r="BE2" s="33">
        <f>BA2-BC2+200+BB2</f>
        <v>12544.220367352154</v>
      </c>
      <c r="BF2" s="167">
        <f>(BE2-BC2)*0.07</f>
        <v>878.0954257146509</v>
      </c>
      <c r="BG2" s="165">
        <v>0</v>
      </c>
      <c r="BH2" s="166">
        <f>BG2*0%</f>
        <v>0</v>
      </c>
      <c r="BI2" s="33">
        <f>BE2-BG2+200+BF2</f>
        <v>13622.315793066806</v>
      </c>
      <c r="BJ2" s="167">
        <f>(BI2-BG2)*0.07</f>
        <v>953.56210551467655</v>
      </c>
      <c r="BK2" s="87">
        <f>O2+S2+W2+AA2+AE2+AI2+AQ2+AM2+AU2+AY2+BC2+BG2</f>
        <v>1600</v>
      </c>
      <c r="BL2" s="33">
        <f>'2022-2023'!BL2+'2023-2024'!BK2</f>
        <v>10700</v>
      </c>
    </row>
    <row r="3" spans="1:64">
      <c r="A3" s="10" t="s">
        <v>574</v>
      </c>
      <c r="B3" s="121" t="s">
        <v>136</v>
      </c>
      <c r="C3" s="80">
        <v>0</v>
      </c>
      <c r="D3" s="79">
        <f t="shared" ref="D3:D34" si="0">200*12</f>
        <v>2400</v>
      </c>
      <c r="E3" s="78">
        <f>'2022-2023'!I3</f>
        <v>6720.2971673190859</v>
      </c>
      <c r="F3" s="187">
        <f t="shared" ref="F3:F34" si="1">C3+D3</f>
        <v>2400</v>
      </c>
      <c r="G3" s="33">
        <f t="shared" ref="G3:G34" si="2">BK3</f>
        <v>0</v>
      </c>
      <c r="H3" s="190">
        <f t="shared" ref="H3:H34" si="3">F3-G3-C3</f>
        <v>2400</v>
      </c>
      <c r="I3" s="78">
        <f t="shared" ref="I3:I34" si="4">H3+L3+E3</f>
        <v>17388.321757067552</v>
      </c>
      <c r="J3" s="78">
        <f t="shared" ref="J3:J34" si="5">P3+T3+X3+AB3+AF3+AJ3+AN3+AR3+AV3+AZ3+BD3+BH3</f>
        <v>0</v>
      </c>
      <c r="K3" s="78">
        <f t="shared" ref="K3:K34" si="6">(G3-J3-C3)*5.5%</f>
        <v>0</v>
      </c>
      <c r="L3" s="78">
        <f t="shared" ref="L3:L34" si="7">R3+V3+Z3+AD3+AH3+AL3+AP3+AT3+AX3+BB3+BF3+BJ3</f>
        <v>8268.0245897484656</v>
      </c>
      <c r="M3" s="194">
        <f t="shared" ref="M3:M34" si="8">L3</f>
        <v>8268.0245897484656</v>
      </c>
      <c r="N3" s="78">
        <f t="shared" ref="N3:N34" si="9">G3-J3-L3+K3</f>
        <v>-8268.0245897484656</v>
      </c>
      <c r="O3" s="165">
        <v>0</v>
      </c>
      <c r="P3" s="166">
        <f t="shared" ref="P3:P34" si="10">O3*0%</f>
        <v>0</v>
      </c>
      <c r="Q3" s="119">
        <f t="shared" ref="Q3:Q34" si="11">E3+200</f>
        <v>6920.2971673190859</v>
      </c>
      <c r="R3" s="167">
        <f t="shared" ref="R3:R34" si="12">(Q3-O3)*0.055</f>
        <v>380.61634420254973</v>
      </c>
      <c r="S3" s="165">
        <v>0</v>
      </c>
      <c r="T3" s="166">
        <f t="shared" ref="T3:T34" si="13">S3*0%</f>
        <v>0</v>
      </c>
      <c r="U3" s="33">
        <f t="shared" ref="U3:U34" si="14">Q3-S3+200+R3</f>
        <v>7500.9135115216359</v>
      </c>
      <c r="V3" s="167">
        <f t="shared" ref="V3:V34" si="15">(U3-S3)*0.055</f>
        <v>412.55024313369</v>
      </c>
      <c r="W3" s="165">
        <v>0</v>
      </c>
      <c r="X3" s="166">
        <f t="shared" ref="X3:X34" si="16">W3*0%</f>
        <v>0</v>
      </c>
      <c r="Y3" s="33">
        <f t="shared" ref="Y3:Y34" si="17">U3-W3+200+V3</f>
        <v>8113.4637546553258</v>
      </c>
      <c r="Z3" s="167">
        <f t="shared" ref="Z3:Z34" si="18">(Y3-W3)*0.055</f>
        <v>446.24050650604295</v>
      </c>
      <c r="AA3" s="165">
        <v>0</v>
      </c>
      <c r="AB3" s="166">
        <f t="shared" ref="AB3:AB34" si="19">AA3*0%</f>
        <v>0</v>
      </c>
      <c r="AC3" s="33">
        <f t="shared" ref="AC3:AC34" si="20">Y3-AA3+200+Z3</f>
        <v>8759.7042611613688</v>
      </c>
      <c r="AD3" s="167">
        <f t="shared" ref="AD3:AD34" si="21">(AC3-AA3)*0.055</f>
        <v>481.78373436387528</v>
      </c>
      <c r="AE3" s="165">
        <v>0</v>
      </c>
      <c r="AF3" s="166">
        <f t="shared" ref="AF3:AF34" si="22">AE3*0%</f>
        <v>0</v>
      </c>
      <c r="AG3" s="33">
        <f t="shared" ref="AG3:AG34" si="23">AC3-AE3+200+AD3</f>
        <v>9441.4879955252436</v>
      </c>
      <c r="AH3" s="167">
        <f t="shared" ref="AH3:AH34" si="24">(AG3-AE3)*0.055</f>
        <v>519.28183975388845</v>
      </c>
      <c r="AI3" s="165">
        <v>0</v>
      </c>
      <c r="AJ3" s="166">
        <f t="shared" ref="AJ3:AJ34" si="25">AI3*0%</f>
        <v>0</v>
      </c>
      <c r="AK3" s="33">
        <f t="shared" ref="AK3:AK34" si="26">AG3-AI3+200+AH3</f>
        <v>10160.769835279132</v>
      </c>
      <c r="AL3" s="167">
        <f t="shared" ref="AL3:AL34" si="27">(AK3-AI3)*0.055</f>
        <v>558.8423409403523</v>
      </c>
      <c r="AM3" s="165">
        <v>0</v>
      </c>
      <c r="AN3" s="166">
        <f t="shared" ref="AN3:AN34" si="28">AM3*0%</f>
        <v>0</v>
      </c>
      <c r="AO3" s="33">
        <f t="shared" ref="AO3:AO34" si="29">AK3-AM3+200+AL3</f>
        <v>10919.612176219485</v>
      </c>
      <c r="AP3" s="167">
        <f t="shared" ref="AP3:AP34" si="30">(AO3-AM3)*0.055</f>
        <v>600.57866969207168</v>
      </c>
      <c r="AQ3" s="165">
        <v>0</v>
      </c>
      <c r="AR3" s="166">
        <f t="shared" ref="AR3:AR34" si="31">AQ3*0%</f>
        <v>0</v>
      </c>
      <c r="AS3" s="33">
        <f t="shared" ref="AS3:AS34" si="32">AO3-AQ3+200+AP3</f>
        <v>11720.190845911557</v>
      </c>
      <c r="AT3" s="167">
        <f t="shared" ref="AT3:AT34" si="33">(AS3-AQ3)*0.07</f>
        <v>820.41335921380903</v>
      </c>
      <c r="AU3" s="165">
        <v>0</v>
      </c>
      <c r="AV3" s="166">
        <f t="shared" ref="AV3:AV34" si="34">AU3*0%</f>
        <v>0</v>
      </c>
      <c r="AW3" s="33">
        <f t="shared" ref="AW3:AW34" si="35">AS3-AU3+200+AT3</f>
        <v>12740.604205125366</v>
      </c>
      <c r="AX3" s="167">
        <f t="shared" ref="AX3:AX34" si="36">(AW3-AU3)*0.07</f>
        <v>891.84229435877569</v>
      </c>
      <c r="AY3" s="165">
        <v>0</v>
      </c>
      <c r="AZ3" s="166">
        <f t="shared" ref="AZ3:AZ34" si="37">AY3*0%</f>
        <v>0</v>
      </c>
      <c r="BA3" s="33">
        <f t="shared" ref="BA3:BA34" si="38">AW3-AY3+200+AX3</f>
        <v>13832.446499484142</v>
      </c>
      <c r="BB3" s="167">
        <f t="shared" ref="BB3:BB34" si="39">(BA3-AY3)*0.07</f>
        <v>968.27125496388999</v>
      </c>
      <c r="BC3" s="165">
        <v>0</v>
      </c>
      <c r="BD3" s="166">
        <f t="shared" ref="BD3:BD34" si="40">BC3*0%</f>
        <v>0</v>
      </c>
      <c r="BE3" s="33">
        <f t="shared" ref="BE3:BE34" si="41">BA3-BC3+200+BB3</f>
        <v>15000.717754448033</v>
      </c>
      <c r="BF3" s="167">
        <f t="shared" ref="BF3:BF34" si="42">(BE3-BC3)*0.07</f>
        <v>1050.0502428113623</v>
      </c>
      <c r="BG3" s="165">
        <v>0</v>
      </c>
      <c r="BH3" s="166">
        <f t="shared" ref="BH3:BH34" si="43">BG3*0%</f>
        <v>0</v>
      </c>
      <c r="BI3" s="33">
        <f t="shared" ref="BI3:BI34" si="44">BE3-BG3+200+BF3</f>
        <v>16250.767997259394</v>
      </c>
      <c r="BJ3" s="167">
        <f t="shared" ref="BJ3:BJ34" si="45">(BI3-BG3)*0.07</f>
        <v>1137.5537598081578</v>
      </c>
      <c r="BK3" s="87">
        <f t="shared" ref="BK3:BK34" si="46">O3+S3+W3+AA3+AE3+AI3+AQ3+AM3+AU3+AY3+BC3+BG3</f>
        <v>0</v>
      </c>
      <c r="BL3" s="33">
        <f>'2022-2023'!BL3+'2023-2024'!BK3</f>
        <v>8700</v>
      </c>
    </row>
    <row r="4" spans="1:64">
      <c r="A4" s="10" t="s">
        <v>575</v>
      </c>
      <c r="B4" s="121" t="s">
        <v>108</v>
      </c>
      <c r="C4" s="80">
        <v>0</v>
      </c>
      <c r="D4" s="79">
        <f t="shared" si="0"/>
        <v>2400</v>
      </c>
      <c r="E4" s="78">
        <f>'2022-2023'!I4</f>
        <v>16938.857647134941</v>
      </c>
      <c r="F4" s="187">
        <f t="shared" si="1"/>
        <v>2400</v>
      </c>
      <c r="G4" s="33">
        <f t="shared" si="2"/>
        <v>0</v>
      </c>
      <c r="H4" s="190">
        <f t="shared" si="3"/>
        <v>2400</v>
      </c>
      <c r="I4" s="78">
        <f t="shared" si="4"/>
        <v>38236.870318749679</v>
      </c>
      <c r="J4" s="78">
        <f t="shared" si="5"/>
        <v>0</v>
      </c>
      <c r="K4" s="78">
        <f t="shared" si="6"/>
        <v>0</v>
      </c>
      <c r="L4" s="78">
        <f t="shared" si="7"/>
        <v>18898.012671614739</v>
      </c>
      <c r="M4" s="194">
        <f t="shared" si="8"/>
        <v>18898.012671614739</v>
      </c>
      <c r="N4" s="78">
        <f t="shared" si="9"/>
        <v>-18898.012671614739</v>
      </c>
      <c r="O4" s="165">
        <v>0</v>
      </c>
      <c r="P4" s="166">
        <f t="shared" si="10"/>
        <v>0</v>
      </c>
      <c r="Q4" s="119">
        <f t="shared" si="11"/>
        <v>17138.857647134941</v>
      </c>
      <c r="R4" s="167">
        <f t="shared" si="12"/>
        <v>942.63717059242174</v>
      </c>
      <c r="S4" s="165">
        <v>0</v>
      </c>
      <c r="T4" s="166">
        <f t="shared" si="13"/>
        <v>0</v>
      </c>
      <c r="U4" s="33">
        <f t="shared" si="14"/>
        <v>18281.494817727362</v>
      </c>
      <c r="V4" s="167">
        <f t="shared" si="15"/>
        <v>1005.4822149750049</v>
      </c>
      <c r="W4" s="165">
        <v>0</v>
      </c>
      <c r="X4" s="166">
        <f t="shared" si="16"/>
        <v>0</v>
      </c>
      <c r="Y4" s="33">
        <f t="shared" si="17"/>
        <v>19486.977032702365</v>
      </c>
      <c r="Z4" s="167">
        <f t="shared" si="18"/>
        <v>1071.7837367986301</v>
      </c>
      <c r="AA4" s="165">
        <v>0</v>
      </c>
      <c r="AB4" s="166">
        <f t="shared" si="19"/>
        <v>0</v>
      </c>
      <c r="AC4" s="33">
        <f t="shared" si="20"/>
        <v>20758.760769500994</v>
      </c>
      <c r="AD4" s="167">
        <f t="shared" si="21"/>
        <v>1141.7318423225547</v>
      </c>
      <c r="AE4" s="165">
        <v>0</v>
      </c>
      <c r="AF4" s="166">
        <f t="shared" si="22"/>
        <v>0</v>
      </c>
      <c r="AG4" s="33">
        <f t="shared" si="23"/>
        <v>22100.492611823549</v>
      </c>
      <c r="AH4" s="167">
        <f t="shared" si="24"/>
        <v>1215.5270936502952</v>
      </c>
      <c r="AI4" s="165">
        <v>0</v>
      </c>
      <c r="AJ4" s="166">
        <f t="shared" si="25"/>
        <v>0</v>
      </c>
      <c r="AK4" s="33">
        <f t="shared" si="26"/>
        <v>23516.019705473846</v>
      </c>
      <c r="AL4" s="167">
        <f t="shared" si="27"/>
        <v>1293.3810838010615</v>
      </c>
      <c r="AM4" s="165">
        <v>0</v>
      </c>
      <c r="AN4" s="166">
        <f t="shared" si="28"/>
        <v>0</v>
      </c>
      <c r="AO4" s="33">
        <f t="shared" si="29"/>
        <v>25009.400789274907</v>
      </c>
      <c r="AP4" s="167">
        <f t="shared" si="30"/>
        <v>1375.5170434101199</v>
      </c>
      <c r="AQ4" s="165">
        <v>0</v>
      </c>
      <c r="AR4" s="166">
        <f t="shared" si="31"/>
        <v>0</v>
      </c>
      <c r="AS4" s="33">
        <f t="shared" si="32"/>
        <v>26584.917832685027</v>
      </c>
      <c r="AT4" s="167">
        <f t="shared" si="33"/>
        <v>1860.944248287952</v>
      </c>
      <c r="AU4" s="165">
        <v>0</v>
      </c>
      <c r="AV4" s="166">
        <f t="shared" si="34"/>
        <v>0</v>
      </c>
      <c r="AW4" s="33">
        <f t="shared" si="35"/>
        <v>28645.86208097298</v>
      </c>
      <c r="AX4" s="167">
        <f t="shared" si="36"/>
        <v>2005.2103456681089</v>
      </c>
      <c r="AY4" s="165">
        <v>0</v>
      </c>
      <c r="AZ4" s="166">
        <f t="shared" si="37"/>
        <v>0</v>
      </c>
      <c r="BA4" s="33">
        <f t="shared" si="38"/>
        <v>30851.072426641091</v>
      </c>
      <c r="BB4" s="167">
        <f t="shared" si="39"/>
        <v>2159.5750698648767</v>
      </c>
      <c r="BC4" s="165">
        <v>0</v>
      </c>
      <c r="BD4" s="166">
        <f t="shared" si="40"/>
        <v>0</v>
      </c>
      <c r="BE4" s="33">
        <f t="shared" si="41"/>
        <v>33210.647496505968</v>
      </c>
      <c r="BF4" s="167">
        <f t="shared" si="42"/>
        <v>2324.7453247554181</v>
      </c>
      <c r="BG4" s="165">
        <v>0</v>
      </c>
      <c r="BH4" s="166">
        <f t="shared" si="43"/>
        <v>0</v>
      </c>
      <c r="BI4" s="33">
        <f t="shared" si="44"/>
        <v>35735.392821261383</v>
      </c>
      <c r="BJ4" s="167">
        <f t="shared" si="45"/>
        <v>2501.4774974882971</v>
      </c>
      <c r="BK4" s="87">
        <f t="shared" si="46"/>
        <v>0</v>
      </c>
      <c r="BL4" s="33">
        <f>'2022-2023'!BL4+'2023-2024'!BK4</f>
        <v>1500</v>
      </c>
    </row>
    <row r="5" spans="1:64">
      <c r="A5" s="10" t="s">
        <v>576</v>
      </c>
      <c r="B5" s="121" t="s">
        <v>109</v>
      </c>
      <c r="C5" s="80">
        <v>0</v>
      </c>
      <c r="D5" s="79">
        <f t="shared" si="0"/>
        <v>2400</v>
      </c>
      <c r="E5" s="78">
        <f>'2022-2023'!I5</f>
        <v>19591.199254714797</v>
      </c>
      <c r="F5" s="187">
        <f t="shared" si="1"/>
        <v>2400</v>
      </c>
      <c r="G5" s="33">
        <f t="shared" si="2"/>
        <v>0</v>
      </c>
      <c r="H5" s="190">
        <f t="shared" si="3"/>
        <v>2400</v>
      </c>
      <c r="I5" s="78">
        <f t="shared" si="4"/>
        <v>43648.34416744145</v>
      </c>
      <c r="J5" s="78">
        <f t="shared" si="5"/>
        <v>0</v>
      </c>
      <c r="K5" s="78">
        <f t="shared" si="6"/>
        <v>0</v>
      </c>
      <c r="L5" s="78">
        <f t="shared" si="7"/>
        <v>21657.14491272665</v>
      </c>
      <c r="M5" s="194">
        <f t="shared" si="8"/>
        <v>21657.14491272665</v>
      </c>
      <c r="N5" s="78">
        <f t="shared" si="9"/>
        <v>-21657.14491272665</v>
      </c>
      <c r="O5" s="165">
        <v>0</v>
      </c>
      <c r="P5" s="166">
        <f t="shared" si="10"/>
        <v>0</v>
      </c>
      <c r="Q5" s="119">
        <f t="shared" si="11"/>
        <v>19791.199254714797</v>
      </c>
      <c r="R5" s="167">
        <f t="shared" si="12"/>
        <v>1088.5159590093137</v>
      </c>
      <c r="S5" s="165">
        <v>0</v>
      </c>
      <c r="T5" s="166">
        <f t="shared" si="13"/>
        <v>0</v>
      </c>
      <c r="U5" s="33">
        <f t="shared" si="14"/>
        <v>21079.71521372411</v>
      </c>
      <c r="V5" s="167">
        <f t="shared" si="15"/>
        <v>1159.3843367548261</v>
      </c>
      <c r="W5" s="165">
        <v>0</v>
      </c>
      <c r="X5" s="166">
        <f t="shared" si="16"/>
        <v>0</v>
      </c>
      <c r="Y5" s="33">
        <f t="shared" si="17"/>
        <v>22439.099550478935</v>
      </c>
      <c r="Z5" s="167">
        <f t="shared" si="18"/>
        <v>1234.1504752763415</v>
      </c>
      <c r="AA5" s="165">
        <v>0</v>
      </c>
      <c r="AB5" s="166">
        <f t="shared" si="19"/>
        <v>0</v>
      </c>
      <c r="AC5" s="33">
        <f t="shared" si="20"/>
        <v>23873.250025755278</v>
      </c>
      <c r="AD5" s="167">
        <f t="shared" si="21"/>
        <v>1313.0287514165402</v>
      </c>
      <c r="AE5" s="165">
        <v>0</v>
      </c>
      <c r="AF5" s="166">
        <f t="shared" si="22"/>
        <v>0</v>
      </c>
      <c r="AG5" s="33">
        <f t="shared" si="23"/>
        <v>25386.278777171818</v>
      </c>
      <c r="AH5" s="167">
        <f t="shared" si="24"/>
        <v>1396.24533274445</v>
      </c>
      <c r="AI5" s="165">
        <v>0</v>
      </c>
      <c r="AJ5" s="166">
        <f t="shared" si="25"/>
        <v>0</v>
      </c>
      <c r="AK5" s="33">
        <f t="shared" si="26"/>
        <v>26982.524109916267</v>
      </c>
      <c r="AL5" s="167">
        <f t="shared" si="27"/>
        <v>1484.0388260453947</v>
      </c>
      <c r="AM5" s="165">
        <v>0</v>
      </c>
      <c r="AN5" s="166">
        <f t="shared" si="28"/>
        <v>0</v>
      </c>
      <c r="AO5" s="33">
        <f t="shared" si="29"/>
        <v>28666.562935961661</v>
      </c>
      <c r="AP5" s="167">
        <f t="shared" si="30"/>
        <v>1576.6609614778913</v>
      </c>
      <c r="AQ5" s="165">
        <v>0</v>
      </c>
      <c r="AR5" s="166">
        <f t="shared" si="31"/>
        <v>0</v>
      </c>
      <c r="AS5" s="33">
        <f t="shared" si="32"/>
        <v>30443.223897439551</v>
      </c>
      <c r="AT5" s="167">
        <f t="shared" si="33"/>
        <v>2131.0256728207687</v>
      </c>
      <c r="AU5" s="165">
        <v>0</v>
      </c>
      <c r="AV5" s="166">
        <f t="shared" si="34"/>
        <v>0</v>
      </c>
      <c r="AW5" s="33">
        <f t="shared" si="35"/>
        <v>32774.249570260319</v>
      </c>
      <c r="AX5" s="167">
        <f t="shared" si="36"/>
        <v>2294.1974699182224</v>
      </c>
      <c r="AY5" s="165">
        <v>0</v>
      </c>
      <c r="AZ5" s="166">
        <f t="shared" si="37"/>
        <v>0</v>
      </c>
      <c r="BA5" s="33">
        <f t="shared" si="38"/>
        <v>35268.447040178544</v>
      </c>
      <c r="BB5" s="167">
        <f t="shared" si="39"/>
        <v>2468.7912928124983</v>
      </c>
      <c r="BC5" s="165">
        <v>0</v>
      </c>
      <c r="BD5" s="166">
        <f t="shared" si="40"/>
        <v>0</v>
      </c>
      <c r="BE5" s="33">
        <f t="shared" si="41"/>
        <v>37937.238332991044</v>
      </c>
      <c r="BF5" s="167">
        <f t="shared" si="42"/>
        <v>2655.6066833093732</v>
      </c>
      <c r="BG5" s="165">
        <v>0</v>
      </c>
      <c r="BH5" s="166">
        <f t="shared" si="43"/>
        <v>0</v>
      </c>
      <c r="BI5" s="33">
        <f t="shared" si="44"/>
        <v>40792.845016300416</v>
      </c>
      <c r="BJ5" s="167">
        <f t="shared" si="45"/>
        <v>2855.4991511410294</v>
      </c>
      <c r="BK5" s="87">
        <f t="shared" si="46"/>
        <v>0</v>
      </c>
      <c r="BL5" s="33">
        <f>'2022-2023'!BL5+'2023-2024'!BK5</f>
        <v>200</v>
      </c>
    </row>
    <row r="6" spans="1:64" s="85" customFormat="1">
      <c r="A6" s="10" t="s">
        <v>577</v>
      </c>
      <c r="B6" s="121" t="s">
        <v>110</v>
      </c>
      <c r="C6" s="80">
        <v>0</v>
      </c>
      <c r="D6" s="79">
        <f t="shared" si="0"/>
        <v>2400</v>
      </c>
      <c r="E6" s="78">
        <f>'2022-2023'!I6</f>
        <v>8902.9358628837472</v>
      </c>
      <c r="F6" s="187">
        <f t="shared" si="1"/>
        <v>2400</v>
      </c>
      <c r="G6" s="33">
        <f t="shared" si="2"/>
        <v>0</v>
      </c>
      <c r="H6" s="190">
        <f t="shared" si="3"/>
        <v>2400</v>
      </c>
      <c r="I6" s="78">
        <f t="shared" si="4"/>
        <v>21841.478239036762</v>
      </c>
      <c r="J6" s="78">
        <f t="shared" si="5"/>
        <v>0</v>
      </c>
      <c r="K6" s="78">
        <f t="shared" si="6"/>
        <v>0</v>
      </c>
      <c r="L6" s="78">
        <f t="shared" si="7"/>
        <v>10538.542376153015</v>
      </c>
      <c r="M6" s="194">
        <f t="shared" si="8"/>
        <v>10538.542376153015</v>
      </c>
      <c r="N6" s="78">
        <f t="shared" si="9"/>
        <v>-10538.542376153015</v>
      </c>
      <c r="O6" s="165">
        <v>0</v>
      </c>
      <c r="P6" s="166">
        <f t="shared" si="10"/>
        <v>0</v>
      </c>
      <c r="Q6" s="119">
        <f t="shared" si="11"/>
        <v>9102.9358628837472</v>
      </c>
      <c r="R6" s="167">
        <f t="shared" si="12"/>
        <v>500.66147245860611</v>
      </c>
      <c r="S6" s="165">
        <v>0</v>
      </c>
      <c r="T6" s="166">
        <f t="shared" si="13"/>
        <v>0</v>
      </c>
      <c r="U6" s="33">
        <f t="shared" si="14"/>
        <v>9803.5973353423542</v>
      </c>
      <c r="V6" s="167">
        <f t="shared" si="15"/>
        <v>539.19785344382944</v>
      </c>
      <c r="W6" s="165">
        <v>0</v>
      </c>
      <c r="X6" s="166">
        <f t="shared" si="16"/>
        <v>0</v>
      </c>
      <c r="Y6" s="33">
        <f t="shared" si="17"/>
        <v>10542.795188786184</v>
      </c>
      <c r="Z6" s="167">
        <f t="shared" si="18"/>
        <v>579.85373538324006</v>
      </c>
      <c r="AA6" s="165">
        <v>0</v>
      </c>
      <c r="AB6" s="166">
        <f t="shared" si="19"/>
        <v>0</v>
      </c>
      <c r="AC6" s="33">
        <f t="shared" si="20"/>
        <v>11322.648924169423</v>
      </c>
      <c r="AD6" s="167">
        <f t="shared" si="21"/>
        <v>622.74569082931828</v>
      </c>
      <c r="AE6" s="165">
        <v>0</v>
      </c>
      <c r="AF6" s="166">
        <f t="shared" si="22"/>
        <v>0</v>
      </c>
      <c r="AG6" s="33">
        <f t="shared" si="23"/>
        <v>12145.394614998742</v>
      </c>
      <c r="AH6" s="167">
        <f t="shared" si="24"/>
        <v>667.99670382493082</v>
      </c>
      <c r="AI6" s="165">
        <v>0</v>
      </c>
      <c r="AJ6" s="166">
        <f t="shared" si="25"/>
        <v>0</v>
      </c>
      <c r="AK6" s="33">
        <f t="shared" si="26"/>
        <v>13013.391318823673</v>
      </c>
      <c r="AL6" s="167">
        <f t="shared" si="27"/>
        <v>715.73652253530202</v>
      </c>
      <c r="AM6" s="165">
        <v>0</v>
      </c>
      <c r="AN6" s="166">
        <f t="shared" si="28"/>
        <v>0</v>
      </c>
      <c r="AO6" s="33">
        <f t="shared" si="29"/>
        <v>13929.127841358975</v>
      </c>
      <c r="AP6" s="167">
        <f t="shared" si="30"/>
        <v>766.10203127474369</v>
      </c>
      <c r="AQ6" s="165">
        <v>0</v>
      </c>
      <c r="AR6" s="166">
        <f t="shared" si="31"/>
        <v>0</v>
      </c>
      <c r="AS6" s="33">
        <f t="shared" si="32"/>
        <v>14895.229872633719</v>
      </c>
      <c r="AT6" s="167">
        <f t="shared" si="33"/>
        <v>1042.6660910843605</v>
      </c>
      <c r="AU6" s="165">
        <v>0</v>
      </c>
      <c r="AV6" s="166">
        <f t="shared" si="34"/>
        <v>0</v>
      </c>
      <c r="AW6" s="33">
        <f t="shared" si="35"/>
        <v>16137.89596371808</v>
      </c>
      <c r="AX6" s="167">
        <f t="shared" si="36"/>
        <v>1129.6527174602656</v>
      </c>
      <c r="AY6" s="165">
        <v>0</v>
      </c>
      <c r="AZ6" s="166">
        <f t="shared" si="37"/>
        <v>0</v>
      </c>
      <c r="BA6" s="33">
        <f t="shared" si="38"/>
        <v>17467.548681178345</v>
      </c>
      <c r="BB6" s="167">
        <f t="shared" si="39"/>
        <v>1222.7284076824842</v>
      </c>
      <c r="BC6" s="165">
        <v>0</v>
      </c>
      <c r="BD6" s="166">
        <f t="shared" si="40"/>
        <v>0</v>
      </c>
      <c r="BE6" s="33">
        <f t="shared" si="41"/>
        <v>18890.277088860828</v>
      </c>
      <c r="BF6" s="167">
        <f t="shared" si="42"/>
        <v>1322.3193962202581</v>
      </c>
      <c r="BG6" s="165">
        <v>0</v>
      </c>
      <c r="BH6" s="166">
        <f t="shared" si="43"/>
        <v>0</v>
      </c>
      <c r="BI6" s="33">
        <f t="shared" si="44"/>
        <v>20412.596485081085</v>
      </c>
      <c r="BJ6" s="167">
        <f t="shared" si="45"/>
        <v>1428.881753955676</v>
      </c>
      <c r="BK6" s="87">
        <f t="shared" si="46"/>
        <v>0</v>
      </c>
      <c r="BL6" s="33">
        <f>'2022-2023'!BL6+'2023-2024'!BK6</f>
        <v>5438.67</v>
      </c>
    </row>
    <row r="7" spans="1:64">
      <c r="A7" s="10" t="s">
        <v>578</v>
      </c>
      <c r="B7" s="121" t="s">
        <v>137</v>
      </c>
      <c r="C7" s="80">
        <v>0</v>
      </c>
      <c r="D7" s="79">
        <f t="shared" si="0"/>
        <v>2400</v>
      </c>
      <c r="E7" s="78">
        <f>'2022-2023'!I7</f>
        <v>9797.9379344199442</v>
      </c>
      <c r="F7" s="187">
        <f t="shared" si="1"/>
        <v>2400</v>
      </c>
      <c r="G7" s="33">
        <f t="shared" si="2"/>
        <v>0</v>
      </c>
      <c r="H7" s="190">
        <f t="shared" si="3"/>
        <v>2400</v>
      </c>
      <c r="I7" s="78">
        <f t="shared" si="4"/>
        <v>23667.517649194931</v>
      </c>
      <c r="J7" s="78">
        <f t="shared" si="5"/>
        <v>0</v>
      </c>
      <c r="K7" s="78">
        <f t="shared" si="6"/>
        <v>0</v>
      </c>
      <c r="L7" s="78">
        <f t="shared" si="7"/>
        <v>11469.579714774985</v>
      </c>
      <c r="M7" s="194">
        <f t="shared" si="8"/>
        <v>11469.579714774985</v>
      </c>
      <c r="N7" s="78">
        <f t="shared" si="9"/>
        <v>-11469.579714774985</v>
      </c>
      <c r="O7" s="165">
        <v>0</v>
      </c>
      <c r="P7" s="166">
        <f t="shared" si="10"/>
        <v>0</v>
      </c>
      <c r="Q7" s="119">
        <f t="shared" si="11"/>
        <v>9997.9379344199442</v>
      </c>
      <c r="R7" s="167">
        <f t="shared" si="12"/>
        <v>549.88658639309699</v>
      </c>
      <c r="S7" s="165">
        <v>0</v>
      </c>
      <c r="T7" s="166">
        <f t="shared" si="13"/>
        <v>0</v>
      </c>
      <c r="U7" s="33">
        <f t="shared" si="14"/>
        <v>10747.824520813041</v>
      </c>
      <c r="V7" s="167">
        <f t="shared" si="15"/>
        <v>591.13034864471729</v>
      </c>
      <c r="W7" s="165">
        <v>0</v>
      </c>
      <c r="X7" s="166">
        <f t="shared" si="16"/>
        <v>0</v>
      </c>
      <c r="Y7" s="33">
        <f t="shared" si="17"/>
        <v>11538.954869457759</v>
      </c>
      <c r="Z7" s="167">
        <f t="shared" si="18"/>
        <v>634.64251782017675</v>
      </c>
      <c r="AA7" s="165">
        <v>0</v>
      </c>
      <c r="AB7" s="166">
        <f t="shared" si="19"/>
        <v>0</v>
      </c>
      <c r="AC7" s="33">
        <f t="shared" si="20"/>
        <v>12373.597387277936</v>
      </c>
      <c r="AD7" s="167">
        <f t="shared" si="21"/>
        <v>680.54785630028653</v>
      </c>
      <c r="AE7" s="165">
        <v>0</v>
      </c>
      <c r="AF7" s="166">
        <f t="shared" si="22"/>
        <v>0</v>
      </c>
      <c r="AG7" s="33">
        <f t="shared" si="23"/>
        <v>13254.145243578223</v>
      </c>
      <c r="AH7" s="167">
        <f t="shared" si="24"/>
        <v>728.97798839680229</v>
      </c>
      <c r="AI7" s="165">
        <v>0</v>
      </c>
      <c r="AJ7" s="166">
        <f t="shared" si="25"/>
        <v>0</v>
      </c>
      <c r="AK7" s="33">
        <f t="shared" si="26"/>
        <v>14183.123231975025</v>
      </c>
      <c r="AL7" s="167">
        <f t="shared" si="27"/>
        <v>780.07177775862635</v>
      </c>
      <c r="AM7" s="165">
        <v>0</v>
      </c>
      <c r="AN7" s="166">
        <f t="shared" si="28"/>
        <v>0</v>
      </c>
      <c r="AO7" s="33">
        <f t="shared" si="29"/>
        <v>15163.195009733652</v>
      </c>
      <c r="AP7" s="167">
        <f t="shared" si="30"/>
        <v>833.97572553535088</v>
      </c>
      <c r="AQ7" s="165">
        <v>0</v>
      </c>
      <c r="AR7" s="166">
        <f t="shared" si="31"/>
        <v>0</v>
      </c>
      <c r="AS7" s="33">
        <f t="shared" si="32"/>
        <v>16197.170735269003</v>
      </c>
      <c r="AT7" s="167">
        <f t="shared" si="33"/>
        <v>1133.8019514688303</v>
      </c>
      <c r="AU7" s="165">
        <v>0</v>
      </c>
      <c r="AV7" s="166">
        <f t="shared" si="34"/>
        <v>0</v>
      </c>
      <c r="AW7" s="33">
        <f t="shared" si="35"/>
        <v>17530.972686737834</v>
      </c>
      <c r="AX7" s="167">
        <f t="shared" si="36"/>
        <v>1227.1680880716485</v>
      </c>
      <c r="AY7" s="165">
        <v>0</v>
      </c>
      <c r="AZ7" s="166">
        <f t="shared" si="37"/>
        <v>0</v>
      </c>
      <c r="BA7" s="33">
        <f t="shared" si="38"/>
        <v>18958.140774809483</v>
      </c>
      <c r="BB7" s="167">
        <f t="shared" si="39"/>
        <v>1327.069854236664</v>
      </c>
      <c r="BC7" s="165">
        <v>0</v>
      </c>
      <c r="BD7" s="166">
        <f t="shared" si="40"/>
        <v>0</v>
      </c>
      <c r="BE7" s="33">
        <f t="shared" si="41"/>
        <v>20485.210629046145</v>
      </c>
      <c r="BF7" s="167">
        <f t="shared" si="42"/>
        <v>1433.9647440332303</v>
      </c>
      <c r="BG7" s="165">
        <v>0</v>
      </c>
      <c r="BH7" s="166">
        <f t="shared" si="43"/>
        <v>0</v>
      </c>
      <c r="BI7" s="33">
        <f t="shared" si="44"/>
        <v>22119.175373079375</v>
      </c>
      <c r="BJ7" s="167">
        <f t="shared" si="45"/>
        <v>1548.3422761155564</v>
      </c>
      <c r="BK7" s="87">
        <f t="shared" si="46"/>
        <v>0</v>
      </c>
      <c r="BL7" s="33">
        <f>'2022-2023'!BL7+'2023-2024'!BK7</f>
        <v>5600</v>
      </c>
    </row>
    <row r="8" spans="1:64" s="41" customFormat="1">
      <c r="A8" s="10" t="s">
        <v>579</v>
      </c>
      <c r="B8" s="10" t="s">
        <v>175</v>
      </c>
      <c r="C8" s="80">
        <v>0</v>
      </c>
      <c r="D8" s="79">
        <f t="shared" si="0"/>
        <v>2400</v>
      </c>
      <c r="E8" s="78">
        <f>'2022-2023'!I8</f>
        <v>19999.251809727084</v>
      </c>
      <c r="F8" s="187">
        <f t="shared" si="1"/>
        <v>2400</v>
      </c>
      <c r="G8" s="33">
        <f t="shared" si="2"/>
        <v>0</v>
      </c>
      <c r="H8" s="190">
        <f t="shared" si="3"/>
        <v>2400</v>
      </c>
      <c r="I8" s="78">
        <f t="shared" si="4"/>
        <v>44480.878605701728</v>
      </c>
      <c r="J8" s="78">
        <f t="shared" si="5"/>
        <v>0</v>
      </c>
      <c r="K8" s="78">
        <f t="shared" si="6"/>
        <v>0</v>
      </c>
      <c r="L8" s="78">
        <f t="shared" si="7"/>
        <v>22081.62679597464</v>
      </c>
      <c r="M8" s="194">
        <f t="shared" si="8"/>
        <v>22081.62679597464</v>
      </c>
      <c r="N8" s="78">
        <f t="shared" si="9"/>
        <v>-22081.62679597464</v>
      </c>
      <c r="O8" s="165">
        <v>0</v>
      </c>
      <c r="P8" s="166">
        <f t="shared" si="10"/>
        <v>0</v>
      </c>
      <c r="Q8" s="119">
        <f t="shared" si="11"/>
        <v>20199.251809727084</v>
      </c>
      <c r="R8" s="167">
        <f t="shared" si="12"/>
        <v>1110.9588495349897</v>
      </c>
      <c r="S8" s="165">
        <v>0</v>
      </c>
      <c r="T8" s="166">
        <f t="shared" si="13"/>
        <v>0</v>
      </c>
      <c r="U8" s="33">
        <f t="shared" si="14"/>
        <v>21510.210659262073</v>
      </c>
      <c r="V8" s="167">
        <f t="shared" si="15"/>
        <v>1183.0615862594141</v>
      </c>
      <c r="W8" s="165">
        <v>0</v>
      </c>
      <c r="X8" s="166">
        <f t="shared" si="16"/>
        <v>0</v>
      </c>
      <c r="Y8" s="33">
        <f t="shared" si="17"/>
        <v>22893.272245521486</v>
      </c>
      <c r="Z8" s="167">
        <f t="shared" si="18"/>
        <v>1259.1299735036816</v>
      </c>
      <c r="AA8" s="165">
        <v>0</v>
      </c>
      <c r="AB8" s="166">
        <f t="shared" si="19"/>
        <v>0</v>
      </c>
      <c r="AC8" s="33">
        <f t="shared" si="20"/>
        <v>24352.402219025167</v>
      </c>
      <c r="AD8" s="167">
        <f t="shared" si="21"/>
        <v>1339.3821220463842</v>
      </c>
      <c r="AE8" s="165">
        <v>0</v>
      </c>
      <c r="AF8" s="166">
        <f t="shared" si="22"/>
        <v>0</v>
      </c>
      <c r="AG8" s="33">
        <f t="shared" si="23"/>
        <v>25891.78434107155</v>
      </c>
      <c r="AH8" s="167">
        <f t="shared" si="24"/>
        <v>1424.0481387589352</v>
      </c>
      <c r="AI8" s="165">
        <v>0</v>
      </c>
      <c r="AJ8" s="166">
        <f t="shared" si="25"/>
        <v>0</v>
      </c>
      <c r="AK8" s="33">
        <f t="shared" si="26"/>
        <v>27515.832479830486</v>
      </c>
      <c r="AL8" s="167">
        <f t="shared" si="27"/>
        <v>1513.3707863906768</v>
      </c>
      <c r="AM8" s="165">
        <v>0</v>
      </c>
      <c r="AN8" s="166">
        <f t="shared" si="28"/>
        <v>0</v>
      </c>
      <c r="AO8" s="33">
        <f t="shared" si="29"/>
        <v>29229.203266221164</v>
      </c>
      <c r="AP8" s="167">
        <f t="shared" si="30"/>
        <v>1607.6061796421641</v>
      </c>
      <c r="AQ8" s="165">
        <v>0</v>
      </c>
      <c r="AR8" s="166">
        <f t="shared" si="31"/>
        <v>0</v>
      </c>
      <c r="AS8" s="33">
        <f t="shared" si="32"/>
        <v>31036.809445863328</v>
      </c>
      <c r="AT8" s="167">
        <f t="shared" si="33"/>
        <v>2172.576661210433</v>
      </c>
      <c r="AU8" s="165">
        <v>0</v>
      </c>
      <c r="AV8" s="166">
        <f t="shared" si="34"/>
        <v>0</v>
      </c>
      <c r="AW8" s="33">
        <f t="shared" si="35"/>
        <v>33409.386107073762</v>
      </c>
      <c r="AX8" s="167">
        <f t="shared" si="36"/>
        <v>2338.6570274951637</v>
      </c>
      <c r="AY8" s="165">
        <v>0</v>
      </c>
      <c r="AZ8" s="166">
        <f t="shared" si="37"/>
        <v>0</v>
      </c>
      <c r="BA8" s="33">
        <f t="shared" si="38"/>
        <v>35948.043134568929</v>
      </c>
      <c r="BB8" s="167">
        <f t="shared" si="39"/>
        <v>2516.3630194198254</v>
      </c>
      <c r="BC8" s="165">
        <v>0</v>
      </c>
      <c r="BD8" s="166">
        <f t="shared" si="40"/>
        <v>0</v>
      </c>
      <c r="BE8" s="33">
        <f t="shared" si="41"/>
        <v>38664.406153988755</v>
      </c>
      <c r="BF8" s="167">
        <f t="shared" si="42"/>
        <v>2706.5084307792131</v>
      </c>
      <c r="BG8" s="165">
        <v>0</v>
      </c>
      <c r="BH8" s="166">
        <f t="shared" si="43"/>
        <v>0</v>
      </c>
      <c r="BI8" s="33">
        <f t="shared" si="44"/>
        <v>41570.914584767968</v>
      </c>
      <c r="BJ8" s="167">
        <f t="shared" si="45"/>
        <v>2909.9640209337581</v>
      </c>
      <c r="BK8" s="87">
        <f t="shared" si="46"/>
        <v>0</v>
      </c>
      <c r="BL8" s="33">
        <f>'2022-2023'!BL8+'2023-2024'!BK8</f>
        <v>0</v>
      </c>
    </row>
    <row r="9" spans="1:64">
      <c r="A9" s="10" t="s">
        <v>580</v>
      </c>
      <c r="B9" s="10" t="s">
        <v>111</v>
      </c>
      <c r="C9" s="80">
        <v>0</v>
      </c>
      <c r="D9" s="79">
        <f t="shared" si="0"/>
        <v>2400</v>
      </c>
      <c r="E9" s="78">
        <f>'2022-2023'!I9</f>
        <v>15714.699982098082</v>
      </c>
      <c r="F9" s="187">
        <f t="shared" si="1"/>
        <v>2400</v>
      </c>
      <c r="G9" s="33">
        <f t="shared" si="2"/>
        <v>0</v>
      </c>
      <c r="H9" s="190">
        <f t="shared" si="3"/>
        <v>2400</v>
      </c>
      <c r="I9" s="78">
        <f t="shared" si="4"/>
        <v>35739.26700396886</v>
      </c>
      <c r="J9" s="78">
        <f t="shared" si="5"/>
        <v>0</v>
      </c>
      <c r="K9" s="78">
        <f t="shared" si="6"/>
        <v>0</v>
      </c>
      <c r="L9" s="78">
        <f t="shared" si="7"/>
        <v>17624.567021870778</v>
      </c>
      <c r="M9" s="194">
        <f t="shared" si="8"/>
        <v>17624.567021870778</v>
      </c>
      <c r="N9" s="78">
        <f t="shared" si="9"/>
        <v>-17624.567021870778</v>
      </c>
      <c r="O9" s="165">
        <v>0</v>
      </c>
      <c r="P9" s="166">
        <f t="shared" si="10"/>
        <v>0</v>
      </c>
      <c r="Q9" s="119">
        <f t="shared" si="11"/>
        <v>15914.699982098082</v>
      </c>
      <c r="R9" s="167">
        <f t="shared" si="12"/>
        <v>875.30849901539455</v>
      </c>
      <c r="S9" s="165">
        <v>0</v>
      </c>
      <c r="T9" s="166">
        <f t="shared" si="13"/>
        <v>0</v>
      </c>
      <c r="U9" s="33">
        <f t="shared" si="14"/>
        <v>16990.008481113477</v>
      </c>
      <c r="V9" s="167">
        <f t="shared" si="15"/>
        <v>934.45046646124126</v>
      </c>
      <c r="W9" s="165">
        <v>0</v>
      </c>
      <c r="X9" s="166">
        <f t="shared" si="16"/>
        <v>0</v>
      </c>
      <c r="Y9" s="33">
        <f t="shared" si="17"/>
        <v>18124.458947574716</v>
      </c>
      <c r="Z9" s="167">
        <f t="shared" si="18"/>
        <v>996.84524211660937</v>
      </c>
      <c r="AA9" s="165">
        <v>0</v>
      </c>
      <c r="AB9" s="166">
        <f t="shared" si="19"/>
        <v>0</v>
      </c>
      <c r="AC9" s="33">
        <f t="shared" si="20"/>
        <v>19321.304189691327</v>
      </c>
      <c r="AD9" s="167">
        <f t="shared" si="21"/>
        <v>1062.671730433023</v>
      </c>
      <c r="AE9" s="165">
        <v>0</v>
      </c>
      <c r="AF9" s="166">
        <f t="shared" si="22"/>
        <v>0</v>
      </c>
      <c r="AG9" s="33">
        <f t="shared" si="23"/>
        <v>20583.975920124351</v>
      </c>
      <c r="AH9" s="167">
        <f t="shared" si="24"/>
        <v>1132.1186756068394</v>
      </c>
      <c r="AI9" s="165">
        <v>0</v>
      </c>
      <c r="AJ9" s="166">
        <f t="shared" si="25"/>
        <v>0</v>
      </c>
      <c r="AK9" s="33">
        <f t="shared" si="26"/>
        <v>21916.094595731189</v>
      </c>
      <c r="AL9" s="167">
        <f t="shared" si="27"/>
        <v>1205.3852027652154</v>
      </c>
      <c r="AM9" s="165">
        <v>0</v>
      </c>
      <c r="AN9" s="166">
        <f t="shared" si="28"/>
        <v>0</v>
      </c>
      <c r="AO9" s="33">
        <f t="shared" si="29"/>
        <v>23321.479798496403</v>
      </c>
      <c r="AP9" s="167">
        <f t="shared" si="30"/>
        <v>1282.6813889173022</v>
      </c>
      <c r="AQ9" s="165">
        <v>0</v>
      </c>
      <c r="AR9" s="166">
        <f t="shared" si="31"/>
        <v>0</v>
      </c>
      <c r="AS9" s="33">
        <f t="shared" si="32"/>
        <v>24804.161187413705</v>
      </c>
      <c r="AT9" s="167">
        <f t="shared" si="33"/>
        <v>1736.2912831189594</v>
      </c>
      <c r="AU9" s="165">
        <v>0</v>
      </c>
      <c r="AV9" s="166">
        <f t="shared" si="34"/>
        <v>0</v>
      </c>
      <c r="AW9" s="33">
        <f t="shared" si="35"/>
        <v>26740.452470532666</v>
      </c>
      <c r="AX9" s="167">
        <f t="shared" si="36"/>
        <v>1871.8316729372868</v>
      </c>
      <c r="AY9" s="165">
        <v>0</v>
      </c>
      <c r="AZ9" s="166">
        <f t="shared" si="37"/>
        <v>0</v>
      </c>
      <c r="BA9" s="33">
        <f t="shared" si="38"/>
        <v>28812.284143469951</v>
      </c>
      <c r="BB9" s="167">
        <f t="shared" si="39"/>
        <v>2016.8598900428967</v>
      </c>
      <c r="BC9" s="165">
        <v>0</v>
      </c>
      <c r="BD9" s="166">
        <f t="shared" si="40"/>
        <v>0</v>
      </c>
      <c r="BE9" s="33">
        <f t="shared" si="41"/>
        <v>31029.144033512846</v>
      </c>
      <c r="BF9" s="167">
        <f t="shared" si="42"/>
        <v>2172.0400823458995</v>
      </c>
      <c r="BG9" s="165">
        <v>0</v>
      </c>
      <c r="BH9" s="166">
        <f t="shared" si="43"/>
        <v>0</v>
      </c>
      <c r="BI9" s="33">
        <f t="shared" si="44"/>
        <v>33401.184115858749</v>
      </c>
      <c r="BJ9" s="167">
        <f t="shared" si="45"/>
        <v>2338.0828881101124</v>
      </c>
      <c r="BK9" s="87">
        <f t="shared" si="46"/>
        <v>0</v>
      </c>
      <c r="BL9" s="33">
        <f>'2022-2023'!BL9+'2023-2024'!BK9</f>
        <v>2300</v>
      </c>
    </row>
    <row r="10" spans="1:64">
      <c r="A10" s="10" t="s">
        <v>581</v>
      </c>
      <c r="B10" s="10" t="s">
        <v>112</v>
      </c>
      <c r="C10" s="80">
        <v>0</v>
      </c>
      <c r="D10" s="79">
        <f t="shared" si="0"/>
        <v>2400</v>
      </c>
      <c r="E10" s="78">
        <f>'2022-2023'!I10</f>
        <v>9593.9116569138005</v>
      </c>
      <c r="F10" s="187">
        <f t="shared" si="1"/>
        <v>2400</v>
      </c>
      <c r="G10" s="33">
        <f t="shared" si="2"/>
        <v>800</v>
      </c>
      <c r="H10" s="190">
        <f t="shared" si="3"/>
        <v>1600</v>
      </c>
      <c r="I10" s="78">
        <f t="shared" si="4"/>
        <v>22191.424233784794</v>
      </c>
      <c r="J10" s="78">
        <f t="shared" si="5"/>
        <v>0</v>
      </c>
      <c r="K10" s="78">
        <f t="shared" si="6"/>
        <v>44</v>
      </c>
      <c r="L10" s="78">
        <f t="shared" si="7"/>
        <v>10997.512576870993</v>
      </c>
      <c r="M10" s="194">
        <f t="shared" si="8"/>
        <v>10997.512576870993</v>
      </c>
      <c r="N10" s="78">
        <f t="shared" si="9"/>
        <v>-10153.512576870993</v>
      </c>
      <c r="O10" s="165">
        <v>0</v>
      </c>
      <c r="P10" s="166">
        <f t="shared" si="10"/>
        <v>0</v>
      </c>
      <c r="Q10" s="119">
        <f t="shared" si="11"/>
        <v>9793.9116569138005</v>
      </c>
      <c r="R10" s="167">
        <f t="shared" si="12"/>
        <v>538.66514113025903</v>
      </c>
      <c r="S10" s="165">
        <v>0</v>
      </c>
      <c r="T10" s="166">
        <f t="shared" si="13"/>
        <v>0</v>
      </c>
      <c r="U10" s="33">
        <f t="shared" si="14"/>
        <v>10532.57679804406</v>
      </c>
      <c r="V10" s="167">
        <f t="shared" si="15"/>
        <v>579.29172389242331</v>
      </c>
      <c r="W10" s="165">
        <v>0</v>
      </c>
      <c r="X10" s="166">
        <f t="shared" si="16"/>
        <v>0</v>
      </c>
      <c r="Y10" s="33">
        <f t="shared" si="17"/>
        <v>11311.868521936483</v>
      </c>
      <c r="Z10" s="167">
        <f t="shared" si="18"/>
        <v>622.15276870650655</v>
      </c>
      <c r="AA10" s="165">
        <v>0</v>
      </c>
      <c r="AB10" s="166">
        <f t="shared" si="19"/>
        <v>0</v>
      </c>
      <c r="AC10" s="33">
        <f t="shared" si="20"/>
        <v>12134.02129064299</v>
      </c>
      <c r="AD10" s="167">
        <f t="shared" si="21"/>
        <v>667.37117098536442</v>
      </c>
      <c r="AE10" s="165">
        <v>0</v>
      </c>
      <c r="AF10" s="166">
        <f t="shared" si="22"/>
        <v>0</v>
      </c>
      <c r="AG10" s="33">
        <f t="shared" si="23"/>
        <v>13001.392461628355</v>
      </c>
      <c r="AH10" s="167">
        <f t="shared" si="24"/>
        <v>715.07658538955957</v>
      </c>
      <c r="AI10" s="165">
        <v>0</v>
      </c>
      <c r="AJ10" s="166">
        <f t="shared" si="25"/>
        <v>0</v>
      </c>
      <c r="AK10" s="33">
        <f t="shared" si="26"/>
        <v>13916.469047017914</v>
      </c>
      <c r="AL10" s="167">
        <f t="shared" si="27"/>
        <v>765.40579758598528</v>
      </c>
      <c r="AM10" s="165">
        <v>0</v>
      </c>
      <c r="AN10" s="166">
        <f t="shared" si="28"/>
        <v>0</v>
      </c>
      <c r="AO10" s="33">
        <f t="shared" si="29"/>
        <v>14881.874844603899</v>
      </c>
      <c r="AP10" s="167">
        <f t="shared" si="30"/>
        <v>818.50311645321449</v>
      </c>
      <c r="AQ10" s="165">
        <v>200</v>
      </c>
      <c r="AR10" s="166">
        <f t="shared" si="31"/>
        <v>0</v>
      </c>
      <c r="AS10" s="33">
        <f t="shared" si="32"/>
        <v>15700.377961057113</v>
      </c>
      <c r="AT10" s="167">
        <f t="shared" si="33"/>
        <v>1085.0264572739979</v>
      </c>
      <c r="AU10" s="165">
        <v>300</v>
      </c>
      <c r="AV10" s="166">
        <f t="shared" si="34"/>
        <v>0</v>
      </c>
      <c r="AW10" s="33">
        <f t="shared" si="35"/>
        <v>16685.404418331113</v>
      </c>
      <c r="AX10" s="167">
        <f t="shared" si="36"/>
        <v>1146.9783092831781</v>
      </c>
      <c r="AY10" s="165">
        <v>0</v>
      </c>
      <c r="AZ10" s="166">
        <f t="shared" si="37"/>
        <v>0</v>
      </c>
      <c r="BA10" s="33">
        <f t="shared" si="38"/>
        <v>18032.382727614291</v>
      </c>
      <c r="BB10" s="167">
        <f t="shared" si="39"/>
        <v>1262.2667909330005</v>
      </c>
      <c r="BC10" s="165">
        <v>0</v>
      </c>
      <c r="BD10" s="166">
        <f t="shared" si="40"/>
        <v>0</v>
      </c>
      <c r="BE10" s="33">
        <f t="shared" si="41"/>
        <v>19494.649518547292</v>
      </c>
      <c r="BF10" s="167">
        <f t="shared" si="42"/>
        <v>1364.6254662983106</v>
      </c>
      <c r="BG10" s="165">
        <v>300</v>
      </c>
      <c r="BH10" s="166">
        <f t="shared" si="43"/>
        <v>0</v>
      </c>
      <c r="BI10" s="33">
        <f t="shared" si="44"/>
        <v>20759.274984845604</v>
      </c>
      <c r="BJ10" s="167">
        <f t="shared" si="45"/>
        <v>1432.1492489391924</v>
      </c>
      <c r="BK10" s="87">
        <f t="shared" si="46"/>
        <v>800</v>
      </c>
      <c r="BL10" s="33">
        <f>'2022-2023'!BL10+'2023-2024'!BK10</f>
        <v>5900</v>
      </c>
    </row>
    <row r="11" spans="1:64">
      <c r="A11" s="10" t="s">
        <v>582</v>
      </c>
      <c r="B11" s="10" t="s">
        <v>138</v>
      </c>
      <c r="C11" s="80">
        <v>0</v>
      </c>
      <c r="D11" s="79">
        <f t="shared" si="0"/>
        <v>2400</v>
      </c>
      <c r="E11" s="78">
        <f>'2022-2023'!I11</f>
        <v>15257.680145575805</v>
      </c>
      <c r="F11" s="187">
        <f t="shared" si="1"/>
        <v>2400</v>
      </c>
      <c r="G11" s="33">
        <f t="shared" si="2"/>
        <v>0</v>
      </c>
      <c r="H11" s="190">
        <f t="shared" si="3"/>
        <v>2400</v>
      </c>
      <c r="I11" s="78">
        <f t="shared" si="4"/>
        <v>34806.826444047801</v>
      </c>
      <c r="J11" s="78">
        <f t="shared" si="5"/>
        <v>0</v>
      </c>
      <c r="K11" s="78">
        <f t="shared" si="6"/>
        <v>0</v>
      </c>
      <c r="L11" s="78">
        <f t="shared" si="7"/>
        <v>17149.146298471998</v>
      </c>
      <c r="M11" s="194">
        <f t="shared" si="8"/>
        <v>17149.146298471998</v>
      </c>
      <c r="N11" s="78">
        <f t="shared" si="9"/>
        <v>-17149.146298471998</v>
      </c>
      <c r="O11" s="165">
        <v>0</v>
      </c>
      <c r="P11" s="166">
        <f t="shared" si="10"/>
        <v>0</v>
      </c>
      <c r="Q11" s="119">
        <f t="shared" si="11"/>
        <v>15457.680145575805</v>
      </c>
      <c r="R11" s="167">
        <f t="shared" si="12"/>
        <v>850.17240800666923</v>
      </c>
      <c r="S11" s="165">
        <v>0</v>
      </c>
      <c r="T11" s="166">
        <f t="shared" si="13"/>
        <v>0</v>
      </c>
      <c r="U11" s="33">
        <f t="shared" si="14"/>
        <v>16507.852553582474</v>
      </c>
      <c r="V11" s="167">
        <f t="shared" si="15"/>
        <v>907.93189044703604</v>
      </c>
      <c r="W11" s="165">
        <v>0</v>
      </c>
      <c r="X11" s="166">
        <f t="shared" si="16"/>
        <v>0</v>
      </c>
      <c r="Y11" s="33">
        <f t="shared" si="17"/>
        <v>17615.784444029508</v>
      </c>
      <c r="Z11" s="167">
        <f t="shared" si="18"/>
        <v>968.86814442162301</v>
      </c>
      <c r="AA11" s="165">
        <v>0</v>
      </c>
      <c r="AB11" s="166">
        <f t="shared" si="19"/>
        <v>0</v>
      </c>
      <c r="AC11" s="33">
        <f t="shared" si="20"/>
        <v>18784.652588451132</v>
      </c>
      <c r="AD11" s="167">
        <f t="shared" si="21"/>
        <v>1033.1558923648122</v>
      </c>
      <c r="AE11" s="165">
        <v>0</v>
      </c>
      <c r="AF11" s="166">
        <f t="shared" si="22"/>
        <v>0</v>
      </c>
      <c r="AG11" s="33">
        <f t="shared" si="23"/>
        <v>20017.808480815944</v>
      </c>
      <c r="AH11" s="167">
        <f t="shared" si="24"/>
        <v>1100.9794664448768</v>
      </c>
      <c r="AI11" s="165">
        <v>0</v>
      </c>
      <c r="AJ11" s="166">
        <f t="shared" si="25"/>
        <v>0</v>
      </c>
      <c r="AK11" s="33">
        <f t="shared" si="26"/>
        <v>21318.787947260822</v>
      </c>
      <c r="AL11" s="167">
        <f t="shared" si="27"/>
        <v>1172.5333370993453</v>
      </c>
      <c r="AM11" s="165">
        <v>0</v>
      </c>
      <c r="AN11" s="166">
        <f t="shared" si="28"/>
        <v>0</v>
      </c>
      <c r="AO11" s="33">
        <f t="shared" si="29"/>
        <v>22691.321284360169</v>
      </c>
      <c r="AP11" s="167">
        <f t="shared" si="30"/>
        <v>1248.0226706398093</v>
      </c>
      <c r="AQ11" s="165">
        <v>0</v>
      </c>
      <c r="AR11" s="166">
        <f t="shared" si="31"/>
        <v>0</v>
      </c>
      <c r="AS11" s="33">
        <f t="shared" si="32"/>
        <v>24139.343954999978</v>
      </c>
      <c r="AT11" s="167">
        <f t="shared" si="33"/>
        <v>1689.7540768499987</v>
      </c>
      <c r="AU11" s="165">
        <v>0</v>
      </c>
      <c r="AV11" s="166">
        <f t="shared" si="34"/>
        <v>0</v>
      </c>
      <c r="AW11" s="33">
        <f t="shared" si="35"/>
        <v>26029.098031849979</v>
      </c>
      <c r="AX11" s="167">
        <f t="shared" si="36"/>
        <v>1822.0368622294986</v>
      </c>
      <c r="AY11" s="165">
        <v>0</v>
      </c>
      <c r="AZ11" s="166">
        <f t="shared" si="37"/>
        <v>0</v>
      </c>
      <c r="BA11" s="33">
        <f t="shared" si="38"/>
        <v>28051.134894079478</v>
      </c>
      <c r="BB11" s="167">
        <f t="shared" si="39"/>
        <v>1963.5794425855636</v>
      </c>
      <c r="BC11" s="165">
        <v>0</v>
      </c>
      <c r="BD11" s="166">
        <f t="shared" si="40"/>
        <v>0</v>
      </c>
      <c r="BE11" s="33">
        <f t="shared" si="41"/>
        <v>30214.714336665042</v>
      </c>
      <c r="BF11" s="167">
        <f t="shared" si="42"/>
        <v>2115.0300035665532</v>
      </c>
      <c r="BG11" s="165">
        <v>0</v>
      </c>
      <c r="BH11" s="166">
        <f t="shared" si="43"/>
        <v>0</v>
      </c>
      <c r="BI11" s="33">
        <f t="shared" si="44"/>
        <v>32529.744340231595</v>
      </c>
      <c r="BJ11" s="167">
        <f t="shared" si="45"/>
        <v>2277.0821038162117</v>
      </c>
      <c r="BK11" s="87">
        <f t="shared" si="46"/>
        <v>0</v>
      </c>
      <c r="BL11" s="33">
        <f>'2022-2023'!BL11+'2023-2024'!BK11</f>
        <v>3700</v>
      </c>
    </row>
    <row r="12" spans="1:64">
      <c r="A12" s="10" t="s">
        <v>583</v>
      </c>
      <c r="B12" s="10" t="s">
        <v>113</v>
      </c>
      <c r="C12" s="80">
        <v>0</v>
      </c>
      <c r="D12" s="79">
        <f t="shared" si="0"/>
        <v>2400</v>
      </c>
      <c r="E12" s="78">
        <f>'2022-2023'!I12</f>
        <v>7247.6094655931583</v>
      </c>
      <c r="F12" s="187">
        <f t="shared" si="1"/>
        <v>2400</v>
      </c>
      <c r="G12" s="33">
        <f t="shared" si="2"/>
        <v>0</v>
      </c>
      <c r="H12" s="190">
        <f t="shared" si="3"/>
        <v>2400</v>
      </c>
      <c r="I12" s="78">
        <f t="shared" si="4"/>
        <v>18464.177410068227</v>
      </c>
      <c r="J12" s="78">
        <f t="shared" si="5"/>
        <v>0</v>
      </c>
      <c r="K12" s="78">
        <f t="shared" si="6"/>
        <v>0</v>
      </c>
      <c r="L12" s="78">
        <f t="shared" si="7"/>
        <v>8816.5679444750695</v>
      </c>
      <c r="M12" s="194">
        <f t="shared" si="8"/>
        <v>8816.5679444750695</v>
      </c>
      <c r="N12" s="78">
        <f t="shared" si="9"/>
        <v>-8816.5679444750695</v>
      </c>
      <c r="O12" s="165">
        <v>0</v>
      </c>
      <c r="P12" s="166">
        <f t="shared" si="10"/>
        <v>0</v>
      </c>
      <c r="Q12" s="119">
        <f t="shared" si="11"/>
        <v>7447.6094655931583</v>
      </c>
      <c r="R12" s="167">
        <f t="shared" si="12"/>
        <v>409.61852060762374</v>
      </c>
      <c r="S12" s="165">
        <v>0</v>
      </c>
      <c r="T12" s="166">
        <f t="shared" si="13"/>
        <v>0</v>
      </c>
      <c r="U12" s="33">
        <f t="shared" si="14"/>
        <v>8057.2279862007817</v>
      </c>
      <c r="V12" s="167">
        <f t="shared" si="15"/>
        <v>443.14753924104298</v>
      </c>
      <c r="W12" s="165">
        <v>0</v>
      </c>
      <c r="X12" s="166">
        <f t="shared" si="16"/>
        <v>0</v>
      </c>
      <c r="Y12" s="33">
        <f t="shared" si="17"/>
        <v>8700.3755254418247</v>
      </c>
      <c r="Z12" s="167">
        <f t="shared" si="18"/>
        <v>478.52065389930038</v>
      </c>
      <c r="AA12" s="165">
        <v>0</v>
      </c>
      <c r="AB12" s="166">
        <f t="shared" si="19"/>
        <v>0</v>
      </c>
      <c r="AC12" s="33">
        <f t="shared" si="20"/>
        <v>9378.8961793411254</v>
      </c>
      <c r="AD12" s="167">
        <f t="shared" si="21"/>
        <v>515.83928986376191</v>
      </c>
      <c r="AE12" s="165">
        <v>0</v>
      </c>
      <c r="AF12" s="166">
        <f t="shared" si="22"/>
        <v>0</v>
      </c>
      <c r="AG12" s="33">
        <f t="shared" si="23"/>
        <v>10094.735469204887</v>
      </c>
      <c r="AH12" s="167">
        <f t="shared" si="24"/>
        <v>555.2104508062688</v>
      </c>
      <c r="AI12" s="165">
        <v>0</v>
      </c>
      <c r="AJ12" s="166">
        <f t="shared" si="25"/>
        <v>0</v>
      </c>
      <c r="AK12" s="33">
        <f t="shared" si="26"/>
        <v>10849.945920011156</v>
      </c>
      <c r="AL12" s="167">
        <f t="shared" si="27"/>
        <v>596.7470256006136</v>
      </c>
      <c r="AM12" s="165">
        <v>0</v>
      </c>
      <c r="AN12" s="166">
        <f t="shared" si="28"/>
        <v>0</v>
      </c>
      <c r="AO12" s="33">
        <f t="shared" si="29"/>
        <v>11646.692945611769</v>
      </c>
      <c r="AP12" s="167">
        <f t="shared" si="30"/>
        <v>640.56811200864729</v>
      </c>
      <c r="AQ12" s="165">
        <v>0</v>
      </c>
      <c r="AR12" s="166">
        <f t="shared" si="31"/>
        <v>0</v>
      </c>
      <c r="AS12" s="33">
        <f t="shared" si="32"/>
        <v>12487.261057620415</v>
      </c>
      <c r="AT12" s="167">
        <f t="shared" si="33"/>
        <v>874.1082740334291</v>
      </c>
      <c r="AU12" s="165">
        <v>0</v>
      </c>
      <c r="AV12" s="166">
        <f t="shared" si="34"/>
        <v>0</v>
      </c>
      <c r="AW12" s="33">
        <f t="shared" si="35"/>
        <v>13561.369331653845</v>
      </c>
      <c r="AX12" s="167">
        <f t="shared" si="36"/>
        <v>949.29585321576917</v>
      </c>
      <c r="AY12" s="165">
        <v>0</v>
      </c>
      <c r="AZ12" s="166">
        <f t="shared" si="37"/>
        <v>0</v>
      </c>
      <c r="BA12" s="33">
        <f t="shared" si="38"/>
        <v>14710.665184869615</v>
      </c>
      <c r="BB12" s="167">
        <f t="shared" si="39"/>
        <v>1029.7465629408732</v>
      </c>
      <c r="BC12" s="165">
        <v>0</v>
      </c>
      <c r="BD12" s="166">
        <f t="shared" si="40"/>
        <v>0</v>
      </c>
      <c r="BE12" s="33">
        <f t="shared" si="41"/>
        <v>15940.411747810487</v>
      </c>
      <c r="BF12" s="167">
        <f t="shared" si="42"/>
        <v>1115.8288223467341</v>
      </c>
      <c r="BG12" s="165">
        <v>0</v>
      </c>
      <c r="BH12" s="166">
        <f t="shared" si="43"/>
        <v>0</v>
      </c>
      <c r="BI12" s="33">
        <f t="shared" si="44"/>
        <v>17256.240570157221</v>
      </c>
      <c r="BJ12" s="167">
        <f t="shared" si="45"/>
        <v>1207.9368399110056</v>
      </c>
      <c r="BK12" s="87">
        <f t="shared" si="46"/>
        <v>0</v>
      </c>
      <c r="BL12" s="33">
        <f>'2022-2023'!BL12+'2023-2024'!BK12</f>
        <v>6350</v>
      </c>
    </row>
    <row r="13" spans="1:64">
      <c r="A13" s="10" t="s">
        <v>584</v>
      </c>
      <c r="B13" s="10" t="s">
        <v>114</v>
      </c>
      <c r="C13" s="80">
        <v>0</v>
      </c>
      <c r="D13" s="79">
        <f t="shared" si="0"/>
        <v>2400</v>
      </c>
      <c r="E13" s="78">
        <f>'2022-2023'!I13</f>
        <v>3268.9689086231492</v>
      </c>
      <c r="F13" s="187">
        <f t="shared" si="1"/>
        <v>2400</v>
      </c>
      <c r="G13" s="33">
        <f t="shared" si="2"/>
        <v>0</v>
      </c>
      <c r="H13" s="190">
        <f t="shared" si="3"/>
        <v>2400</v>
      </c>
      <c r="I13" s="78">
        <f t="shared" si="4"/>
        <v>10346.705186332652</v>
      </c>
      <c r="J13" s="78">
        <f t="shared" si="5"/>
        <v>0</v>
      </c>
      <c r="K13" s="78">
        <f t="shared" si="6"/>
        <v>0</v>
      </c>
      <c r="L13" s="78">
        <f t="shared" si="7"/>
        <v>4677.7362777095032</v>
      </c>
      <c r="M13" s="194">
        <f t="shared" si="8"/>
        <v>4677.7362777095032</v>
      </c>
      <c r="N13" s="78">
        <f t="shared" si="9"/>
        <v>-4677.7362777095032</v>
      </c>
      <c r="O13" s="165">
        <v>0</v>
      </c>
      <c r="P13" s="166">
        <f t="shared" si="10"/>
        <v>0</v>
      </c>
      <c r="Q13" s="119">
        <f t="shared" si="11"/>
        <v>3468.9689086231492</v>
      </c>
      <c r="R13" s="167">
        <f t="shared" si="12"/>
        <v>190.79328997427322</v>
      </c>
      <c r="S13" s="165">
        <v>0</v>
      </c>
      <c r="T13" s="166">
        <f t="shared" si="13"/>
        <v>0</v>
      </c>
      <c r="U13" s="33">
        <f t="shared" si="14"/>
        <v>3859.7621985974224</v>
      </c>
      <c r="V13" s="167">
        <f t="shared" si="15"/>
        <v>212.28692092285823</v>
      </c>
      <c r="W13" s="165">
        <v>0</v>
      </c>
      <c r="X13" s="166">
        <f t="shared" si="16"/>
        <v>0</v>
      </c>
      <c r="Y13" s="33">
        <f t="shared" si="17"/>
        <v>4272.0491195202803</v>
      </c>
      <c r="Z13" s="167">
        <f t="shared" si="18"/>
        <v>234.96270157361542</v>
      </c>
      <c r="AA13" s="165">
        <v>0</v>
      </c>
      <c r="AB13" s="166">
        <f t="shared" si="19"/>
        <v>0</v>
      </c>
      <c r="AC13" s="33">
        <f t="shared" si="20"/>
        <v>4707.0118210938954</v>
      </c>
      <c r="AD13" s="167">
        <f t="shared" si="21"/>
        <v>258.88565016016423</v>
      </c>
      <c r="AE13" s="165">
        <v>0</v>
      </c>
      <c r="AF13" s="166">
        <f t="shared" si="22"/>
        <v>0</v>
      </c>
      <c r="AG13" s="33">
        <f t="shared" si="23"/>
        <v>5165.8974712540594</v>
      </c>
      <c r="AH13" s="167">
        <f t="shared" si="24"/>
        <v>284.12436091897325</v>
      </c>
      <c r="AI13" s="165">
        <v>0</v>
      </c>
      <c r="AJ13" s="166">
        <f t="shared" si="25"/>
        <v>0</v>
      </c>
      <c r="AK13" s="33">
        <f t="shared" si="26"/>
        <v>5650.0218321730326</v>
      </c>
      <c r="AL13" s="167">
        <f t="shared" si="27"/>
        <v>310.7512007695168</v>
      </c>
      <c r="AM13" s="165">
        <v>0</v>
      </c>
      <c r="AN13" s="166">
        <f t="shared" si="28"/>
        <v>0</v>
      </c>
      <c r="AO13" s="33">
        <f t="shared" si="29"/>
        <v>6160.7730329425494</v>
      </c>
      <c r="AP13" s="167">
        <f t="shared" si="30"/>
        <v>338.8425168118402</v>
      </c>
      <c r="AQ13" s="165">
        <v>0</v>
      </c>
      <c r="AR13" s="166">
        <f t="shared" si="31"/>
        <v>0</v>
      </c>
      <c r="AS13" s="33">
        <f t="shared" si="32"/>
        <v>6699.6155497543896</v>
      </c>
      <c r="AT13" s="167">
        <f t="shared" si="33"/>
        <v>468.97308848280733</v>
      </c>
      <c r="AU13" s="165">
        <v>0</v>
      </c>
      <c r="AV13" s="166">
        <f t="shared" si="34"/>
        <v>0</v>
      </c>
      <c r="AW13" s="33">
        <f t="shared" si="35"/>
        <v>7368.5886382371973</v>
      </c>
      <c r="AX13" s="167">
        <f t="shared" si="36"/>
        <v>515.8012046766039</v>
      </c>
      <c r="AY13" s="165">
        <v>0</v>
      </c>
      <c r="AZ13" s="166">
        <f t="shared" si="37"/>
        <v>0</v>
      </c>
      <c r="BA13" s="33">
        <f t="shared" si="38"/>
        <v>8084.3898429138007</v>
      </c>
      <c r="BB13" s="167">
        <f t="shared" si="39"/>
        <v>565.90728900396607</v>
      </c>
      <c r="BC13" s="165">
        <v>0</v>
      </c>
      <c r="BD13" s="166">
        <f t="shared" si="40"/>
        <v>0</v>
      </c>
      <c r="BE13" s="33">
        <f t="shared" si="41"/>
        <v>8850.2971319177668</v>
      </c>
      <c r="BF13" s="167">
        <f t="shared" si="42"/>
        <v>619.52079923424378</v>
      </c>
      <c r="BG13" s="165">
        <v>0</v>
      </c>
      <c r="BH13" s="166">
        <f t="shared" si="43"/>
        <v>0</v>
      </c>
      <c r="BI13" s="33">
        <f t="shared" si="44"/>
        <v>9669.8179311520107</v>
      </c>
      <c r="BJ13" s="167">
        <f t="shared" si="45"/>
        <v>676.88725518064086</v>
      </c>
      <c r="BK13" s="87">
        <f t="shared" si="46"/>
        <v>0</v>
      </c>
      <c r="BL13" s="33">
        <f>'2022-2023'!BL13+'2023-2024'!BK13</f>
        <v>9550</v>
      </c>
    </row>
    <row r="14" spans="1:64">
      <c r="A14" s="10" t="s">
        <v>585</v>
      </c>
      <c r="B14" s="10" t="s">
        <v>115</v>
      </c>
      <c r="C14" s="80">
        <v>0</v>
      </c>
      <c r="D14" s="79">
        <f t="shared" si="0"/>
        <v>2400</v>
      </c>
      <c r="E14" s="78">
        <f>'2022-2023'!I14</f>
        <v>6329.4912168155151</v>
      </c>
      <c r="F14" s="187">
        <f t="shared" si="1"/>
        <v>2400</v>
      </c>
      <c r="G14" s="33">
        <f t="shared" si="2"/>
        <v>0</v>
      </c>
      <c r="H14" s="190">
        <f t="shared" si="3"/>
        <v>2400</v>
      </c>
      <c r="I14" s="78">
        <f t="shared" si="4"/>
        <v>16590.97492398262</v>
      </c>
      <c r="J14" s="78">
        <f t="shared" si="5"/>
        <v>0</v>
      </c>
      <c r="K14" s="78">
        <f t="shared" si="6"/>
        <v>0</v>
      </c>
      <c r="L14" s="78">
        <f t="shared" si="7"/>
        <v>7861.4837071671027</v>
      </c>
      <c r="M14" s="194">
        <f t="shared" si="8"/>
        <v>7861.4837071671027</v>
      </c>
      <c r="N14" s="78">
        <f t="shared" si="9"/>
        <v>-7861.4837071671027</v>
      </c>
      <c r="O14" s="165">
        <v>0</v>
      </c>
      <c r="P14" s="166">
        <f t="shared" si="10"/>
        <v>0</v>
      </c>
      <c r="Q14" s="119">
        <f t="shared" si="11"/>
        <v>6529.4912168155151</v>
      </c>
      <c r="R14" s="167">
        <f t="shared" si="12"/>
        <v>359.12201692485331</v>
      </c>
      <c r="S14" s="165">
        <v>0</v>
      </c>
      <c r="T14" s="166">
        <f t="shared" si="13"/>
        <v>0</v>
      </c>
      <c r="U14" s="33">
        <f t="shared" si="14"/>
        <v>7088.6132337403687</v>
      </c>
      <c r="V14" s="167">
        <f t="shared" si="15"/>
        <v>389.87372785572029</v>
      </c>
      <c r="W14" s="165">
        <v>0</v>
      </c>
      <c r="X14" s="166">
        <f t="shared" si="16"/>
        <v>0</v>
      </c>
      <c r="Y14" s="33">
        <f t="shared" si="17"/>
        <v>7678.4869615960888</v>
      </c>
      <c r="Z14" s="167">
        <f t="shared" si="18"/>
        <v>422.31678288778488</v>
      </c>
      <c r="AA14" s="165">
        <v>0</v>
      </c>
      <c r="AB14" s="166">
        <f t="shared" si="19"/>
        <v>0</v>
      </c>
      <c r="AC14" s="33">
        <f t="shared" si="20"/>
        <v>8300.8037444838737</v>
      </c>
      <c r="AD14" s="167">
        <f t="shared" si="21"/>
        <v>456.54420594661303</v>
      </c>
      <c r="AE14" s="165">
        <v>0</v>
      </c>
      <c r="AF14" s="166">
        <f t="shared" si="22"/>
        <v>0</v>
      </c>
      <c r="AG14" s="33">
        <f t="shared" si="23"/>
        <v>8957.3479504304869</v>
      </c>
      <c r="AH14" s="167">
        <f t="shared" si="24"/>
        <v>492.65413727367678</v>
      </c>
      <c r="AI14" s="165">
        <v>0</v>
      </c>
      <c r="AJ14" s="166">
        <f t="shared" si="25"/>
        <v>0</v>
      </c>
      <c r="AK14" s="33">
        <f t="shared" si="26"/>
        <v>9650.0020877041643</v>
      </c>
      <c r="AL14" s="167">
        <f t="shared" si="27"/>
        <v>530.75011482372906</v>
      </c>
      <c r="AM14" s="165">
        <v>0</v>
      </c>
      <c r="AN14" s="166">
        <f t="shared" si="28"/>
        <v>0</v>
      </c>
      <c r="AO14" s="33">
        <f t="shared" si="29"/>
        <v>10380.752202527894</v>
      </c>
      <c r="AP14" s="167">
        <f t="shared" si="30"/>
        <v>570.94137113903423</v>
      </c>
      <c r="AQ14" s="165">
        <v>0</v>
      </c>
      <c r="AR14" s="166">
        <f t="shared" si="31"/>
        <v>0</v>
      </c>
      <c r="AS14" s="33">
        <f t="shared" si="32"/>
        <v>11151.693573666927</v>
      </c>
      <c r="AT14" s="167">
        <f t="shared" si="33"/>
        <v>780.61855015668505</v>
      </c>
      <c r="AU14" s="165">
        <v>0</v>
      </c>
      <c r="AV14" s="166">
        <f t="shared" si="34"/>
        <v>0</v>
      </c>
      <c r="AW14" s="33">
        <f t="shared" si="35"/>
        <v>12132.312123823613</v>
      </c>
      <c r="AX14" s="167">
        <f t="shared" si="36"/>
        <v>849.261848667653</v>
      </c>
      <c r="AY14" s="165">
        <v>0</v>
      </c>
      <c r="AZ14" s="166">
        <f t="shared" si="37"/>
        <v>0</v>
      </c>
      <c r="BA14" s="33">
        <f t="shared" si="38"/>
        <v>13181.573972491266</v>
      </c>
      <c r="BB14" s="167">
        <f t="shared" si="39"/>
        <v>922.71017807438864</v>
      </c>
      <c r="BC14" s="165">
        <v>0</v>
      </c>
      <c r="BD14" s="166">
        <f t="shared" si="40"/>
        <v>0</v>
      </c>
      <c r="BE14" s="33">
        <f t="shared" si="41"/>
        <v>14304.284150565654</v>
      </c>
      <c r="BF14" s="167">
        <f t="shared" si="42"/>
        <v>1001.2998905395959</v>
      </c>
      <c r="BG14" s="165">
        <v>0</v>
      </c>
      <c r="BH14" s="166">
        <f t="shared" si="43"/>
        <v>0</v>
      </c>
      <c r="BI14" s="33">
        <f t="shared" si="44"/>
        <v>15505.58404110525</v>
      </c>
      <c r="BJ14" s="167">
        <f t="shared" si="45"/>
        <v>1085.3908828773676</v>
      </c>
      <c r="BK14" s="87">
        <f t="shared" si="46"/>
        <v>0</v>
      </c>
      <c r="BL14" s="33">
        <f>'2022-2023'!BL14+'2023-2024'!BK14</f>
        <v>6700</v>
      </c>
    </row>
    <row r="15" spans="1:64">
      <c r="A15" s="10" t="s">
        <v>586</v>
      </c>
      <c r="B15" s="10" t="s">
        <v>116</v>
      </c>
      <c r="C15" s="80">
        <v>0</v>
      </c>
      <c r="D15" s="79">
        <f t="shared" si="0"/>
        <v>2400</v>
      </c>
      <c r="E15" s="78">
        <f>'2022-2023'!I15</f>
        <v>18422.609308232593</v>
      </c>
      <c r="F15" s="187">
        <f t="shared" si="1"/>
        <v>2400</v>
      </c>
      <c r="G15" s="33">
        <f t="shared" si="2"/>
        <v>0</v>
      </c>
      <c r="H15" s="190">
        <f t="shared" si="3"/>
        <v>2400</v>
      </c>
      <c r="I15" s="78">
        <f t="shared" si="4"/>
        <v>41264.11360032278</v>
      </c>
      <c r="J15" s="78">
        <f t="shared" si="5"/>
        <v>0</v>
      </c>
      <c r="K15" s="78">
        <f t="shared" si="6"/>
        <v>0</v>
      </c>
      <c r="L15" s="78">
        <f t="shared" si="7"/>
        <v>20441.504292090187</v>
      </c>
      <c r="M15" s="194">
        <f t="shared" si="8"/>
        <v>20441.504292090187</v>
      </c>
      <c r="N15" s="78">
        <f t="shared" si="9"/>
        <v>-20441.504292090187</v>
      </c>
      <c r="O15" s="165">
        <v>0</v>
      </c>
      <c r="P15" s="166">
        <f t="shared" si="10"/>
        <v>0</v>
      </c>
      <c r="Q15" s="119">
        <f t="shared" si="11"/>
        <v>18622.609308232593</v>
      </c>
      <c r="R15" s="167">
        <f t="shared" si="12"/>
        <v>1024.2435119527927</v>
      </c>
      <c r="S15" s="165">
        <v>0</v>
      </c>
      <c r="T15" s="166">
        <f t="shared" si="13"/>
        <v>0</v>
      </c>
      <c r="U15" s="33">
        <f t="shared" si="14"/>
        <v>19846.852820185384</v>
      </c>
      <c r="V15" s="167">
        <f t="shared" si="15"/>
        <v>1091.5769051101961</v>
      </c>
      <c r="W15" s="165">
        <v>0</v>
      </c>
      <c r="X15" s="166">
        <f t="shared" si="16"/>
        <v>0</v>
      </c>
      <c r="Y15" s="33">
        <f t="shared" si="17"/>
        <v>21138.42972529558</v>
      </c>
      <c r="Z15" s="167">
        <f t="shared" si="18"/>
        <v>1162.6136348912569</v>
      </c>
      <c r="AA15" s="165">
        <v>0</v>
      </c>
      <c r="AB15" s="166">
        <f t="shared" si="19"/>
        <v>0</v>
      </c>
      <c r="AC15" s="33">
        <f t="shared" si="20"/>
        <v>22501.043360186835</v>
      </c>
      <c r="AD15" s="167">
        <f t="shared" si="21"/>
        <v>1237.5573848102761</v>
      </c>
      <c r="AE15" s="165">
        <v>0</v>
      </c>
      <c r="AF15" s="166">
        <f t="shared" si="22"/>
        <v>0</v>
      </c>
      <c r="AG15" s="33">
        <f t="shared" si="23"/>
        <v>23938.600744997111</v>
      </c>
      <c r="AH15" s="167">
        <f t="shared" si="24"/>
        <v>1316.6230409748412</v>
      </c>
      <c r="AI15" s="165">
        <v>0</v>
      </c>
      <c r="AJ15" s="166">
        <f t="shared" si="25"/>
        <v>0</v>
      </c>
      <c r="AK15" s="33">
        <f t="shared" si="26"/>
        <v>25455.223785971953</v>
      </c>
      <c r="AL15" s="167">
        <f t="shared" si="27"/>
        <v>1400.0373082284575</v>
      </c>
      <c r="AM15" s="165">
        <v>0</v>
      </c>
      <c r="AN15" s="166">
        <f t="shared" si="28"/>
        <v>0</v>
      </c>
      <c r="AO15" s="33">
        <f t="shared" si="29"/>
        <v>27055.26109420041</v>
      </c>
      <c r="AP15" s="167">
        <f t="shared" si="30"/>
        <v>1488.0393601810226</v>
      </c>
      <c r="AQ15" s="165">
        <v>0</v>
      </c>
      <c r="AR15" s="166">
        <f t="shared" si="31"/>
        <v>0</v>
      </c>
      <c r="AS15" s="33">
        <f t="shared" si="32"/>
        <v>28743.300454381431</v>
      </c>
      <c r="AT15" s="167">
        <f t="shared" si="33"/>
        <v>2012.0310318067004</v>
      </c>
      <c r="AU15" s="165">
        <v>0</v>
      </c>
      <c r="AV15" s="166">
        <f t="shared" si="34"/>
        <v>0</v>
      </c>
      <c r="AW15" s="33">
        <f t="shared" si="35"/>
        <v>30955.33148618813</v>
      </c>
      <c r="AX15" s="167">
        <f t="shared" si="36"/>
        <v>2166.8732040331693</v>
      </c>
      <c r="AY15" s="165">
        <v>0</v>
      </c>
      <c r="AZ15" s="166">
        <f t="shared" si="37"/>
        <v>0</v>
      </c>
      <c r="BA15" s="33">
        <f t="shared" si="38"/>
        <v>33322.204690221297</v>
      </c>
      <c r="BB15" s="167">
        <f t="shared" si="39"/>
        <v>2332.5543283154911</v>
      </c>
      <c r="BC15" s="165">
        <v>0</v>
      </c>
      <c r="BD15" s="166">
        <f t="shared" si="40"/>
        <v>0</v>
      </c>
      <c r="BE15" s="33">
        <f t="shared" si="41"/>
        <v>35854.759018536788</v>
      </c>
      <c r="BF15" s="167">
        <f t="shared" si="42"/>
        <v>2509.8331312975756</v>
      </c>
      <c r="BG15" s="165">
        <v>0</v>
      </c>
      <c r="BH15" s="166">
        <f t="shared" si="43"/>
        <v>0</v>
      </c>
      <c r="BI15" s="33">
        <f t="shared" si="44"/>
        <v>38564.592149834367</v>
      </c>
      <c r="BJ15" s="167">
        <f t="shared" si="45"/>
        <v>2699.5214504884061</v>
      </c>
      <c r="BK15" s="87">
        <f t="shared" si="46"/>
        <v>0</v>
      </c>
      <c r="BL15" s="33">
        <f>'2022-2023'!BL15+'2023-2024'!BK15</f>
        <v>2100</v>
      </c>
    </row>
    <row r="16" spans="1:64">
      <c r="A16" s="10" t="s">
        <v>587</v>
      </c>
      <c r="B16" s="10"/>
      <c r="C16" s="80">
        <v>0</v>
      </c>
      <c r="D16" s="79">
        <f t="shared" si="0"/>
        <v>2400</v>
      </c>
      <c r="E16" s="78">
        <f>'2022-2023'!I16</f>
        <v>15714.699982098082</v>
      </c>
      <c r="F16" s="187">
        <f t="shared" si="1"/>
        <v>2400</v>
      </c>
      <c r="G16" s="33">
        <f t="shared" si="2"/>
        <v>0</v>
      </c>
      <c r="H16" s="190">
        <f t="shared" si="3"/>
        <v>2400</v>
      </c>
      <c r="I16" s="78">
        <f t="shared" si="4"/>
        <v>35739.26700396886</v>
      </c>
      <c r="J16" s="78">
        <f t="shared" si="5"/>
        <v>0</v>
      </c>
      <c r="K16" s="78">
        <f t="shared" si="6"/>
        <v>0</v>
      </c>
      <c r="L16" s="78">
        <f t="shared" si="7"/>
        <v>17624.567021870778</v>
      </c>
      <c r="M16" s="194">
        <f t="shared" si="8"/>
        <v>17624.567021870778</v>
      </c>
      <c r="N16" s="78">
        <f t="shared" si="9"/>
        <v>-17624.567021870778</v>
      </c>
      <c r="O16" s="165">
        <v>0</v>
      </c>
      <c r="P16" s="166">
        <f t="shared" si="10"/>
        <v>0</v>
      </c>
      <c r="Q16" s="119">
        <f t="shared" si="11"/>
        <v>15914.699982098082</v>
      </c>
      <c r="R16" s="167">
        <f t="shared" si="12"/>
        <v>875.30849901539455</v>
      </c>
      <c r="S16" s="165">
        <v>0</v>
      </c>
      <c r="T16" s="166">
        <f t="shared" si="13"/>
        <v>0</v>
      </c>
      <c r="U16" s="33">
        <f t="shared" si="14"/>
        <v>16990.008481113477</v>
      </c>
      <c r="V16" s="167">
        <f t="shared" si="15"/>
        <v>934.45046646124126</v>
      </c>
      <c r="W16" s="165">
        <v>0</v>
      </c>
      <c r="X16" s="166">
        <f t="shared" si="16"/>
        <v>0</v>
      </c>
      <c r="Y16" s="33">
        <f t="shared" si="17"/>
        <v>18124.458947574716</v>
      </c>
      <c r="Z16" s="167">
        <f t="shared" si="18"/>
        <v>996.84524211660937</v>
      </c>
      <c r="AA16" s="165">
        <v>0</v>
      </c>
      <c r="AB16" s="166">
        <f t="shared" si="19"/>
        <v>0</v>
      </c>
      <c r="AC16" s="33">
        <f t="shared" si="20"/>
        <v>19321.304189691327</v>
      </c>
      <c r="AD16" s="167">
        <f t="shared" si="21"/>
        <v>1062.671730433023</v>
      </c>
      <c r="AE16" s="165">
        <v>0</v>
      </c>
      <c r="AF16" s="166">
        <f t="shared" si="22"/>
        <v>0</v>
      </c>
      <c r="AG16" s="33">
        <f t="shared" si="23"/>
        <v>20583.975920124351</v>
      </c>
      <c r="AH16" s="167">
        <f t="shared" si="24"/>
        <v>1132.1186756068394</v>
      </c>
      <c r="AI16" s="165">
        <v>0</v>
      </c>
      <c r="AJ16" s="166">
        <f t="shared" si="25"/>
        <v>0</v>
      </c>
      <c r="AK16" s="33">
        <f t="shared" si="26"/>
        <v>21916.094595731189</v>
      </c>
      <c r="AL16" s="167">
        <f t="shared" si="27"/>
        <v>1205.3852027652154</v>
      </c>
      <c r="AM16" s="165">
        <v>0</v>
      </c>
      <c r="AN16" s="166">
        <f t="shared" si="28"/>
        <v>0</v>
      </c>
      <c r="AO16" s="33">
        <f t="shared" si="29"/>
        <v>23321.479798496403</v>
      </c>
      <c r="AP16" s="167">
        <f t="shared" si="30"/>
        <v>1282.6813889173022</v>
      </c>
      <c r="AQ16" s="165">
        <v>0</v>
      </c>
      <c r="AR16" s="166">
        <f t="shared" si="31"/>
        <v>0</v>
      </c>
      <c r="AS16" s="33">
        <f t="shared" si="32"/>
        <v>24804.161187413705</v>
      </c>
      <c r="AT16" s="167">
        <f t="shared" si="33"/>
        <v>1736.2912831189594</v>
      </c>
      <c r="AU16" s="165">
        <v>0</v>
      </c>
      <c r="AV16" s="166">
        <f t="shared" si="34"/>
        <v>0</v>
      </c>
      <c r="AW16" s="33">
        <f t="shared" si="35"/>
        <v>26740.452470532666</v>
      </c>
      <c r="AX16" s="167">
        <f t="shared" si="36"/>
        <v>1871.8316729372868</v>
      </c>
      <c r="AY16" s="165">
        <v>0</v>
      </c>
      <c r="AZ16" s="166">
        <f t="shared" si="37"/>
        <v>0</v>
      </c>
      <c r="BA16" s="33">
        <f t="shared" si="38"/>
        <v>28812.284143469951</v>
      </c>
      <c r="BB16" s="167">
        <f t="shared" si="39"/>
        <v>2016.8598900428967</v>
      </c>
      <c r="BC16" s="165">
        <v>0</v>
      </c>
      <c r="BD16" s="166">
        <f t="shared" si="40"/>
        <v>0</v>
      </c>
      <c r="BE16" s="33">
        <f t="shared" si="41"/>
        <v>31029.144033512846</v>
      </c>
      <c r="BF16" s="167">
        <f t="shared" si="42"/>
        <v>2172.0400823458995</v>
      </c>
      <c r="BG16" s="165">
        <v>0</v>
      </c>
      <c r="BH16" s="166">
        <f t="shared" si="43"/>
        <v>0</v>
      </c>
      <c r="BI16" s="33">
        <f t="shared" si="44"/>
        <v>33401.184115858749</v>
      </c>
      <c r="BJ16" s="167">
        <f t="shared" si="45"/>
        <v>2338.0828881101124</v>
      </c>
      <c r="BK16" s="87">
        <f t="shared" si="46"/>
        <v>0</v>
      </c>
      <c r="BL16" s="33">
        <f>'2022-2023'!BL16+'2023-2024'!BK16</f>
        <v>2100</v>
      </c>
    </row>
    <row r="17" spans="1:64">
      <c r="A17" s="10" t="s">
        <v>588</v>
      </c>
      <c r="B17" s="10" t="s">
        <v>115</v>
      </c>
      <c r="C17" s="80">
        <v>0</v>
      </c>
      <c r="D17" s="79">
        <f t="shared" si="0"/>
        <v>2400</v>
      </c>
      <c r="E17" s="78">
        <f>'2022-2023'!I17</f>
        <v>17346.910202147228</v>
      </c>
      <c r="F17" s="187">
        <f t="shared" si="1"/>
        <v>2400</v>
      </c>
      <c r="G17" s="33">
        <f t="shared" si="2"/>
        <v>0</v>
      </c>
      <c r="H17" s="190">
        <f t="shared" si="3"/>
        <v>2400</v>
      </c>
      <c r="I17" s="78">
        <f t="shared" si="4"/>
        <v>39069.40475700995</v>
      </c>
      <c r="J17" s="78">
        <f t="shared" si="5"/>
        <v>0</v>
      </c>
      <c r="K17" s="78">
        <f t="shared" si="6"/>
        <v>0</v>
      </c>
      <c r="L17" s="78">
        <f t="shared" si="7"/>
        <v>19322.494554862726</v>
      </c>
      <c r="M17" s="194">
        <f t="shared" si="8"/>
        <v>19322.494554862726</v>
      </c>
      <c r="N17" s="78">
        <f t="shared" si="9"/>
        <v>-19322.494554862726</v>
      </c>
      <c r="O17" s="165">
        <v>0</v>
      </c>
      <c r="P17" s="166">
        <f t="shared" si="10"/>
        <v>0</v>
      </c>
      <c r="Q17" s="119">
        <f t="shared" si="11"/>
        <v>17546.910202147228</v>
      </c>
      <c r="R17" s="167">
        <f t="shared" si="12"/>
        <v>965.08006111809755</v>
      </c>
      <c r="S17" s="165">
        <v>0</v>
      </c>
      <c r="T17" s="166">
        <f t="shared" si="13"/>
        <v>0</v>
      </c>
      <c r="U17" s="33">
        <f t="shared" si="14"/>
        <v>18711.990263265325</v>
      </c>
      <c r="V17" s="167">
        <f t="shared" si="15"/>
        <v>1029.1594644795928</v>
      </c>
      <c r="W17" s="165">
        <v>0</v>
      </c>
      <c r="X17" s="166">
        <f t="shared" si="16"/>
        <v>0</v>
      </c>
      <c r="Y17" s="33">
        <f t="shared" si="17"/>
        <v>19941.149727744916</v>
      </c>
      <c r="Z17" s="167">
        <f t="shared" si="18"/>
        <v>1096.7632350259703</v>
      </c>
      <c r="AA17" s="165">
        <v>0</v>
      </c>
      <c r="AB17" s="166">
        <f t="shared" si="19"/>
        <v>0</v>
      </c>
      <c r="AC17" s="33">
        <f t="shared" si="20"/>
        <v>21237.912962770886</v>
      </c>
      <c r="AD17" s="167">
        <f t="shared" si="21"/>
        <v>1168.0852129523987</v>
      </c>
      <c r="AE17" s="165">
        <v>0</v>
      </c>
      <c r="AF17" s="166">
        <f t="shared" si="22"/>
        <v>0</v>
      </c>
      <c r="AG17" s="33">
        <f t="shared" si="23"/>
        <v>22605.998175723285</v>
      </c>
      <c r="AH17" s="167">
        <f t="shared" si="24"/>
        <v>1243.3298996647807</v>
      </c>
      <c r="AI17" s="165">
        <v>0</v>
      </c>
      <c r="AJ17" s="166">
        <f t="shared" si="25"/>
        <v>0</v>
      </c>
      <c r="AK17" s="33">
        <f t="shared" si="26"/>
        <v>24049.328075388064</v>
      </c>
      <c r="AL17" s="167">
        <f t="shared" si="27"/>
        <v>1322.7130441463435</v>
      </c>
      <c r="AM17" s="165">
        <v>0</v>
      </c>
      <c r="AN17" s="166">
        <f t="shared" si="28"/>
        <v>0</v>
      </c>
      <c r="AO17" s="33">
        <f t="shared" si="29"/>
        <v>25572.04111953441</v>
      </c>
      <c r="AP17" s="167">
        <f t="shared" si="30"/>
        <v>1406.4622615743926</v>
      </c>
      <c r="AQ17" s="165">
        <v>0</v>
      </c>
      <c r="AR17" s="166">
        <f t="shared" si="31"/>
        <v>0</v>
      </c>
      <c r="AS17" s="33">
        <f t="shared" si="32"/>
        <v>27178.503381108803</v>
      </c>
      <c r="AT17" s="167">
        <f t="shared" si="33"/>
        <v>1902.4952366776165</v>
      </c>
      <c r="AU17" s="165">
        <v>0</v>
      </c>
      <c r="AV17" s="166">
        <f t="shared" si="34"/>
        <v>0</v>
      </c>
      <c r="AW17" s="33">
        <f t="shared" si="35"/>
        <v>29280.998617786419</v>
      </c>
      <c r="AX17" s="167">
        <f t="shared" si="36"/>
        <v>2049.6699032450497</v>
      </c>
      <c r="AY17" s="165">
        <v>0</v>
      </c>
      <c r="AZ17" s="166">
        <f t="shared" si="37"/>
        <v>0</v>
      </c>
      <c r="BA17" s="33">
        <f t="shared" si="38"/>
        <v>31530.668521031468</v>
      </c>
      <c r="BB17" s="167">
        <f t="shared" si="39"/>
        <v>2207.1467964722028</v>
      </c>
      <c r="BC17" s="165">
        <v>0</v>
      </c>
      <c r="BD17" s="166">
        <f t="shared" si="40"/>
        <v>0</v>
      </c>
      <c r="BE17" s="33">
        <f t="shared" si="41"/>
        <v>33937.815317503671</v>
      </c>
      <c r="BF17" s="167">
        <f t="shared" si="42"/>
        <v>2375.647072225257</v>
      </c>
      <c r="BG17" s="165">
        <v>0</v>
      </c>
      <c r="BH17" s="166">
        <f t="shared" si="43"/>
        <v>0</v>
      </c>
      <c r="BI17" s="33">
        <f t="shared" si="44"/>
        <v>36513.462389728928</v>
      </c>
      <c r="BJ17" s="167">
        <f t="shared" si="45"/>
        <v>2555.9423672810253</v>
      </c>
      <c r="BK17" s="87">
        <f t="shared" si="46"/>
        <v>0</v>
      </c>
      <c r="BL17" s="33">
        <f>'2022-2023'!BL17+'2023-2024'!BK17</f>
        <v>1300</v>
      </c>
    </row>
    <row r="18" spans="1:64">
      <c r="A18" s="10" t="s">
        <v>589</v>
      </c>
      <c r="B18" s="10" t="s">
        <v>139</v>
      </c>
      <c r="C18" s="80">
        <v>0</v>
      </c>
      <c r="D18" s="79">
        <f t="shared" si="0"/>
        <v>2400</v>
      </c>
      <c r="E18" s="78">
        <f>'2022-2023'!I18</f>
        <v>-7278.9784219347866</v>
      </c>
      <c r="F18" s="187">
        <f t="shared" si="1"/>
        <v>2400</v>
      </c>
      <c r="G18" s="33">
        <f t="shared" si="2"/>
        <v>2000</v>
      </c>
      <c r="H18" s="190">
        <f t="shared" si="3"/>
        <v>400</v>
      </c>
      <c r="I18" s="78">
        <f t="shared" si="4"/>
        <v>-13774.550966987554</v>
      </c>
      <c r="J18" s="78">
        <f t="shared" si="5"/>
        <v>0</v>
      </c>
      <c r="K18" s="78">
        <f t="shared" si="6"/>
        <v>110</v>
      </c>
      <c r="L18" s="78">
        <f t="shared" si="7"/>
        <v>-6895.5725450527671</v>
      </c>
      <c r="M18" s="194">
        <f t="shared" si="8"/>
        <v>-6895.5725450527671</v>
      </c>
      <c r="N18" s="78">
        <f t="shared" si="9"/>
        <v>9005.572545052768</v>
      </c>
      <c r="O18" s="165">
        <v>1000</v>
      </c>
      <c r="P18" s="166">
        <f t="shared" si="10"/>
        <v>0</v>
      </c>
      <c r="Q18" s="119">
        <f t="shared" si="11"/>
        <v>-7078.9784219347866</v>
      </c>
      <c r="R18" s="167">
        <f t="shared" si="12"/>
        <v>-444.34381320641324</v>
      </c>
      <c r="S18" s="165">
        <v>0</v>
      </c>
      <c r="T18" s="166">
        <f t="shared" si="13"/>
        <v>0</v>
      </c>
      <c r="U18" s="33">
        <f t="shared" si="14"/>
        <v>-7323.3222351411996</v>
      </c>
      <c r="V18" s="167">
        <f t="shared" si="15"/>
        <v>-402.78272293276598</v>
      </c>
      <c r="W18" s="165">
        <v>0</v>
      </c>
      <c r="X18" s="166">
        <f t="shared" si="16"/>
        <v>0</v>
      </c>
      <c r="Y18" s="33">
        <f t="shared" si="17"/>
        <v>-7526.1049580739655</v>
      </c>
      <c r="Z18" s="167">
        <f t="shared" si="18"/>
        <v>-413.93577269406808</v>
      </c>
      <c r="AA18" s="165">
        <v>0</v>
      </c>
      <c r="AB18" s="166">
        <f t="shared" si="19"/>
        <v>0</v>
      </c>
      <c r="AC18" s="33">
        <f t="shared" si="20"/>
        <v>-7740.0407307680334</v>
      </c>
      <c r="AD18" s="167">
        <f t="shared" si="21"/>
        <v>-425.70224019224185</v>
      </c>
      <c r="AE18" s="165">
        <v>0</v>
      </c>
      <c r="AF18" s="166">
        <f t="shared" si="22"/>
        <v>0</v>
      </c>
      <c r="AG18" s="33">
        <f t="shared" si="23"/>
        <v>-7965.7429709602757</v>
      </c>
      <c r="AH18" s="167">
        <f t="shared" si="24"/>
        <v>-438.11586340281514</v>
      </c>
      <c r="AI18" s="165">
        <v>0</v>
      </c>
      <c r="AJ18" s="166">
        <f t="shared" si="25"/>
        <v>0</v>
      </c>
      <c r="AK18" s="33">
        <f t="shared" si="26"/>
        <v>-8203.8588343630909</v>
      </c>
      <c r="AL18" s="167">
        <f t="shared" si="27"/>
        <v>-451.21223588996997</v>
      </c>
      <c r="AM18" s="165">
        <v>0</v>
      </c>
      <c r="AN18" s="166">
        <f t="shared" si="28"/>
        <v>0</v>
      </c>
      <c r="AO18" s="33">
        <f t="shared" si="29"/>
        <v>-8455.0710702530614</v>
      </c>
      <c r="AP18" s="167">
        <f t="shared" si="30"/>
        <v>-465.02890886391839</v>
      </c>
      <c r="AQ18" s="165">
        <v>1000</v>
      </c>
      <c r="AR18" s="166">
        <f t="shared" si="31"/>
        <v>0</v>
      </c>
      <c r="AS18" s="33">
        <f t="shared" si="32"/>
        <v>-9720.0999791169797</v>
      </c>
      <c r="AT18" s="167">
        <f t="shared" si="33"/>
        <v>-750.40699853818865</v>
      </c>
      <c r="AU18" s="165">
        <v>0</v>
      </c>
      <c r="AV18" s="166">
        <f t="shared" si="34"/>
        <v>0</v>
      </c>
      <c r="AW18" s="33">
        <f t="shared" si="35"/>
        <v>-10270.506977655168</v>
      </c>
      <c r="AX18" s="167">
        <f t="shared" si="36"/>
        <v>-718.93548843586188</v>
      </c>
      <c r="AY18" s="165">
        <v>0</v>
      </c>
      <c r="AZ18" s="166">
        <f t="shared" si="37"/>
        <v>0</v>
      </c>
      <c r="BA18" s="33">
        <f t="shared" si="38"/>
        <v>-10789.44246609103</v>
      </c>
      <c r="BB18" s="167">
        <f t="shared" si="39"/>
        <v>-755.26097262637222</v>
      </c>
      <c r="BC18" s="165">
        <v>0</v>
      </c>
      <c r="BD18" s="166">
        <f t="shared" si="40"/>
        <v>0</v>
      </c>
      <c r="BE18" s="33">
        <f t="shared" si="41"/>
        <v>-11344.703438717403</v>
      </c>
      <c r="BF18" s="167">
        <f t="shared" si="42"/>
        <v>-794.12924071021826</v>
      </c>
      <c r="BG18" s="165">
        <v>0</v>
      </c>
      <c r="BH18" s="166">
        <f t="shared" si="43"/>
        <v>0</v>
      </c>
      <c r="BI18" s="33">
        <f t="shared" si="44"/>
        <v>-11938.832679427622</v>
      </c>
      <c r="BJ18" s="167">
        <f t="shared" si="45"/>
        <v>-835.71828755993363</v>
      </c>
      <c r="BK18" s="87">
        <f t="shared" si="46"/>
        <v>2000</v>
      </c>
      <c r="BL18" s="33">
        <f>'2022-2023'!BL18+'2023-2024'!BK18</f>
        <v>18300</v>
      </c>
    </row>
    <row r="19" spans="1:64">
      <c r="A19" s="10" t="s">
        <v>590</v>
      </c>
      <c r="B19" s="10" t="s">
        <v>116</v>
      </c>
      <c r="C19" s="80">
        <v>0</v>
      </c>
      <c r="D19" s="79">
        <f t="shared" si="0"/>
        <v>2400</v>
      </c>
      <c r="E19" s="78">
        <f>'2022-2023'!I19</f>
        <v>4595.5167837686568</v>
      </c>
      <c r="F19" s="187">
        <f t="shared" si="1"/>
        <v>2400</v>
      </c>
      <c r="G19" s="33">
        <f t="shared" si="2"/>
        <v>1200</v>
      </c>
      <c r="H19" s="190">
        <f t="shared" si="3"/>
        <v>1200</v>
      </c>
      <c r="I19" s="78">
        <f t="shared" si="4"/>
        <v>10993.456407209234</v>
      </c>
      <c r="J19" s="78">
        <f t="shared" si="5"/>
        <v>0</v>
      </c>
      <c r="K19" s="78">
        <f t="shared" si="6"/>
        <v>66</v>
      </c>
      <c r="L19" s="78">
        <f t="shared" si="7"/>
        <v>5197.9396234405776</v>
      </c>
      <c r="M19" s="194">
        <f t="shared" si="8"/>
        <v>5197.9396234405776</v>
      </c>
      <c r="N19" s="78">
        <f t="shared" si="9"/>
        <v>-3931.9396234405776</v>
      </c>
      <c r="O19" s="165">
        <v>0</v>
      </c>
      <c r="P19" s="166">
        <f t="shared" si="10"/>
        <v>0</v>
      </c>
      <c r="Q19" s="119">
        <f t="shared" si="11"/>
        <v>4795.5167837686568</v>
      </c>
      <c r="R19" s="167">
        <f t="shared" si="12"/>
        <v>263.75342310727615</v>
      </c>
      <c r="S19" s="165">
        <v>0</v>
      </c>
      <c r="T19" s="166">
        <f t="shared" si="13"/>
        <v>0</v>
      </c>
      <c r="U19" s="33">
        <f t="shared" si="14"/>
        <v>5259.2702068759327</v>
      </c>
      <c r="V19" s="167">
        <f t="shared" si="15"/>
        <v>289.25986137817631</v>
      </c>
      <c r="W19" s="165">
        <v>0</v>
      </c>
      <c r="X19" s="166">
        <f t="shared" si="16"/>
        <v>0</v>
      </c>
      <c r="Y19" s="33">
        <f t="shared" si="17"/>
        <v>5748.5300682541092</v>
      </c>
      <c r="Z19" s="167">
        <f t="shared" si="18"/>
        <v>316.16915375397599</v>
      </c>
      <c r="AA19" s="165">
        <v>500</v>
      </c>
      <c r="AB19" s="166">
        <f t="shared" si="19"/>
        <v>0</v>
      </c>
      <c r="AC19" s="33">
        <f t="shared" si="20"/>
        <v>5764.6992220080856</v>
      </c>
      <c r="AD19" s="167">
        <f t="shared" si="21"/>
        <v>289.55845721044471</v>
      </c>
      <c r="AE19" s="165">
        <f>200+300</f>
        <v>500</v>
      </c>
      <c r="AF19" s="166">
        <f t="shared" si="22"/>
        <v>0</v>
      </c>
      <c r="AG19" s="33">
        <f t="shared" si="23"/>
        <v>5754.25767921853</v>
      </c>
      <c r="AH19" s="167">
        <f t="shared" si="24"/>
        <v>288.98417235701913</v>
      </c>
      <c r="AI19" s="165">
        <v>0</v>
      </c>
      <c r="AJ19" s="166">
        <f t="shared" si="25"/>
        <v>0</v>
      </c>
      <c r="AK19" s="33">
        <f t="shared" si="26"/>
        <v>6243.2418515755489</v>
      </c>
      <c r="AL19" s="167">
        <f t="shared" si="27"/>
        <v>343.37830183665517</v>
      </c>
      <c r="AM19" s="165">
        <v>0</v>
      </c>
      <c r="AN19" s="166">
        <f t="shared" si="28"/>
        <v>0</v>
      </c>
      <c r="AO19" s="33">
        <f t="shared" si="29"/>
        <v>6786.6201534122038</v>
      </c>
      <c r="AP19" s="167">
        <f t="shared" si="30"/>
        <v>373.26410843767121</v>
      </c>
      <c r="AQ19" s="165">
        <v>0</v>
      </c>
      <c r="AR19" s="166">
        <f t="shared" si="31"/>
        <v>0</v>
      </c>
      <c r="AS19" s="33">
        <f t="shared" si="32"/>
        <v>7359.8842618498747</v>
      </c>
      <c r="AT19" s="167">
        <f t="shared" si="33"/>
        <v>515.19189832949132</v>
      </c>
      <c r="AU19" s="165">
        <v>200</v>
      </c>
      <c r="AV19" s="166">
        <f t="shared" si="34"/>
        <v>0</v>
      </c>
      <c r="AW19" s="33">
        <f t="shared" si="35"/>
        <v>7875.0761601793656</v>
      </c>
      <c r="AX19" s="167">
        <f t="shared" si="36"/>
        <v>537.25533121255569</v>
      </c>
      <c r="AY19" s="165">
        <v>0</v>
      </c>
      <c r="AZ19" s="166">
        <f t="shared" si="37"/>
        <v>0</v>
      </c>
      <c r="BA19" s="33">
        <f t="shared" si="38"/>
        <v>8612.3314913919221</v>
      </c>
      <c r="BB19" s="167">
        <f t="shared" si="39"/>
        <v>602.86320439743463</v>
      </c>
      <c r="BC19" s="165">
        <v>0</v>
      </c>
      <c r="BD19" s="166">
        <f t="shared" si="40"/>
        <v>0</v>
      </c>
      <c r="BE19" s="33">
        <f t="shared" si="41"/>
        <v>9415.194695789356</v>
      </c>
      <c r="BF19" s="167">
        <f t="shared" si="42"/>
        <v>659.06362870525504</v>
      </c>
      <c r="BG19" s="165">
        <v>0</v>
      </c>
      <c r="BH19" s="166">
        <f t="shared" si="43"/>
        <v>0</v>
      </c>
      <c r="BI19" s="33">
        <f t="shared" si="44"/>
        <v>10274.258324494611</v>
      </c>
      <c r="BJ19" s="167">
        <f t="shared" si="45"/>
        <v>719.19808271462284</v>
      </c>
      <c r="BK19" s="87">
        <f t="shared" si="46"/>
        <v>1200</v>
      </c>
      <c r="BL19" s="33">
        <f>'2022-2023'!BL19+'2023-2024'!BK19</f>
        <v>10800</v>
      </c>
    </row>
    <row r="20" spans="1:64">
      <c r="A20" s="10" t="s">
        <v>591</v>
      </c>
      <c r="B20" s="10" t="s">
        <v>140</v>
      </c>
      <c r="C20" s="80">
        <v>0</v>
      </c>
      <c r="D20" s="79">
        <f t="shared" si="0"/>
        <v>2400</v>
      </c>
      <c r="E20" s="78">
        <f>'2022-2023'!I20</f>
        <v>16990.413448238338</v>
      </c>
      <c r="F20" s="187">
        <f t="shared" si="1"/>
        <v>2400</v>
      </c>
      <c r="G20" s="33">
        <f t="shared" si="2"/>
        <v>1950</v>
      </c>
      <c r="H20" s="190">
        <f t="shared" si="3"/>
        <v>450</v>
      </c>
      <c r="I20" s="78">
        <f t="shared" si="4"/>
        <v>35671.604121190911</v>
      </c>
      <c r="J20" s="78">
        <f t="shared" si="5"/>
        <v>0</v>
      </c>
      <c r="K20" s="78">
        <f t="shared" si="6"/>
        <v>107.25</v>
      </c>
      <c r="L20" s="78">
        <f t="shared" si="7"/>
        <v>18231.190672952573</v>
      </c>
      <c r="M20" s="194">
        <f t="shared" si="8"/>
        <v>18231.190672952573</v>
      </c>
      <c r="N20" s="78">
        <f t="shared" si="9"/>
        <v>-16173.940672952573</v>
      </c>
      <c r="O20" s="165">
        <v>0</v>
      </c>
      <c r="P20" s="166">
        <f t="shared" si="10"/>
        <v>0</v>
      </c>
      <c r="Q20" s="119">
        <f t="shared" si="11"/>
        <v>17190.413448238338</v>
      </c>
      <c r="R20" s="167">
        <f t="shared" si="12"/>
        <v>945.47273965310853</v>
      </c>
      <c r="S20" s="165">
        <v>0</v>
      </c>
      <c r="T20" s="166">
        <f t="shared" si="13"/>
        <v>0</v>
      </c>
      <c r="U20" s="33">
        <f t="shared" si="14"/>
        <v>18335.886187891447</v>
      </c>
      <c r="V20" s="167">
        <f t="shared" si="15"/>
        <v>1008.4737403340296</v>
      </c>
      <c r="W20" s="165">
        <v>0</v>
      </c>
      <c r="X20" s="166">
        <f t="shared" si="16"/>
        <v>0</v>
      </c>
      <c r="Y20" s="33">
        <f t="shared" si="17"/>
        <v>19544.359928225476</v>
      </c>
      <c r="Z20" s="167">
        <f t="shared" si="18"/>
        <v>1074.9397960524011</v>
      </c>
      <c r="AA20" s="165">
        <v>0</v>
      </c>
      <c r="AB20" s="166">
        <f t="shared" si="19"/>
        <v>0</v>
      </c>
      <c r="AC20" s="33">
        <f t="shared" si="20"/>
        <v>20819.299724277877</v>
      </c>
      <c r="AD20" s="167">
        <f t="shared" si="21"/>
        <v>1145.0614848352832</v>
      </c>
      <c r="AE20" s="165">
        <v>0</v>
      </c>
      <c r="AF20" s="166">
        <f t="shared" si="22"/>
        <v>0</v>
      </c>
      <c r="AG20" s="33">
        <f t="shared" si="23"/>
        <v>22164.361209113158</v>
      </c>
      <c r="AH20" s="167">
        <f t="shared" si="24"/>
        <v>1219.0398665012237</v>
      </c>
      <c r="AI20" s="165">
        <v>0</v>
      </c>
      <c r="AJ20" s="166">
        <f t="shared" si="25"/>
        <v>0</v>
      </c>
      <c r="AK20" s="33">
        <f t="shared" si="26"/>
        <v>23583.401075614383</v>
      </c>
      <c r="AL20" s="167">
        <f t="shared" si="27"/>
        <v>1297.0870591587911</v>
      </c>
      <c r="AM20" s="165">
        <v>500</v>
      </c>
      <c r="AN20" s="166">
        <f t="shared" si="28"/>
        <v>0</v>
      </c>
      <c r="AO20" s="33">
        <f t="shared" si="29"/>
        <v>24580.488134773175</v>
      </c>
      <c r="AP20" s="167">
        <f t="shared" si="30"/>
        <v>1324.4268474125247</v>
      </c>
      <c r="AQ20" s="165">
        <v>250</v>
      </c>
      <c r="AR20" s="166">
        <f t="shared" si="31"/>
        <v>0</v>
      </c>
      <c r="AS20" s="33">
        <f t="shared" si="32"/>
        <v>25854.914982185699</v>
      </c>
      <c r="AT20" s="167">
        <f t="shared" si="33"/>
        <v>1792.344048752999</v>
      </c>
      <c r="AU20" s="165">
        <v>300</v>
      </c>
      <c r="AV20" s="166">
        <f t="shared" si="34"/>
        <v>0</v>
      </c>
      <c r="AW20" s="33">
        <f t="shared" si="35"/>
        <v>27547.259030938698</v>
      </c>
      <c r="AX20" s="167">
        <f t="shared" si="36"/>
        <v>1907.3081321657091</v>
      </c>
      <c r="AY20" s="165">
        <v>300</v>
      </c>
      <c r="AZ20" s="166">
        <f t="shared" si="37"/>
        <v>0</v>
      </c>
      <c r="BA20" s="33">
        <f t="shared" si="38"/>
        <v>29354.567163104406</v>
      </c>
      <c r="BB20" s="167">
        <f t="shared" si="39"/>
        <v>2033.8197014173086</v>
      </c>
      <c r="BC20" s="165">
        <v>300</v>
      </c>
      <c r="BD20" s="166">
        <f t="shared" si="40"/>
        <v>0</v>
      </c>
      <c r="BE20" s="33">
        <f t="shared" si="41"/>
        <v>31288.386864521715</v>
      </c>
      <c r="BF20" s="167">
        <f t="shared" si="42"/>
        <v>2169.1870805165204</v>
      </c>
      <c r="BG20" s="165">
        <v>300</v>
      </c>
      <c r="BH20" s="166">
        <f t="shared" si="43"/>
        <v>0</v>
      </c>
      <c r="BI20" s="33">
        <f t="shared" si="44"/>
        <v>33357.573945038239</v>
      </c>
      <c r="BJ20" s="167">
        <f t="shared" si="45"/>
        <v>2314.0301761526771</v>
      </c>
      <c r="BK20" s="87">
        <f t="shared" si="46"/>
        <v>1950</v>
      </c>
      <c r="BL20" s="33">
        <f>'2022-2023'!BL20+'2023-2024'!BK20</f>
        <v>3700</v>
      </c>
    </row>
    <row r="21" spans="1:64">
      <c r="A21" s="10" t="s">
        <v>592</v>
      </c>
      <c r="B21" s="10" t="s">
        <v>117</v>
      </c>
      <c r="C21" s="80">
        <v>0</v>
      </c>
      <c r="D21" s="79">
        <f t="shared" si="0"/>
        <v>2400</v>
      </c>
      <c r="E21" s="78">
        <f>'2022-2023'!I21</f>
        <v>6186.672822561216</v>
      </c>
      <c r="F21" s="187">
        <f t="shared" si="1"/>
        <v>2400</v>
      </c>
      <c r="G21" s="33">
        <f t="shared" si="2"/>
        <v>0</v>
      </c>
      <c r="H21" s="190">
        <f t="shared" si="3"/>
        <v>2400</v>
      </c>
      <c r="I21" s="78">
        <f t="shared" si="4"/>
        <v>16299.58787059152</v>
      </c>
      <c r="J21" s="78">
        <f t="shared" si="5"/>
        <v>0</v>
      </c>
      <c r="K21" s="78">
        <f t="shared" si="6"/>
        <v>0</v>
      </c>
      <c r="L21" s="78">
        <f t="shared" si="7"/>
        <v>7712.9150480303051</v>
      </c>
      <c r="M21" s="194">
        <f t="shared" si="8"/>
        <v>7712.9150480303051</v>
      </c>
      <c r="N21" s="78">
        <f t="shared" si="9"/>
        <v>-7712.9150480303051</v>
      </c>
      <c r="O21" s="165">
        <v>0</v>
      </c>
      <c r="P21" s="166">
        <f t="shared" si="10"/>
        <v>0</v>
      </c>
      <c r="Q21" s="119">
        <f t="shared" si="11"/>
        <v>6386.672822561216</v>
      </c>
      <c r="R21" s="167">
        <f t="shared" si="12"/>
        <v>351.26700524086687</v>
      </c>
      <c r="S21" s="165">
        <v>0</v>
      </c>
      <c r="T21" s="166">
        <f t="shared" si="13"/>
        <v>0</v>
      </c>
      <c r="U21" s="33">
        <f t="shared" si="14"/>
        <v>6937.9398278020826</v>
      </c>
      <c r="V21" s="167">
        <f t="shared" si="15"/>
        <v>381.58669052911455</v>
      </c>
      <c r="W21" s="165">
        <v>0</v>
      </c>
      <c r="X21" s="166">
        <f t="shared" si="16"/>
        <v>0</v>
      </c>
      <c r="Y21" s="33">
        <f t="shared" si="17"/>
        <v>7519.5265183311967</v>
      </c>
      <c r="Z21" s="167">
        <f t="shared" si="18"/>
        <v>413.57395850821581</v>
      </c>
      <c r="AA21" s="165">
        <v>0</v>
      </c>
      <c r="AB21" s="166">
        <f t="shared" si="19"/>
        <v>0</v>
      </c>
      <c r="AC21" s="33">
        <f t="shared" si="20"/>
        <v>8133.1004768394123</v>
      </c>
      <c r="AD21" s="167">
        <f t="shared" si="21"/>
        <v>447.32052622616766</v>
      </c>
      <c r="AE21" s="165">
        <v>0</v>
      </c>
      <c r="AF21" s="166">
        <f t="shared" si="22"/>
        <v>0</v>
      </c>
      <c r="AG21" s="33">
        <f t="shared" si="23"/>
        <v>8780.4210030655795</v>
      </c>
      <c r="AH21" s="167">
        <f t="shared" si="24"/>
        <v>482.92315516860685</v>
      </c>
      <c r="AI21" s="165">
        <v>0</v>
      </c>
      <c r="AJ21" s="166">
        <f t="shared" si="25"/>
        <v>0</v>
      </c>
      <c r="AK21" s="33">
        <f t="shared" si="26"/>
        <v>9463.3441582341857</v>
      </c>
      <c r="AL21" s="167">
        <f t="shared" si="27"/>
        <v>520.48392870288023</v>
      </c>
      <c r="AM21" s="165">
        <v>0</v>
      </c>
      <c r="AN21" s="166">
        <f t="shared" si="28"/>
        <v>0</v>
      </c>
      <c r="AO21" s="33">
        <f t="shared" si="29"/>
        <v>10183.828086937066</v>
      </c>
      <c r="AP21" s="167">
        <f t="shared" si="30"/>
        <v>560.11054478153869</v>
      </c>
      <c r="AQ21" s="165">
        <v>0</v>
      </c>
      <c r="AR21" s="166">
        <f t="shared" si="31"/>
        <v>0</v>
      </c>
      <c r="AS21" s="33">
        <f t="shared" si="32"/>
        <v>10943.938631718605</v>
      </c>
      <c r="AT21" s="167">
        <f t="shared" si="33"/>
        <v>766.07570422030244</v>
      </c>
      <c r="AU21" s="165">
        <v>0</v>
      </c>
      <c r="AV21" s="166">
        <f t="shared" si="34"/>
        <v>0</v>
      </c>
      <c r="AW21" s="33">
        <f t="shared" si="35"/>
        <v>11910.014335938908</v>
      </c>
      <c r="AX21" s="167">
        <f t="shared" si="36"/>
        <v>833.70100351572364</v>
      </c>
      <c r="AY21" s="165">
        <v>0</v>
      </c>
      <c r="AZ21" s="166">
        <f t="shared" si="37"/>
        <v>0</v>
      </c>
      <c r="BA21" s="33">
        <f t="shared" si="38"/>
        <v>12943.715339454631</v>
      </c>
      <c r="BB21" s="167">
        <f t="shared" si="39"/>
        <v>906.06007376182424</v>
      </c>
      <c r="BC21" s="165">
        <v>0</v>
      </c>
      <c r="BD21" s="166">
        <f t="shared" si="40"/>
        <v>0</v>
      </c>
      <c r="BE21" s="33">
        <f t="shared" si="41"/>
        <v>14049.775413216455</v>
      </c>
      <c r="BF21" s="167">
        <f t="shared" si="42"/>
        <v>983.48427892515201</v>
      </c>
      <c r="BG21" s="165">
        <v>0</v>
      </c>
      <c r="BH21" s="166">
        <f t="shared" si="43"/>
        <v>0</v>
      </c>
      <c r="BI21" s="33">
        <f t="shared" si="44"/>
        <v>15233.259692141608</v>
      </c>
      <c r="BJ21" s="167">
        <f t="shared" si="45"/>
        <v>1066.3281784499127</v>
      </c>
      <c r="BK21" s="87">
        <f t="shared" si="46"/>
        <v>0</v>
      </c>
      <c r="BL21" s="33">
        <f>'2022-2023'!BL21+'2023-2024'!BK21</f>
        <v>6970</v>
      </c>
    </row>
    <row r="22" spans="1:64">
      <c r="A22" s="10" t="s">
        <v>593</v>
      </c>
      <c r="B22" s="10" t="s">
        <v>118</v>
      </c>
      <c r="C22" s="80">
        <v>0</v>
      </c>
      <c r="D22" s="79">
        <f t="shared" si="0"/>
        <v>2400</v>
      </c>
      <c r="E22" s="78">
        <f>'2022-2023'!I22</f>
        <v>17550.936479653366</v>
      </c>
      <c r="F22" s="187">
        <f t="shared" si="1"/>
        <v>2400</v>
      </c>
      <c r="G22" s="33">
        <f t="shared" si="2"/>
        <v>0</v>
      </c>
      <c r="H22" s="190">
        <f t="shared" si="3"/>
        <v>2400</v>
      </c>
      <c r="I22" s="78">
        <f t="shared" si="4"/>
        <v>39485.671976140082</v>
      </c>
      <c r="J22" s="78">
        <f t="shared" si="5"/>
        <v>0</v>
      </c>
      <c r="K22" s="78">
        <f t="shared" si="6"/>
        <v>0</v>
      </c>
      <c r="L22" s="78">
        <f t="shared" si="7"/>
        <v>19534.735496486715</v>
      </c>
      <c r="M22" s="194">
        <f t="shared" si="8"/>
        <v>19534.735496486715</v>
      </c>
      <c r="N22" s="78">
        <f t="shared" si="9"/>
        <v>-19534.735496486715</v>
      </c>
      <c r="O22" s="165">
        <v>0</v>
      </c>
      <c r="P22" s="166">
        <f t="shared" si="10"/>
        <v>0</v>
      </c>
      <c r="Q22" s="119">
        <f t="shared" si="11"/>
        <v>17750.936479653366</v>
      </c>
      <c r="R22" s="167">
        <f t="shared" si="12"/>
        <v>976.30150638093517</v>
      </c>
      <c r="S22" s="165">
        <v>0</v>
      </c>
      <c r="T22" s="166">
        <f t="shared" si="13"/>
        <v>0</v>
      </c>
      <c r="U22" s="33">
        <f t="shared" si="14"/>
        <v>18927.237986034303</v>
      </c>
      <c r="V22" s="167">
        <f t="shared" si="15"/>
        <v>1040.9980892318868</v>
      </c>
      <c r="W22" s="165">
        <v>0</v>
      </c>
      <c r="X22" s="166">
        <f t="shared" si="16"/>
        <v>0</v>
      </c>
      <c r="Y22" s="33">
        <f t="shared" si="17"/>
        <v>20168.236075266188</v>
      </c>
      <c r="Z22" s="167">
        <f t="shared" si="18"/>
        <v>1109.2529841396404</v>
      </c>
      <c r="AA22" s="165">
        <v>0</v>
      </c>
      <c r="AB22" s="166">
        <f t="shared" si="19"/>
        <v>0</v>
      </c>
      <c r="AC22" s="33">
        <f t="shared" si="20"/>
        <v>21477.489059405827</v>
      </c>
      <c r="AD22" s="167">
        <f t="shared" si="21"/>
        <v>1181.2618982673205</v>
      </c>
      <c r="AE22" s="165">
        <v>0</v>
      </c>
      <c r="AF22" s="166">
        <f t="shared" si="22"/>
        <v>0</v>
      </c>
      <c r="AG22" s="33">
        <f t="shared" si="23"/>
        <v>22858.750957673146</v>
      </c>
      <c r="AH22" s="167">
        <f t="shared" si="24"/>
        <v>1257.231302672023</v>
      </c>
      <c r="AI22" s="165">
        <v>0</v>
      </c>
      <c r="AJ22" s="166">
        <f t="shared" si="25"/>
        <v>0</v>
      </c>
      <c r="AK22" s="33">
        <f t="shared" si="26"/>
        <v>24315.982260345168</v>
      </c>
      <c r="AL22" s="167">
        <f t="shared" si="27"/>
        <v>1337.3790243189842</v>
      </c>
      <c r="AM22" s="165">
        <v>0</v>
      </c>
      <c r="AN22" s="166">
        <f t="shared" si="28"/>
        <v>0</v>
      </c>
      <c r="AO22" s="33">
        <f t="shared" si="29"/>
        <v>25853.361284664152</v>
      </c>
      <c r="AP22" s="167">
        <f t="shared" si="30"/>
        <v>1421.9348706565283</v>
      </c>
      <c r="AQ22" s="165">
        <v>0</v>
      </c>
      <c r="AR22" s="166">
        <f t="shared" si="31"/>
        <v>0</v>
      </c>
      <c r="AS22" s="33">
        <f t="shared" si="32"/>
        <v>27475.296155320681</v>
      </c>
      <c r="AT22" s="167">
        <f t="shared" si="33"/>
        <v>1923.2707308724478</v>
      </c>
      <c r="AU22" s="165">
        <v>0</v>
      </c>
      <c r="AV22" s="166">
        <f t="shared" si="34"/>
        <v>0</v>
      </c>
      <c r="AW22" s="33">
        <f t="shared" si="35"/>
        <v>29598.56688619313</v>
      </c>
      <c r="AX22" s="167">
        <f t="shared" si="36"/>
        <v>2071.8996820335192</v>
      </c>
      <c r="AY22" s="165">
        <v>0</v>
      </c>
      <c r="AZ22" s="166">
        <f t="shared" si="37"/>
        <v>0</v>
      </c>
      <c r="BA22" s="33">
        <f t="shared" si="38"/>
        <v>31870.46656822665</v>
      </c>
      <c r="BB22" s="167">
        <f t="shared" si="39"/>
        <v>2230.9326597758659</v>
      </c>
      <c r="BC22" s="165">
        <v>0</v>
      </c>
      <c r="BD22" s="166">
        <f t="shared" si="40"/>
        <v>0</v>
      </c>
      <c r="BE22" s="33">
        <f t="shared" si="41"/>
        <v>34301.399228002512</v>
      </c>
      <c r="BF22" s="167">
        <f t="shared" si="42"/>
        <v>2401.0979459601763</v>
      </c>
      <c r="BG22" s="165">
        <v>0</v>
      </c>
      <c r="BH22" s="166">
        <f t="shared" si="43"/>
        <v>0</v>
      </c>
      <c r="BI22" s="33">
        <f t="shared" si="44"/>
        <v>36902.497173962685</v>
      </c>
      <c r="BJ22" s="167">
        <f t="shared" si="45"/>
        <v>2583.1748021773883</v>
      </c>
      <c r="BK22" s="87">
        <f t="shared" si="46"/>
        <v>0</v>
      </c>
      <c r="BL22" s="33">
        <f>'2022-2023'!BL22+'2023-2024'!BK22</f>
        <v>1300</v>
      </c>
    </row>
    <row r="23" spans="1:64">
      <c r="A23" s="10" t="s">
        <v>594</v>
      </c>
      <c r="B23" s="10" t="s">
        <v>119</v>
      </c>
      <c r="C23" s="80">
        <v>0</v>
      </c>
      <c r="D23" s="79">
        <f t="shared" si="0"/>
        <v>2400</v>
      </c>
      <c r="E23" s="78">
        <f>'2022-2023'!I23</f>
        <v>11022.095599456799</v>
      </c>
      <c r="F23" s="187">
        <f t="shared" si="1"/>
        <v>2400</v>
      </c>
      <c r="G23" s="33">
        <f t="shared" si="2"/>
        <v>2200</v>
      </c>
      <c r="H23" s="190">
        <f t="shared" si="3"/>
        <v>200</v>
      </c>
      <c r="I23" s="78">
        <f t="shared" si="4"/>
        <v>22750.568370406756</v>
      </c>
      <c r="J23" s="78">
        <f t="shared" si="5"/>
        <v>0</v>
      </c>
      <c r="K23" s="78">
        <f t="shared" si="6"/>
        <v>121</v>
      </c>
      <c r="L23" s="78">
        <f t="shared" si="7"/>
        <v>11528.472770949957</v>
      </c>
      <c r="M23" s="194">
        <f t="shared" si="8"/>
        <v>11528.472770949957</v>
      </c>
      <c r="N23" s="78">
        <f t="shared" si="9"/>
        <v>-9207.4727709499566</v>
      </c>
      <c r="O23" s="165">
        <v>0</v>
      </c>
      <c r="P23" s="166">
        <f t="shared" si="10"/>
        <v>0</v>
      </c>
      <c r="Q23" s="119">
        <f t="shared" si="11"/>
        <v>11222.095599456799</v>
      </c>
      <c r="R23" s="167">
        <f t="shared" si="12"/>
        <v>617.21525797012396</v>
      </c>
      <c r="S23" s="165">
        <v>0</v>
      </c>
      <c r="T23" s="166">
        <f t="shared" si="13"/>
        <v>0</v>
      </c>
      <c r="U23" s="33">
        <f t="shared" si="14"/>
        <v>12039.310857426923</v>
      </c>
      <c r="V23" s="167">
        <f t="shared" si="15"/>
        <v>662.16209715848072</v>
      </c>
      <c r="W23" s="165">
        <v>200</v>
      </c>
      <c r="X23" s="166">
        <f t="shared" si="16"/>
        <v>0</v>
      </c>
      <c r="Y23" s="33">
        <f t="shared" si="17"/>
        <v>12701.472954585402</v>
      </c>
      <c r="Z23" s="167">
        <f t="shared" si="18"/>
        <v>687.58101250219715</v>
      </c>
      <c r="AA23" s="165">
        <f>200+200</f>
        <v>400</v>
      </c>
      <c r="AB23" s="166">
        <f t="shared" si="19"/>
        <v>0</v>
      </c>
      <c r="AC23" s="33">
        <f t="shared" si="20"/>
        <v>13189.053967087599</v>
      </c>
      <c r="AD23" s="167">
        <f t="shared" si="21"/>
        <v>703.3979681898179</v>
      </c>
      <c r="AE23" s="165">
        <v>200</v>
      </c>
      <c r="AF23" s="166">
        <f t="shared" si="22"/>
        <v>0</v>
      </c>
      <c r="AG23" s="33">
        <f t="shared" si="23"/>
        <v>13892.451935277417</v>
      </c>
      <c r="AH23" s="167">
        <f t="shared" si="24"/>
        <v>753.08485644025791</v>
      </c>
      <c r="AI23" s="165">
        <v>200</v>
      </c>
      <c r="AJ23" s="166">
        <f t="shared" si="25"/>
        <v>0</v>
      </c>
      <c r="AK23" s="33">
        <f t="shared" si="26"/>
        <v>14645.536791717675</v>
      </c>
      <c r="AL23" s="167">
        <f t="shared" si="27"/>
        <v>794.50452354447214</v>
      </c>
      <c r="AM23" s="165">
        <v>200</v>
      </c>
      <c r="AN23" s="166">
        <f t="shared" si="28"/>
        <v>0</v>
      </c>
      <c r="AO23" s="33">
        <f t="shared" si="29"/>
        <v>15440.041315262148</v>
      </c>
      <c r="AP23" s="167">
        <f t="shared" si="30"/>
        <v>838.20227233941807</v>
      </c>
      <c r="AQ23" s="165">
        <v>200</v>
      </c>
      <c r="AR23" s="166">
        <f t="shared" si="31"/>
        <v>0</v>
      </c>
      <c r="AS23" s="33">
        <f t="shared" si="32"/>
        <v>16278.243587601566</v>
      </c>
      <c r="AT23" s="167">
        <f t="shared" si="33"/>
        <v>1125.4770511321096</v>
      </c>
      <c r="AU23" s="165">
        <v>200</v>
      </c>
      <c r="AV23" s="166">
        <f t="shared" si="34"/>
        <v>0</v>
      </c>
      <c r="AW23" s="33">
        <f t="shared" si="35"/>
        <v>17403.720638733677</v>
      </c>
      <c r="AX23" s="167">
        <f t="shared" si="36"/>
        <v>1204.2604447113574</v>
      </c>
      <c r="AY23" s="165">
        <v>200</v>
      </c>
      <c r="AZ23" s="166">
        <f t="shared" si="37"/>
        <v>0</v>
      </c>
      <c r="BA23" s="33">
        <f t="shared" si="38"/>
        <v>18607.981083445036</v>
      </c>
      <c r="BB23" s="167">
        <f t="shared" si="39"/>
        <v>1288.5586758411528</v>
      </c>
      <c r="BC23" s="165">
        <v>200</v>
      </c>
      <c r="BD23" s="166">
        <f t="shared" si="40"/>
        <v>0</v>
      </c>
      <c r="BE23" s="33">
        <f t="shared" si="41"/>
        <v>19896.539759286188</v>
      </c>
      <c r="BF23" s="167">
        <f t="shared" si="42"/>
        <v>1378.7577831500332</v>
      </c>
      <c r="BG23" s="165">
        <v>200</v>
      </c>
      <c r="BH23" s="166">
        <f t="shared" si="43"/>
        <v>0</v>
      </c>
      <c r="BI23" s="33">
        <f t="shared" si="44"/>
        <v>21275.297542436223</v>
      </c>
      <c r="BJ23" s="167">
        <f t="shared" si="45"/>
        <v>1475.2708279705357</v>
      </c>
      <c r="BK23" s="87">
        <f t="shared" si="46"/>
        <v>2200</v>
      </c>
      <c r="BL23" s="33">
        <f>'2022-2023'!BL23+'2023-2024'!BK23</f>
        <v>6700</v>
      </c>
    </row>
    <row r="24" spans="1:64">
      <c r="A24" s="10" t="s">
        <v>595</v>
      </c>
      <c r="B24" s="10" t="s">
        <v>116</v>
      </c>
      <c r="C24" s="80">
        <v>0</v>
      </c>
      <c r="D24" s="79">
        <f t="shared" si="0"/>
        <v>2400</v>
      </c>
      <c r="E24" s="78">
        <f>'2022-2023'!I24</f>
        <v>18979.120422196371</v>
      </c>
      <c r="F24" s="187">
        <f t="shared" si="1"/>
        <v>2400</v>
      </c>
      <c r="G24" s="33">
        <f t="shared" si="2"/>
        <v>0</v>
      </c>
      <c r="H24" s="190">
        <f t="shared" si="3"/>
        <v>2400</v>
      </c>
      <c r="I24" s="78">
        <f t="shared" si="4"/>
        <v>42399.542510051047</v>
      </c>
      <c r="J24" s="78">
        <f t="shared" si="5"/>
        <v>0</v>
      </c>
      <c r="K24" s="78">
        <f t="shared" si="6"/>
        <v>0</v>
      </c>
      <c r="L24" s="78">
        <f t="shared" si="7"/>
        <v>21020.422087854673</v>
      </c>
      <c r="M24" s="194">
        <f t="shared" si="8"/>
        <v>21020.422087854673</v>
      </c>
      <c r="N24" s="78">
        <f t="shared" si="9"/>
        <v>-21020.422087854673</v>
      </c>
      <c r="O24" s="165">
        <v>0</v>
      </c>
      <c r="P24" s="166">
        <f t="shared" si="10"/>
        <v>0</v>
      </c>
      <c r="Q24" s="119">
        <f t="shared" si="11"/>
        <v>19179.120422196371</v>
      </c>
      <c r="R24" s="167">
        <f t="shared" si="12"/>
        <v>1054.8516232208003</v>
      </c>
      <c r="S24" s="165">
        <v>0</v>
      </c>
      <c r="T24" s="166">
        <f t="shared" si="13"/>
        <v>0</v>
      </c>
      <c r="U24" s="33">
        <f t="shared" si="14"/>
        <v>20433.972045417169</v>
      </c>
      <c r="V24" s="167">
        <f t="shared" si="15"/>
        <v>1123.8684624979444</v>
      </c>
      <c r="W24" s="165">
        <v>0</v>
      </c>
      <c r="X24" s="166">
        <f t="shared" si="16"/>
        <v>0</v>
      </c>
      <c r="Y24" s="33">
        <f t="shared" si="17"/>
        <v>21757.840507915113</v>
      </c>
      <c r="Z24" s="167">
        <f t="shared" si="18"/>
        <v>1196.6812279353312</v>
      </c>
      <c r="AA24" s="165">
        <v>0</v>
      </c>
      <c r="AB24" s="166">
        <f t="shared" si="19"/>
        <v>0</v>
      </c>
      <c r="AC24" s="33">
        <f t="shared" si="20"/>
        <v>23154.521735850445</v>
      </c>
      <c r="AD24" s="167">
        <f t="shared" si="21"/>
        <v>1273.4986954717745</v>
      </c>
      <c r="AE24" s="165">
        <v>0</v>
      </c>
      <c r="AF24" s="166">
        <f t="shared" si="22"/>
        <v>0</v>
      </c>
      <c r="AG24" s="33">
        <f t="shared" si="23"/>
        <v>24628.02043132222</v>
      </c>
      <c r="AH24" s="167">
        <f t="shared" si="24"/>
        <v>1354.5411237227222</v>
      </c>
      <c r="AI24" s="165">
        <v>0</v>
      </c>
      <c r="AJ24" s="166">
        <f t="shared" si="25"/>
        <v>0</v>
      </c>
      <c r="AK24" s="33">
        <f t="shared" si="26"/>
        <v>26182.561555044944</v>
      </c>
      <c r="AL24" s="167">
        <f t="shared" si="27"/>
        <v>1440.040885527472</v>
      </c>
      <c r="AM24" s="165">
        <v>0</v>
      </c>
      <c r="AN24" s="166">
        <f t="shared" si="28"/>
        <v>0</v>
      </c>
      <c r="AO24" s="33">
        <f t="shared" si="29"/>
        <v>27822.602440572417</v>
      </c>
      <c r="AP24" s="167">
        <f t="shared" si="30"/>
        <v>1530.2431342314828</v>
      </c>
      <c r="AQ24" s="165">
        <v>0</v>
      </c>
      <c r="AR24" s="166">
        <f t="shared" si="31"/>
        <v>0</v>
      </c>
      <c r="AS24" s="33">
        <f t="shared" si="32"/>
        <v>29552.845574803898</v>
      </c>
      <c r="AT24" s="167">
        <f t="shared" si="33"/>
        <v>2068.6991902362729</v>
      </c>
      <c r="AU24" s="165">
        <v>0</v>
      </c>
      <c r="AV24" s="166">
        <f t="shared" si="34"/>
        <v>0</v>
      </c>
      <c r="AW24" s="33">
        <f t="shared" si="35"/>
        <v>31821.544765040169</v>
      </c>
      <c r="AX24" s="167">
        <f t="shared" si="36"/>
        <v>2227.5081335528121</v>
      </c>
      <c r="AY24" s="165">
        <v>0</v>
      </c>
      <c r="AZ24" s="166">
        <f t="shared" si="37"/>
        <v>0</v>
      </c>
      <c r="BA24" s="33">
        <f t="shared" si="38"/>
        <v>34249.052898592985</v>
      </c>
      <c r="BB24" s="167">
        <f t="shared" si="39"/>
        <v>2397.4337029015092</v>
      </c>
      <c r="BC24" s="165">
        <v>0</v>
      </c>
      <c r="BD24" s="166">
        <f t="shared" si="40"/>
        <v>0</v>
      </c>
      <c r="BE24" s="33">
        <f t="shared" si="41"/>
        <v>36846.486601494493</v>
      </c>
      <c r="BF24" s="167">
        <f t="shared" si="42"/>
        <v>2579.2540621046146</v>
      </c>
      <c r="BG24" s="165">
        <v>0</v>
      </c>
      <c r="BH24" s="166">
        <f t="shared" si="43"/>
        <v>0</v>
      </c>
      <c r="BI24" s="33">
        <f t="shared" si="44"/>
        <v>39625.740663599106</v>
      </c>
      <c r="BJ24" s="167">
        <f t="shared" si="45"/>
        <v>2773.8018464519378</v>
      </c>
      <c r="BK24" s="87">
        <f t="shared" si="46"/>
        <v>0</v>
      </c>
      <c r="BL24" s="33">
        <f>'2022-2023'!BL24+'2023-2024'!BK24</f>
        <v>500</v>
      </c>
    </row>
    <row r="25" spans="1:64">
      <c r="A25" s="10" t="s">
        <v>596</v>
      </c>
      <c r="B25" s="10" t="s">
        <v>120</v>
      </c>
      <c r="C25" s="80">
        <v>0</v>
      </c>
      <c r="D25" s="79">
        <f t="shared" si="0"/>
        <v>2400</v>
      </c>
      <c r="E25" s="78">
        <f>'2022-2023'!I25</f>
        <v>-1226.4959720994013</v>
      </c>
      <c r="F25" s="187">
        <f t="shared" si="1"/>
        <v>2400</v>
      </c>
      <c r="G25" s="33">
        <f t="shared" si="2"/>
        <v>3300</v>
      </c>
      <c r="H25" s="190">
        <f t="shared" si="3"/>
        <v>-900</v>
      </c>
      <c r="I25" s="78">
        <f t="shared" si="4"/>
        <v>-3821.1108586142491</v>
      </c>
      <c r="J25" s="78">
        <f t="shared" si="5"/>
        <v>0</v>
      </c>
      <c r="K25" s="78">
        <f t="shared" si="6"/>
        <v>181.5</v>
      </c>
      <c r="L25" s="78">
        <f t="shared" si="7"/>
        <v>-1694.6148865148477</v>
      </c>
      <c r="M25" s="194">
        <f t="shared" si="8"/>
        <v>-1694.6148865148477</v>
      </c>
      <c r="N25" s="78">
        <f t="shared" si="9"/>
        <v>5176.114886514848</v>
      </c>
      <c r="O25" s="165">
        <v>300</v>
      </c>
      <c r="P25" s="166">
        <f t="shared" si="10"/>
        <v>0</v>
      </c>
      <c r="Q25" s="119">
        <f t="shared" si="11"/>
        <v>-1026.4959720994013</v>
      </c>
      <c r="R25" s="167">
        <f t="shared" si="12"/>
        <v>-72.95727846546707</v>
      </c>
      <c r="S25" s="165">
        <v>300</v>
      </c>
      <c r="T25" s="166">
        <f t="shared" si="13"/>
        <v>0</v>
      </c>
      <c r="U25" s="33">
        <f t="shared" si="14"/>
        <v>-1199.4532505648683</v>
      </c>
      <c r="V25" s="167">
        <f t="shared" si="15"/>
        <v>-82.469928781067765</v>
      </c>
      <c r="W25" s="165">
        <v>300</v>
      </c>
      <c r="X25" s="166">
        <f t="shared" si="16"/>
        <v>0</v>
      </c>
      <c r="Y25" s="33">
        <f t="shared" si="17"/>
        <v>-1381.923179345936</v>
      </c>
      <c r="Z25" s="167">
        <f t="shared" si="18"/>
        <v>-92.505774864026478</v>
      </c>
      <c r="AA25" s="165">
        <v>300</v>
      </c>
      <c r="AB25" s="166">
        <f t="shared" si="19"/>
        <v>0</v>
      </c>
      <c r="AC25" s="33">
        <f t="shared" si="20"/>
        <v>-1574.4289542099625</v>
      </c>
      <c r="AD25" s="167">
        <f t="shared" si="21"/>
        <v>-103.09359248154794</v>
      </c>
      <c r="AE25" s="165">
        <v>0</v>
      </c>
      <c r="AF25" s="166">
        <f t="shared" si="22"/>
        <v>0</v>
      </c>
      <c r="AG25" s="33">
        <f t="shared" si="23"/>
        <v>-1477.5225466915103</v>
      </c>
      <c r="AH25" s="167">
        <f t="shared" si="24"/>
        <v>-81.263740068033073</v>
      </c>
      <c r="AI25" s="165">
        <v>300</v>
      </c>
      <c r="AJ25" s="166">
        <f t="shared" si="25"/>
        <v>0</v>
      </c>
      <c r="AK25" s="33">
        <f t="shared" si="26"/>
        <v>-1658.7862867595434</v>
      </c>
      <c r="AL25" s="167">
        <f t="shared" si="27"/>
        <v>-107.73324577177489</v>
      </c>
      <c r="AM25" s="165">
        <v>300</v>
      </c>
      <c r="AN25" s="166">
        <f t="shared" si="28"/>
        <v>0</v>
      </c>
      <c r="AO25" s="33">
        <f t="shared" si="29"/>
        <v>-1866.5195325313182</v>
      </c>
      <c r="AP25" s="167">
        <f t="shared" si="30"/>
        <v>-119.15857428922249</v>
      </c>
      <c r="AQ25" s="165">
        <v>300</v>
      </c>
      <c r="AR25" s="166">
        <f t="shared" si="31"/>
        <v>0</v>
      </c>
      <c r="AS25" s="33">
        <f t="shared" si="32"/>
        <v>-2085.6781068205405</v>
      </c>
      <c r="AT25" s="167">
        <f t="shared" si="33"/>
        <v>-166.99746747743785</v>
      </c>
      <c r="AU25" s="165">
        <v>300</v>
      </c>
      <c r="AV25" s="166">
        <f t="shared" si="34"/>
        <v>0</v>
      </c>
      <c r="AW25" s="33">
        <f t="shared" si="35"/>
        <v>-2352.6755742979785</v>
      </c>
      <c r="AX25" s="167">
        <f t="shared" si="36"/>
        <v>-185.68729020085851</v>
      </c>
      <c r="AY25" s="165">
        <v>300</v>
      </c>
      <c r="AZ25" s="166">
        <f t="shared" si="37"/>
        <v>0</v>
      </c>
      <c r="BA25" s="33">
        <f t="shared" si="38"/>
        <v>-2638.3628644988371</v>
      </c>
      <c r="BB25" s="167">
        <f t="shared" si="39"/>
        <v>-205.68540051491863</v>
      </c>
      <c r="BC25" s="165">
        <v>300</v>
      </c>
      <c r="BD25" s="166">
        <f t="shared" si="40"/>
        <v>0</v>
      </c>
      <c r="BE25" s="33">
        <f t="shared" si="41"/>
        <v>-2944.0482650137556</v>
      </c>
      <c r="BF25" s="167">
        <f t="shared" si="42"/>
        <v>-227.08337855096292</v>
      </c>
      <c r="BG25" s="165">
        <v>300</v>
      </c>
      <c r="BH25" s="166">
        <f t="shared" si="43"/>
        <v>0</v>
      </c>
      <c r="BI25" s="33">
        <f t="shared" si="44"/>
        <v>-3271.1316435647186</v>
      </c>
      <c r="BJ25" s="167">
        <f t="shared" si="45"/>
        <v>-249.97921504953032</v>
      </c>
      <c r="BK25" s="87">
        <f t="shared" si="46"/>
        <v>3300</v>
      </c>
      <c r="BL25" s="33">
        <f>'2022-2023'!BL25+'2023-2024'!BK25</f>
        <v>17400</v>
      </c>
    </row>
    <row r="26" spans="1:64">
      <c r="A26" s="10" t="s">
        <v>597</v>
      </c>
      <c r="B26" s="10" t="s">
        <v>121</v>
      </c>
      <c r="C26" s="80">
        <v>0</v>
      </c>
      <c r="D26" s="79">
        <f t="shared" si="0"/>
        <v>2400</v>
      </c>
      <c r="E26" s="78">
        <f>'2022-2023'!I26</f>
        <v>8357.0371690751053</v>
      </c>
      <c r="F26" s="187">
        <f t="shared" si="1"/>
        <v>2400</v>
      </c>
      <c r="G26" s="33">
        <f t="shared" si="2"/>
        <v>4000</v>
      </c>
      <c r="H26" s="190">
        <f t="shared" si="3"/>
        <v>-1600</v>
      </c>
      <c r="I26" s="78">
        <f t="shared" si="4"/>
        <v>15128.857702510119</v>
      </c>
      <c r="J26" s="78">
        <f t="shared" si="5"/>
        <v>0</v>
      </c>
      <c r="K26" s="78">
        <f t="shared" si="6"/>
        <v>220</v>
      </c>
      <c r="L26" s="78">
        <f t="shared" si="7"/>
        <v>8371.8205334350132</v>
      </c>
      <c r="M26" s="194">
        <f t="shared" si="8"/>
        <v>8371.8205334350132</v>
      </c>
      <c r="N26" s="78">
        <f t="shared" si="9"/>
        <v>-4151.8205334350132</v>
      </c>
      <c r="O26" s="165">
        <v>0</v>
      </c>
      <c r="P26" s="166">
        <f t="shared" si="10"/>
        <v>0</v>
      </c>
      <c r="Q26" s="119">
        <f t="shared" si="11"/>
        <v>8557.0371690751053</v>
      </c>
      <c r="R26" s="167">
        <f t="shared" si="12"/>
        <v>470.63704429913082</v>
      </c>
      <c r="S26" s="165">
        <v>0</v>
      </c>
      <c r="T26" s="166">
        <f t="shared" si="13"/>
        <v>0</v>
      </c>
      <c r="U26" s="33">
        <f t="shared" si="14"/>
        <v>9227.6742133742355</v>
      </c>
      <c r="V26" s="167">
        <f t="shared" si="15"/>
        <v>507.52208173558296</v>
      </c>
      <c r="W26" s="165">
        <v>0</v>
      </c>
      <c r="X26" s="166">
        <f t="shared" si="16"/>
        <v>0</v>
      </c>
      <c r="Y26" s="33">
        <f t="shared" si="17"/>
        <v>9935.1962951098176</v>
      </c>
      <c r="Z26" s="167">
        <f t="shared" si="18"/>
        <v>546.43579623103994</v>
      </c>
      <c r="AA26" s="165">
        <v>400</v>
      </c>
      <c r="AB26" s="166">
        <f t="shared" si="19"/>
        <v>0</v>
      </c>
      <c r="AC26" s="33">
        <f t="shared" si="20"/>
        <v>10281.632091340858</v>
      </c>
      <c r="AD26" s="167">
        <f t="shared" si="21"/>
        <v>543.48976502374717</v>
      </c>
      <c r="AE26" s="165">
        <v>0</v>
      </c>
      <c r="AF26" s="166">
        <f t="shared" si="22"/>
        <v>0</v>
      </c>
      <c r="AG26" s="33">
        <f t="shared" si="23"/>
        <v>11025.121856364605</v>
      </c>
      <c r="AH26" s="167">
        <f t="shared" si="24"/>
        <v>606.3817021000533</v>
      </c>
      <c r="AI26" s="165">
        <v>0</v>
      </c>
      <c r="AJ26" s="166">
        <f t="shared" si="25"/>
        <v>0</v>
      </c>
      <c r="AK26" s="33">
        <f t="shared" si="26"/>
        <v>11831.503558464659</v>
      </c>
      <c r="AL26" s="167">
        <f t="shared" si="27"/>
        <v>650.73269571555625</v>
      </c>
      <c r="AM26" s="165">
        <v>600</v>
      </c>
      <c r="AN26" s="166">
        <f t="shared" si="28"/>
        <v>0</v>
      </c>
      <c r="AO26" s="33">
        <f t="shared" si="29"/>
        <v>12082.236254180216</v>
      </c>
      <c r="AP26" s="167">
        <f t="shared" si="30"/>
        <v>631.52299397991192</v>
      </c>
      <c r="AQ26" s="165">
        <v>600</v>
      </c>
      <c r="AR26" s="166">
        <f t="shared" si="31"/>
        <v>0</v>
      </c>
      <c r="AS26" s="33">
        <f t="shared" si="32"/>
        <v>12313.759248160128</v>
      </c>
      <c r="AT26" s="167">
        <f t="shared" si="33"/>
        <v>819.96314737120906</v>
      </c>
      <c r="AU26" s="165">
        <v>600</v>
      </c>
      <c r="AV26" s="166">
        <f t="shared" si="34"/>
        <v>0</v>
      </c>
      <c r="AW26" s="33">
        <f t="shared" si="35"/>
        <v>12733.722395531337</v>
      </c>
      <c r="AX26" s="167">
        <f t="shared" si="36"/>
        <v>849.36056768719368</v>
      </c>
      <c r="AY26" s="165">
        <v>600</v>
      </c>
      <c r="AZ26" s="166">
        <f t="shared" si="37"/>
        <v>0</v>
      </c>
      <c r="BA26" s="33">
        <f t="shared" si="38"/>
        <v>13183.08296321853</v>
      </c>
      <c r="BB26" s="167">
        <f t="shared" si="39"/>
        <v>880.81580742529718</v>
      </c>
      <c r="BC26" s="165">
        <v>600</v>
      </c>
      <c r="BD26" s="166">
        <f t="shared" si="40"/>
        <v>0</v>
      </c>
      <c r="BE26" s="33">
        <f t="shared" si="41"/>
        <v>13663.898770643827</v>
      </c>
      <c r="BF26" s="167">
        <f t="shared" si="42"/>
        <v>914.47291394506806</v>
      </c>
      <c r="BG26" s="165">
        <v>600</v>
      </c>
      <c r="BH26" s="166">
        <f t="shared" si="43"/>
        <v>0</v>
      </c>
      <c r="BI26" s="33">
        <f t="shared" si="44"/>
        <v>14178.371684588896</v>
      </c>
      <c r="BJ26" s="167">
        <f t="shared" si="45"/>
        <v>950.48601792122281</v>
      </c>
      <c r="BK26" s="87">
        <f t="shared" si="46"/>
        <v>4000</v>
      </c>
      <c r="BL26" s="33">
        <f>'2022-2023'!BL26+'2023-2024'!BK26</f>
        <v>11650</v>
      </c>
    </row>
    <row r="27" spans="1:64">
      <c r="A27" s="10" t="s">
        <v>598</v>
      </c>
      <c r="B27" s="10" t="s">
        <v>110</v>
      </c>
      <c r="C27" s="80">
        <v>0</v>
      </c>
      <c r="D27" s="79">
        <f t="shared" si="0"/>
        <v>2400</v>
      </c>
      <c r="E27" s="78">
        <f>'2022-2023'!I27</f>
        <v>14608.335572023791</v>
      </c>
      <c r="F27" s="187">
        <f t="shared" si="1"/>
        <v>2400</v>
      </c>
      <c r="G27" s="33">
        <f t="shared" si="2"/>
        <v>0</v>
      </c>
      <c r="H27" s="190">
        <f t="shared" si="3"/>
        <v>2400</v>
      </c>
      <c r="I27" s="78">
        <f t="shared" si="4"/>
        <v>33481.992882441489</v>
      </c>
      <c r="J27" s="78">
        <f t="shared" si="5"/>
        <v>0</v>
      </c>
      <c r="K27" s="78">
        <f t="shared" si="6"/>
        <v>0</v>
      </c>
      <c r="L27" s="78">
        <f t="shared" si="7"/>
        <v>16473.657310417701</v>
      </c>
      <c r="M27" s="194">
        <f t="shared" si="8"/>
        <v>16473.657310417701</v>
      </c>
      <c r="N27" s="78">
        <f t="shared" si="9"/>
        <v>-16473.657310417701</v>
      </c>
      <c r="O27" s="165">
        <v>0</v>
      </c>
      <c r="P27" s="166">
        <f t="shared" si="10"/>
        <v>0</v>
      </c>
      <c r="Q27" s="119">
        <f t="shared" si="11"/>
        <v>14808.335572023791</v>
      </c>
      <c r="R27" s="167">
        <f t="shared" si="12"/>
        <v>814.45845646130851</v>
      </c>
      <c r="S27" s="165">
        <v>0</v>
      </c>
      <c r="T27" s="166">
        <f t="shared" si="13"/>
        <v>0</v>
      </c>
      <c r="U27" s="33">
        <f t="shared" si="14"/>
        <v>15822.794028485099</v>
      </c>
      <c r="V27" s="167">
        <f t="shared" si="15"/>
        <v>870.25367156668051</v>
      </c>
      <c r="W27" s="165">
        <v>0</v>
      </c>
      <c r="X27" s="166">
        <f t="shared" si="16"/>
        <v>0</v>
      </c>
      <c r="Y27" s="33">
        <f t="shared" si="17"/>
        <v>16893.047700051779</v>
      </c>
      <c r="Z27" s="167">
        <f t="shared" si="18"/>
        <v>929.11762350284778</v>
      </c>
      <c r="AA27" s="165">
        <v>0</v>
      </c>
      <c r="AB27" s="166">
        <f t="shared" si="19"/>
        <v>0</v>
      </c>
      <c r="AC27" s="33">
        <f t="shared" si="20"/>
        <v>18022.165323554626</v>
      </c>
      <c r="AD27" s="167">
        <f t="shared" si="21"/>
        <v>991.21909279550437</v>
      </c>
      <c r="AE27" s="165">
        <v>0</v>
      </c>
      <c r="AF27" s="166">
        <f t="shared" si="22"/>
        <v>0</v>
      </c>
      <c r="AG27" s="33">
        <f t="shared" si="23"/>
        <v>19213.384416350131</v>
      </c>
      <c r="AH27" s="167">
        <f t="shared" si="24"/>
        <v>1056.7361428992572</v>
      </c>
      <c r="AI27" s="165">
        <v>0</v>
      </c>
      <c r="AJ27" s="166">
        <f t="shared" si="25"/>
        <v>0</v>
      </c>
      <c r="AK27" s="33">
        <f t="shared" si="26"/>
        <v>20470.120559249386</v>
      </c>
      <c r="AL27" s="167">
        <f t="shared" si="27"/>
        <v>1125.8566307587162</v>
      </c>
      <c r="AM27" s="165">
        <v>0</v>
      </c>
      <c r="AN27" s="166">
        <f t="shared" si="28"/>
        <v>0</v>
      </c>
      <c r="AO27" s="33">
        <f t="shared" si="29"/>
        <v>21795.977190008103</v>
      </c>
      <c r="AP27" s="167">
        <f t="shared" si="30"/>
        <v>1198.7787454504457</v>
      </c>
      <c r="AQ27" s="165">
        <v>0</v>
      </c>
      <c r="AR27" s="166">
        <f t="shared" si="31"/>
        <v>0</v>
      </c>
      <c r="AS27" s="33">
        <f t="shared" si="32"/>
        <v>23194.75593545855</v>
      </c>
      <c r="AT27" s="167">
        <f t="shared" si="33"/>
        <v>1623.6329154820987</v>
      </c>
      <c r="AU27" s="165">
        <v>0</v>
      </c>
      <c r="AV27" s="166">
        <f t="shared" si="34"/>
        <v>0</v>
      </c>
      <c r="AW27" s="33">
        <f t="shared" si="35"/>
        <v>25018.38885094065</v>
      </c>
      <c r="AX27" s="167">
        <f t="shared" si="36"/>
        <v>1751.2872195658456</v>
      </c>
      <c r="AY27" s="165">
        <v>0</v>
      </c>
      <c r="AZ27" s="166">
        <f t="shared" si="37"/>
        <v>0</v>
      </c>
      <c r="BA27" s="33">
        <f t="shared" si="38"/>
        <v>26969.676070506495</v>
      </c>
      <c r="BB27" s="167">
        <f t="shared" si="39"/>
        <v>1887.8773249354549</v>
      </c>
      <c r="BC27" s="165">
        <v>0</v>
      </c>
      <c r="BD27" s="166">
        <f t="shared" si="40"/>
        <v>0</v>
      </c>
      <c r="BE27" s="33">
        <f t="shared" si="41"/>
        <v>29057.553395441952</v>
      </c>
      <c r="BF27" s="167">
        <f t="shared" si="42"/>
        <v>2034.0287376809367</v>
      </c>
      <c r="BG27" s="165">
        <v>0</v>
      </c>
      <c r="BH27" s="166">
        <f t="shared" si="43"/>
        <v>0</v>
      </c>
      <c r="BI27" s="33">
        <f t="shared" si="44"/>
        <v>31291.582133122887</v>
      </c>
      <c r="BJ27" s="167">
        <f t="shared" si="45"/>
        <v>2190.4107493186025</v>
      </c>
      <c r="BK27" s="87">
        <f t="shared" si="46"/>
        <v>0</v>
      </c>
      <c r="BL27" s="33">
        <f>'2022-2023'!BL27+'2023-2024'!BK27</f>
        <v>4100</v>
      </c>
    </row>
    <row r="28" spans="1:64">
      <c r="A28" s="10" t="s">
        <v>599</v>
      </c>
      <c r="B28" s="10" t="s">
        <v>116</v>
      </c>
      <c r="C28" s="80">
        <v>0</v>
      </c>
      <c r="D28" s="79">
        <f t="shared" si="0"/>
        <v>2400</v>
      </c>
      <c r="E28" s="78">
        <f>'2022-2023'!I28</f>
        <v>17754.962757159512</v>
      </c>
      <c r="F28" s="187">
        <f t="shared" si="1"/>
        <v>2400</v>
      </c>
      <c r="G28" s="33">
        <f t="shared" si="2"/>
        <v>0</v>
      </c>
      <c r="H28" s="190">
        <f t="shared" si="3"/>
        <v>2400</v>
      </c>
      <c r="I28" s="78">
        <f t="shared" si="4"/>
        <v>39901.939195270228</v>
      </c>
      <c r="J28" s="78">
        <f t="shared" si="5"/>
        <v>0</v>
      </c>
      <c r="K28" s="78">
        <f t="shared" si="6"/>
        <v>0</v>
      </c>
      <c r="L28" s="78">
        <f t="shared" si="7"/>
        <v>19746.976438110712</v>
      </c>
      <c r="M28" s="194">
        <f t="shared" si="8"/>
        <v>19746.976438110712</v>
      </c>
      <c r="N28" s="78">
        <f t="shared" si="9"/>
        <v>-19746.976438110712</v>
      </c>
      <c r="O28" s="165">
        <v>0</v>
      </c>
      <c r="P28" s="166">
        <f t="shared" si="10"/>
        <v>0</v>
      </c>
      <c r="Q28" s="119">
        <f t="shared" si="11"/>
        <v>17954.962757159512</v>
      </c>
      <c r="R28" s="167">
        <f t="shared" si="12"/>
        <v>987.52295164377313</v>
      </c>
      <c r="S28" s="165">
        <v>0</v>
      </c>
      <c r="T28" s="166">
        <f t="shared" si="13"/>
        <v>0</v>
      </c>
      <c r="U28" s="33">
        <f t="shared" si="14"/>
        <v>19142.485708803284</v>
      </c>
      <c r="V28" s="167">
        <f t="shared" si="15"/>
        <v>1052.8367139841807</v>
      </c>
      <c r="W28" s="165">
        <v>0</v>
      </c>
      <c r="X28" s="166">
        <f t="shared" si="16"/>
        <v>0</v>
      </c>
      <c r="Y28" s="33">
        <f t="shared" si="17"/>
        <v>20395.322422787463</v>
      </c>
      <c r="Z28" s="167">
        <f t="shared" si="18"/>
        <v>1121.7427332533105</v>
      </c>
      <c r="AA28" s="165">
        <v>0</v>
      </c>
      <c r="AB28" s="166">
        <f t="shared" si="19"/>
        <v>0</v>
      </c>
      <c r="AC28" s="33">
        <f t="shared" si="20"/>
        <v>21717.065156040775</v>
      </c>
      <c r="AD28" s="167">
        <f t="shared" si="21"/>
        <v>1194.4385835822427</v>
      </c>
      <c r="AE28" s="165">
        <v>0</v>
      </c>
      <c r="AF28" s="166">
        <f t="shared" si="22"/>
        <v>0</v>
      </c>
      <c r="AG28" s="33">
        <f t="shared" si="23"/>
        <v>23111.503739623018</v>
      </c>
      <c r="AH28" s="167">
        <f t="shared" si="24"/>
        <v>1271.1327056792661</v>
      </c>
      <c r="AI28" s="165">
        <v>0</v>
      </c>
      <c r="AJ28" s="166">
        <f t="shared" si="25"/>
        <v>0</v>
      </c>
      <c r="AK28" s="33">
        <f t="shared" si="26"/>
        <v>24582.636445302283</v>
      </c>
      <c r="AL28" s="167">
        <f t="shared" si="27"/>
        <v>1352.0450044916256</v>
      </c>
      <c r="AM28" s="165">
        <v>0</v>
      </c>
      <c r="AN28" s="166">
        <f t="shared" si="28"/>
        <v>0</v>
      </c>
      <c r="AO28" s="33">
        <f t="shared" si="29"/>
        <v>26134.681449793909</v>
      </c>
      <c r="AP28" s="167">
        <f t="shared" si="30"/>
        <v>1437.407479738665</v>
      </c>
      <c r="AQ28" s="165">
        <v>0</v>
      </c>
      <c r="AR28" s="166">
        <f t="shared" si="31"/>
        <v>0</v>
      </c>
      <c r="AS28" s="33">
        <f t="shared" si="32"/>
        <v>27772.088929532572</v>
      </c>
      <c r="AT28" s="167">
        <f t="shared" si="33"/>
        <v>1944.0462250672801</v>
      </c>
      <c r="AU28" s="165">
        <v>0</v>
      </c>
      <c r="AV28" s="166">
        <f t="shared" si="34"/>
        <v>0</v>
      </c>
      <c r="AW28" s="33">
        <f t="shared" si="35"/>
        <v>29916.135154599851</v>
      </c>
      <c r="AX28" s="167">
        <f t="shared" si="36"/>
        <v>2094.1294608219896</v>
      </c>
      <c r="AY28" s="165">
        <v>0</v>
      </c>
      <c r="AZ28" s="166">
        <f t="shared" si="37"/>
        <v>0</v>
      </c>
      <c r="BA28" s="33">
        <f t="shared" si="38"/>
        <v>32210.264615421842</v>
      </c>
      <c r="BB28" s="167">
        <f t="shared" si="39"/>
        <v>2254.7185230795289</v>
      </c>
      <c r="BC28" s="165">
        <v>0</v>
      </c>
      <c r="BD28" s="166">
        <f t="shared" si="40"/>
        <v>0</v>
      </c>
      <c r="BE28" s="33">
        <f t="shared" si="41"/>
        <v>34664.983138501368</v>
      </c>
      <c r="BF28" s="167">
        <f t="shared" si="42"/>
        <v>2426.548819695096</v>
      </c>
      <c r="BG28" s="165">
        <v>0</v>
      </c>
      <c r="BH28" s="166">
        <f t="shared" si="43"/>
        <v>0</v>
      </c>
      <c r="BI28" s="33">
        <f t="shared" si="44"/>
        <v>37291.531958196465</v>
      </c>
      <c r="BJ28" s="167">
        <f t="shared" si="45"/>
        <v>2610.4072370737526</v>
      </c>
      <c r="BK28" s="87">
        <f t="shared" si="46"/>
        <v>0</v>
      </c>
      <c r="BL28" s="33">
        <f>'2022-2023'!BL28+'2023-2024'!BK28</f>
        <v>1100</v>
      </c>
    </row>
    <row r="29" spans="1:64">
      <c r="A29" s="10" t="s">
        <v>600</v>
      </c>
      <c r="B29" s="10" t="s">
        <v>141</v>
      </c>
      <c r="C29" s="80">
        <v>0</v>
      </c>
      <c r="D29" s="79">
        <f t="shared" si="0"/>
        <v>2400</v>
      </c>
      <c r="E29" s="78">
        <f>'2022-2023'!I29</f>
        <v>18979.120422196371</v>
      </c>
      <c r="F29" s="187">
        <f t="shared" si="1"/>
        <v>2400</v>
      </c>
      <c r="G29" s="33">
        <f t="shared" si="2"/>
        <v>0</v>
      </c>
      <c r="H29" s="190">
        <f t="shared" si="3"/>
        <v>2400</v>
      </c>
      <c r="I29" s="78">
        <f t="shared" si="4"/>
        <v>42399.542510051047</v>
      </c>
      <c r="J29" s="78">
        <f t="shared" si="5"/>
        <v>0</v>
      </c>
      <c r="K29" s="78">
        <f t="shared" si="6"/>
        <v>0</v>
      </c>
      <c r="L29" s="78">
        <f t="shared" si="7"/>
        <v>21020.422087854673</v>
      </c>
      <c r="M29" s="194">
        <f t="shared" si="8"/>
        <v>21020.422087854673</v>
      </c>
      <c r="N29" s="78">
        <f t="shared" si="9"/>
        <v>-21020.422087854673</v>
      </c>
      <c r="O29" s="165">
        <v>0</v>
      </c>
      <c r="P29" s="166">
        <f t="shared" si="10"/>
        <v>0</v>
      </c>
      <c r="Q29" s="119">
        <f t="shared" si="11"/>
        <v>19179.120422196371</v>
      </c>
      <c r="R29" s="167">
        <f t="shared" si="12"/>
        <v>1054.8516232208003</v>
      </c>
      <c r="S29" s="165">
        <v>0</v>
      </c>
      <c r="T29" s="166">
        <f t="shared" si="13"/>
        <v>0</v>
      </c>
      <c r="U29" s="33">
        <f t="shared" si="14"/>
        <v>20433.972045417169</v>
      </c>
      <c r="V29" s="167">
        <f t="shared" si="15"/>
        <v>1123.8684624979444</v>
      </c>
      <c r="W29" s="165">
        <v>0</v>
      </c>
      <c r="X29" s="166">
        <f t="shared" si="16"/>
        <v>0</v>
      </c>
      <c r="Y29" s="33">
        <f t="shared" si="17"/>
        <v>21757.840507915113</v>
      </c>
      <c r="Z29" s="167">
        <f t="shared" si="18"/>
        <v>1196.6812279353312</v>
      </c>
      <c r="AA29" s="165">
        <v>0</v>
      </c>
      <c r="AB29" s="166">
        <f t="shared" si="19"/>
        <v>0</v>
      </c>
      <c r="AC29" s="33">
        <f t="shared" si="20"/>
        <v>23154.521735850445</v>
      </c>
      <c r="AD29" s="167">
        <f t="shared" si="21"/>
        <v>1273.4986954717745</v>
      </c>
      <c r="AE29" s="165">
        <v>0</v>
      </c>
      <c r="AF29" s="166">
        <f t="shared" si="22"/>
        <v>0</v>
      </c>
      <c r="AG29" s="33">
        <f t="shared" si="23"/>
        <v>24628.02043132222</v>
      </c>
      <c r="AH29" s="167">
        <f t="shared" si="24"/>
        <v>1354.5411237227222</v>
      </c>
      <c r="AI29" s="165">
        <v>0</v>
      </c>
      <c r="AJ29" s="166">
        <f t="shared" si="25"/>
        <v>0</v>
      </c>
      <c r="AK29" s="33">
        <f t="shared" si="26"/>
        <v>26182.561555044944</v>
      </c>
      <c r="AL29" s="167">
        <f t="shared" si="27"/>
        <v>1440.040885527472</v>
      </c>
      <c r="AM29" s="165">
        <v>0</v>
      </c>
      <c r="AN29" s="166">
        <f t="shared" si="28"/>
        <v>0</v>
      </c>
      <c r="AO29" s="33">
        <f t="shared" si="29"/>
        <v>27822.602440572417</v>
      </c>
      <c r="AP29" s="167">
        <f t="shared" si="30"/>
        <v>1530.2431342314828</v>
      </c>
      <c r="AQ29" s="165">
        <v>0</v>
      </c>
      <c r="AR29" s="166">
        <f t="shared" si="31"/>
        <v>0</v>
      </c>
      <c r="AS29" s="33">
        <f t="shared" si="32"/>
        <v>29552.845574803898</v>
      </c>
      <c r="AT29" s="167">
        <f t="shared" si="33"/>
        <v>2068.6991902362729</v>
      </c>
      <c r="AU29" s="165">
        <v>0</v>
      </c>
      <c r="AV29" s="166">
        <f t="shared" si="34"/>
        <v>0</v>
      </c>
      <c r="AW29" s="33">
        <f t="shared" si="35"/>
        <v>31821.544765040169</v>
      </c>
      <c r="AX29" s="167">
        <f t="shared" si="36"/>
        <v>2227.5081335528121</v>
      </c>
      <c r="AY29" s="165">
        <v>0</v>
      </c>
      <c r="AZ29" s="166">
        <f t="shared" si="37"/>
        <v>0</v>
      </c>
      <c r="BA29" s="33">
        <f t="shared" si="38"/>
        <v>34249.052898592985</v>
      </c>
      <c r="BB29" s="167">
        <f t="shared" si="39"/>
        <v>2397.4337029015092</v>
      </c>
      <c r="BC29" s="165">
        <v>0</v>
      </c>
      <c r="BD29" s="166">
        <f t="shared" si="40"/>
        <v>0</v>
      </c>
      <c r="BE29" s="33">
        <f t="shared" si="41"/>
        <v>36846.486601494493</v>
      </c>
      <c r="BF29" s="167">
        <f t="shared" si="42"/>
        <v>2579.2540621046146</v>
      </c>
      <c r="BG29" s="165">
        <v>0</v>
      </c>
      <c r="BH29" s="166">
        <f t="shared" si="43"/>
        <v>0</v>
      </c>
      <c r="BI29" s="33">
        <f t="shared" si="44"/>
        <v>39625.740663599106</v>
      </c>
      <c r="BJ29" s="167">
        <f t="shared" si="45"/>
        <v>2773.8018464519378</v>
      </c>
      <c r="BK29" s="87">
        <f t="shared" si="46"/>
        <v>0</v>
      </c>
      <c r="BL29" s="33">
        <f>'2022-2023'!BL29+'2023-2024'!BK29</f>
        <v>500</v>
      </c>
    </row>
    <row r="30" spans="1:64">
      <c r="A30" s="10" t="s">
        <v>601</v>
      </c>
      <c r="B30" s="10" t="s">
        <v>122</v>
      </c>
      <c r="C30" s="80">
        <v>0</v>
      </c>
      <c r="D30" s="79">
        <f t="shared" si="0"/>
        <v>2400</v>
      </c>
      <c r="E30" s="78">
        <f>'2022-2023'!I30</f>
        <v>8777.8065468892291</v>
      </c>
      <c r="F30" s="187">
        <f t="shared" si="1"/>
        <v>2400</v>
      </c>
      <c r="G30" s="33">
        <f t="shared" si="2"/>
        <v>0</v>
      </c>
      <c r="H30" s="190">
        <f t="shared" si="3"/>
        <v>2400</v>
      </c>
      <c r="I30" s="78">
        <f t="shared" si="4"/>
        <v>21586.181553544251</v>
      </c>
      <c r="J30" s="78">
        <f t="shared" si="5"/>
        <v>0</v>
      </c>
      <c r="K30" s="78">
        <f t="shared" si="6"/>
        <v>0</v>
      </c>
      <c r="L30" s="78">
        <f t="shared" si="7"/>
        <v>10408.37500665502</v>
      </c>
      <c r="M30" s="194">
        <f t="shared" si="8"/>
        <v>10408.37500665502</v>
      </c>
      <c r="N30" s="78">
        <f t="shared" si="9"/>
        <v>-10408.37500665502</v>
      </c>
      <c r="O30" s="165">
        <v>0</v>
      </c>
      <c r="P30" s="166">
        <f t="shared" si="10"/>
        <v>0</v>
      </c>
      <c r="Q30" s="119">
        <f t="shared" si="11"/>
        <v>8977.8065468892291</v>
      </c>
      <c r="R30" s="167">
        <f t="shared" si="12"/>
        <v>493.77936007890759</v>
      </c>
      <c r="S30" s="165">
        <v>0</v>
      </c>
      <c r="T30" s="166">
        <f t="shared" si="13"/>
        <v>0</v>
      </c>
      <c r="U30" s="33">
        <f t="shared" si="14"/>
        <v>9671.5859069681374</v>
      </c>
      <c r="V30" s="167">
        <f t="shared" si="15"/>
        <v>531.93722488324761</v>
      </c>
      <c r="W30" s="165">
        <v>0</v>
      </c>
      <c r="X30" s="166">
        <f t="shared" si="16"/>
        <v>0</v>
      </c>
      <c r="Y30" s="33">
        <f t="shared" si="17"/>
        <v>10403.523131851385</v>
      </c>
      <c r="Z30" s="167">
        <f t="shared" si="18"/>
        <v>572.1937722518262</v>
      </c>
      <c r="AA30" s="165">
        <v>0</v>
      </c>
      <c r="AB30" s="166">
        <f t="shared" si="19"/>
        <v>0</v>
      </c>
      <c r="AC30" s="33">
        <f t="shared" si="20"/>
        <v>11175.716904103212</v>
      </c>
      <c r="AD30" s="167">
        <f t="shared" si="21"/>
        <v>614.66442972567665</v>
      </c>
      <c r="AE30" s="165">
        <v>0</v>
      </c>
      <c r="AF30" s="166">
        <f t="shared" si="22"/>
        <v>0</v>
      </c>
      <c r="AG30" s="33">
        <f t="shared" si="23"/>
        <v>11990.381333828889</v>
      </c>
      <c r="AH30" s="167">
        <f t="shared" si="24"/>
        <v>659.47097336058891</v>
      </c>
      <c r="AI30" s="165">
        <v>0</v>
      </c>
      <c r="AJ30" s="166">
        <f t="shared" si="25"/>
        <v>0</v>
      </c>
      <c r="AK30" s="33">
        <f t="shared" si="26"/>
        <v>12849.852307189478</v>
      </c>
      <c r="AL30" s="167">
        <f t="shared" si="27"/>
        <v>706.74187689542134</v>
      </c>
      <c r="AM30" s="165">
        <v>0</v>
      </c>
      <c r="AN30" s="166">
        <f t="shared" si="28"/>
        <v>0</v>
      </c>
      <c r="AO30" s="33">
        <f t="shared" si="29"/>
        <v>13756.594184084899</v>
      </c>
      <c r="AP30" s="167">
        <f t="shared" si="30"/>
        <v>756.61268012466951</v>
      </c>
      <c r="AQ30" s="165">
        <v>0</v>
      </c>
      <c r="AR30" s="166">
        <f t="shared" si="31"/>
        <v>0</v>
      </c>
      <c r="AS30" s="33">
        <f t="shared" si="32"/>
        <v>14713.206864209569</v>
      </c>
      <c r="AT30" s="167">
        <f t="shared" si="33"/>
        <v>1029.92448049467</v>
      </c>
      <c r="AU30" s="165">
        <v>0</v>
      </c>
      <c r="AV30" s="166">
        <f t="shared" si="34"/>
        <v>0</v>
      </c>
      <c r="AW30" s="33">
        <f t="shared" si="35"/>
        <v>15943.131344704239</v>
      </c>
      <c r="AX30" s="167">
        <f t="shared" si="36"/>
        <v>1116.0191941292969</v>
      </c>
      <c r="AY30" s="165">
        <v>0</v>
      </c>
      <c r="AZ30" s="166">
        <f t="shared" si="37"/>
        <v>0</v>
      </c>
      <c r="BA30" s="33">
        <f t="shared" si="38"/>
        <v>17259.150538833535</v>
      </c>
      <c r="BB30" s="167">
        <f t="shared" si="39"/>
        <v>1208.1405377183476</v>
      </c>
      <c r="BC30" s="165">
        <v>0</v>
      </c>
      <c r="BD30" s="166">
        <f t="shared" si="40"/>
        <v>0</v>
      </c>
      <c r="BE30" s="33">
        <f t="shared" si="41"/>
        <v>18667.291076551883</v>
      </c>
      <c r="BF30" s="167">
        <f t="shared" si="42"/>
        <v>1306.7103753586318</v>
      </c>
      <c r="BG30" s="165">
        <v>0</v>
      </c>
      <c r="BH30" s="166">
        <f t="shared" si="43"/>
        <v>0</v>
      </c>
      <c r="BI30" s="33">
        <f t="shared" si="44"/>
        <v>20174.001451910513</v>
      </c>
      <c r="BJ30" s="167">
        <f t="shared" si="45"/>
        <v>1412.1801016337361</v>
      </c>
      <c r="BK30" s="87">
        <f t="shared" si="46"/>
        <v>0</v>
      </c>
      <c r="BL30" s="33">
        <f>'2022-2023'!BL30+'2023-2024'!BK30</f>
        <v>5600</v>
      </c>
    </row>
    <row r="31" spans="1:64">
      <c r="A31" s="10" t="s">
        <v>602</v>
      </c>
      <c r="B31" s="10" t="s">
        <v>116</v>
      </c>
      <c r="C31" s="80">
        <v>0</v>
      </c>
      <c r="D31" s="79">
        <f t="shared" si="0"/>
        <v>2400</v>
      </c>
      <c r="E31" s="78">
        <f>'2022-2023'!I31</f>
        <v>1577.433486075598</v>
      </c>
      <c r="F31" s="187">
        <f t="shared" si="1"/>
        <v>2400</v>
      </c>
      <c r="G31" s="33">
        <f t="shared" si="2"/>
        <v>1100</v>
      </c>
      <c r="H31" s="190">
        <f t="shared" si="3"/>
        <v>1300</v>
      </c>
      <c r="I31" s="78">
        <f t="shared" si="4"/>
        <v>5391.428978364881</v>
      </c>
      <c r="J31" s="78">
        <f t="shared" si="5"/>
        <v>0</v>
      </c>
      <c r="K31" s="78">
        <f t="shared" si="6"/>
        <v>60.5</v>
      </c>
      <c r="L31" s="78">
        <f t="shared" si="7"/>
        <v>2513.995492289283</v>
      </c>
      <c r="M31" s="194">
        <f t="shared" si="8"/>
        <v>2513.995492289283</v>
      </c>
      <c r="N31" s="78">
        <f t="shared" si="9"/>
        <v>-1353.495492289283</v>
      </c>
      <c r="O31" s="165">
        <v>0</v>
      </c>
      <c r="P31" s="166">
        <f t="shared" si="10"/>
        <v>0</v>
      </c>
      <c r="Q31" s="119">
        <f t="shared" si="11"/>
        <v>1777.433486075598</v>
      </c>
      <c r="R31" s="167">
        <f t="shared" si="12"/>
        <v>97.758841734157897</v>
      </c>
      <c r="S31" s="165">
        <v>0</v>
      </c>
      <c r="T31" s="166">
        <f t="shared" si="13"/>
        <v>0</v>
      </c>
      <c r="U31" s="33">
        <f t="shared" si="14"/>
        <v>2075.1923278097561</v>
      </c>
      <c r="V31" s="167">
        <f t="shared" si="15"/>
        <v>114.13557802953659</v>
      </c>
      <c r="W31" s="165">
        <v>0</v>
      </c>
      <c r="X31" s="166">
        <f t="shared" si="16"/>
        <v>0</v>
      </c>
      <c r="Y31" s="33">
        <f t="shared" si="17"/>
        <v>2389.3279058392927</v>
      </c>
      <c r="Z31" s="167">
        <f t="shared" si="18"/>
        <v>131.41303482116109</v>
      </c>
      <c r="AA31" s="165">
        <v>0</v>
      </c>
      <c r="AB31" s="166">
        <f t="shared" si="19"/>
        <v>0</v>
      </c>
      <c r="AC31" s="33">
        <f t="shared" si="20"/>
        <v>2720.7409406604538</v>
      </c>
      <c r="AD31" s="167">
        <f t="shared" si="21"/>
        <v>149.64075173632497</v>
      </c>
      <c r="AE31" s="165">
        <v>0</v>
      </c>
      <c r="AF31" s="166">
        <f t="shared" si="22"/>
        <v>0</v>
      </c>
      <c r="AG31" s="33">
        <f t="shared" si="23"/>
        <v>3070.3816923967788</v>
      </c>
      <c r="AH31" s="167">
        <f t="shared" si="24"/>
        <v>168.87099308182283</v>
      </c>
      <c r="AI31" s="165">
        <v>0</v>
      </c>
      <c r="AJ31" s="166">
        <f t="shared" si="25"/>
        <v>0</v>
      </c>
      <c r="AK31" s="33">
        <f t="shared" si="26"/>
        <v>3439.2526854786015</v>
      </c>
      <c r="AL31" s="167">
        <f t="shared" si="27"/>
        <v>189.15889770132307</v>
      </c>
      <c r="AM31" s="165">
        <v>600</v>
      </c>
      <c r="AN31" s="166">
        <f t="shared" si="28"/>
        <v>0</v>
      </c>
      <c r="AO31" s="33">
        <f t="shared" si="29"/>
        <v>3228.4115831799245</v>
      </c>
      <c r="AP31" s="167">
        <f t="shared" si="30"/>
        <v>144.56263707489586</v>
      </c>
      <c r="AQ31" s="165">
        <v>0</v>
      </c>
      <c r="AR31" s="166">
        <f t="shared" si="31"/>
        <v>0</v>
      </c>
      <c r="AS31" s="33">
        <f t="shared" si="32"/>
        <v>3572.9742202548205</v>
      </c>
      <c r="AT31" s="167">
        <f t="shared" si="33"/>
        <v>250.10819541783746</v>
      </c>
      <c r="AU31" s="165">
        <v>0</v>
      </c>
      <c r="AV31" s="166">
        <f t="shared" si="34"/>
        <v>0</v>
      </c>
      <c r="AW31" s="33">
        <f t="shared" si="35"/>
        <v>4023.082415672658</v>
      </c>
      <c r="AX31" s="167">
        <f t="shared" si="36"/>
        <v>281.61576909708612</v>
      </c>
      <c r="AY31" s="165">
        <v>0</v>
      </c>
      <c r="AZ31" s="166">
        <f t="shared" si="37"/>
        <v>0</v>
      </c>
      <c r="BA31" s="33">
        <f t="shared" si="38"/>
        <v>4504.6981847697434</v>
      </c>
      <c r="BB31" s="167">
        <f t="shared" si="39"/>
        <v>315.32887293388205</v>
      </c>
      <c r="BC31" s="165">
        <v>0</v>
      </c>
      <c r="BD31" s="166">
        <f t="shared" si="40"/>
        <v>0</v>
      </c>
      <c r="BE31" s="33">
        <f t="shared" si="41"/>
        <v>5020.0270577036254</v>
      </c>
      <c r="BF31" s="167">
        <f t="shared" si="42"/>
        <v>351.40189403925382</v>
      </c>
      <c r="BG31" s="165">
        <v>500</v>
      </c>
      <c r="BH31" s="166">
        <f t="shared" si="43"/>
        <v>0</v>
      </c>
      <c r="BI31" s="33">
        <f t="shared" si="44"/>
        <v>5071.4289517428788</v>
      </c>
      <c r="BJ31" s="167">
        <f t="shared" si="45"/>
        <v>320.00002662200154</v>
      </c>
      <c r="BK31" s="87">
        <f t="shared" si="46"/>
        <v>1100</v>
      </c>
      <c r="BL31" s="33">
        <f>'2022-2023'!BL31+'2023-2024'!BK31</f>
        <v>13000</v>
      </c>
    </row>
    <row r="32" spans="1:64">
      <c r="A32" s="10" t="s">
        <v>603</v>
      </c>
      <c r="B32" s="10" t="s">
        <v>115</v>
      </c>
      <c r="C32" s="80">
        <v>0</v>
      </c>
      <c r="D32" s="79">
        <f t="shared" si="0"/>
        <v>2400</v>
      </c>
      <c r="E32" s="78">
        <f>'2022-2023'!I32</f>
        <v>-1237.4072353972269</v>
      </c>
      <c r="F32" s="187">
        <f t="shared" si="1"/>
        <v>2400</v>
      </c>
      <c r="G32" s="33">
        <f t="shared" si="2"/>
        <v>1950</v>
      </c>
      <c r="H32" s="190">
        <f t="shared" si="3"/>
        <v>450</v>
      </c>
      <c r="I32" s="78">
        <f t="shared" si="4"/>
        <v>-2002.2012335850127</v>
      </c>
      <c r="J32" s="78">
        <f t="shared" si="5"/>
        <v>0</v>
      </c>
      <c r="K32" s="78">
        <f t="shared" si="6"/>
        <v>107.25</v>
      </c>
      <c r="L32" s="78">
        <f t="shared" si="7"/>
        <v>-1214.7939981877857</v>
      </c>
      <c r="M32" s="194">
        <f t="shared" si="8"/>
        <v>-1214.7939981877857</v>
      </c>
      <c r="N32" s="78">
        <f t="shared" si="9"/>
        <v>3272.0439981877857</v>
      </c>
      <c r="O32" s="165">
        <v>200</v>
      </c>
      <c r="P32" s="166">
        <f t="shared" si="10"/>
        <v>0</v>
      </c>
      <c r="Q32" s="119">
        <f t="shared" si="11"/>
        <v>-1037.4072353972269</v>
      </c>
      <c r="R32" s="167">
        <f t="shared" si="12"/>
        <v>-68.057397946847487</v>
      </c>
      <c r="S32" s="165">
        <v>300</v>
      </c>
      <c r="T32" s="166">
        <f t="shared" si="13"/>
        <v>0</v>
      </c>
      <c r="U32" s="33">
        <f t="shared" si="14"/>
        <v>-1205.4646333440744</v>
      </c>
      <c r="V32" s="167">
        <f t="shared" si="15"/>
        <v>-82.800554833924096</v>
      </c>
      <c r="W32" s="165">
        <v>250</v>
      </c>
      <c r="X32" s="166">
        <f t="shared" si="16"/>
        <v>0</v>
      </c>
      <c r="Y32" s="33">
        <f t="shared" si="17"/>
        <v>-1338.2651881779984</v>
      </c>
      <c r="Z32" s="167">
        <f t="shared" si="18"/>
        <v>-87.354585349789915</v>
      </c>
      <c r="AA32" s="165">
        <v>0</v>
      </c>
      <c r="AB32" s="166">
        <f t="shared" si="19"/>
        <v>0</v>
      </c>
      <c r="AC32" s="33">
        <f t="shared" si="20"/>
        <v>-1225.6197735277883</v>
      </c>
      <c r="AD32" s="167">
        <f t="shared" si="21"/>
        <v>-67.409087544028353</v>
      </c>
      <c r="AE32" s="165">
        <v>200</v>
      </c>
      <c r="AF32" s="166">
        <f t="shared" si="22"/>
        <v>0</v>
      </c>
      <c r="AG32" s="33">
        <f t="shared" si="23"/>
        <v>-1293.0288610718167</v>
      </c>
      <c r="AH32" s="167">
        <f t="shared" si="24"/>
        <v>-82.116587358949914</v>
      </c>
      <c r="AI32" s="165">
        <v>0</v>
      </c>
      <c r="AJ32" s="166">
        <f t="shared" si="25"/>
        <v>0</v>
      </c>
      <c r="AK32" s="33">
        <f t="shared" si="26"/>
        <v>-1175.1454484307665</v>
      </c>
      <c r="AL32" s="167">
        <f t="shared" si="27"/>
        <v>-64.632999663692161</v>
      </c>
      <c r="AM32" s="165">
        <v>0</v>
      </c>
      <c r="AN32" s="166">
        <f t="shared" si="28"/>
        <v>0</v>
      </c>
      <c r="AO32" s="33">
        <f t="shared" si="29"/>
        <v>-1039.7784480944586</v>
      </c>
      <c r="AP32" s="167">
        <f t="shared" si="30"/>
        <v>-57.187814645195218</v>
      </c>
      <c r="AQ32" s="165">
        <v>1000</v>
      </c>
      <c r="AR32" s="166">
        <f t="shared" si="31"/>
        <v>0</v>
      </c>
      <c r="AS32" s="33">
        <f t="shared" si="32"/>
        <v>-1896.9662627396538</v>
      </c>
      <c r="AT32" s="167">
        <f t="shared" si="33"/>
        <v>-202.78763839177577</v>
      </c>
      <c r="AU32" s="165">
        <v>0</v>
      </c>
      <c r="AV32" s="166">
        <f t="shared" si="34"/>
        <v>0</v>
      </c>
      <c r="AW32" s="33">
        <f t="shared" si="35"/>
        <v>-1899.7539011314295</v>
      </c>
      <c r="AX32" s="167">
        <f t="shared" si="36"/>
        <v>-132.98277307920009</v>
      </c>
      <c r="AY32" s="165">
        <v>0</v>
      </c>
      <c r="AZ32" s="166">
        <f t="shared" si="37"/>
        <v>0</v>
      </c>
      <c r="BA32" s="33">
        <f t="shared" si="38"/>
        <v>-1832.7366742106296</v>
      </c>
      <c r="BB32" s="167">
        <f t="shared" si="39"/>
        <v>-128.29156719474409</v>
      </c>
      <c r="BC32" s="165">
        <v>0</v>
      </c>
      <c r="BD32" s="166">
        <f t="shared" si="40"/>
        <v>0</v>
      </c>
      <c r="BE32" s="33">
        <f t="shared" si="41"/>
        <v>-1761.0282414053738</v>
      </c>
      <c r="BF32" s="167">
        <f t="shared" si="42"/>
        <v>-123.27197689837618</v>
      </c>
      <c r="BG32" s="165">
        <v>0</v>
      </c>
      <c r="BH32" s="166">
        <f t="shared" si="43"/>
        <v>0</v>
      </c>
      <c r="BI32" s="33">
        <f t="shared" si="44"/>
        <v>-1684.3002183037499</v>
      </c>
      <c r="BJ32" s="167">
        <f t="shared" si="45"/>
        <v>-117.9010152812625</v>
      </c>
      <c r="BK32" s="87">
        <f t="shared" si="46"/>
        <v>1950</v>
      </c>
      <c r="BL32" s="33">
        <f>'2022-2023'!BL32+'2023-2024'!BK32</f>
        <v>15600</v>
      </c>
    </row>
    <row r="33" spans="1:64">
      <c r="A33" s="10" t="s">
        <v>604</v>
      </c>
      <c r="B33" s="10" t="s">
        <v>123</v>
      </c>
      <c r="C33" s="80">
        <v>0</v>
      </c>
      <c r="D33" s="79">
        <f t="shared" si="0"/>
        <v>2400</v>
      </c>
      <c r="E33" s="78">
        <f>'2022-2023'!I33</f>
        <v>17550.936479653366</v>
      </c>
      <c r="F33" s="187">
        <f t="shared" si="1"/>
        <v>2400</v>
      </c>
      <c r="G33" s="33">
        <f t="shared" si="2"/>
        <v>0</v>
      </c>
      <c r="H33" s="190">
        <f t="shared" si="3"/>
        <v>2400</v>
      </c>
      <c r="I33" s="78">
        <f t="shared" si="4"/>
        <v>39485.671976140082</v>
      </c>
      <c r="J33" s="78">
        <f t="shared" si="5"/>
        <v>0</v>
      </c>
      <c r="K33" s="78">
        <f t="shared" si="6"/>
        <v>0</v>
      </c>
      <c r="L33" s="78">
        <f t="shared" si="7"/>
        <v>19534.735496486715</v>
      </c>
      <c r="M33" s="194">
        <f t="shared" si="8"/>
        <v>19534.735496486715</v>
      </c>
      <c r="N33" s="78">
        <f t="shared" si="9"/>
        <v>-19534.735496486715</v>
      </c>
      <c r="O33" s="165">
        <v>0</v>
      </c>
      <c r="P33" s="166">
        <f t="shared" si="10"/>
        <v>0</v>
      </c>
      <c r="Q33" s="119">
        <f t="shared" si="11"/>
        <v>17750.936479653366</v>
      </c>
      <c r="R33" s="167">
        <f t="shared" si="12"/>
        <v>976.30150638093517</v>
      </c>
      <c r="S33" s="165">
        <v>0</v>
      </c>
      <c r="T33" s="166">
        <f t="shared" si="13"/>
        <v>0</v>
      </c>
      <c r="U33" s="33">
        <f t="shared" si="14"/>
        <v>18927.237986034303</v>
      </c>
      <c r="V33" s="167">
        <f t="shared" si="15"/>
        <v>1040.9980892318868</v>
      </c>
      <c r="W33" s="165">
        <v>0</v>
      </c>
      <c r="X33" s="166">
        <f t="shared" si="16"/>
        <v>0</v>
      </c>
      <c r="Y33" s="33">
        <f t="shared" si="17"/>
        <v>20168.236075266188</v>
      </c>
      <c r="Z33" s="167">
        <f t="shared" si="18"/>
        <v>1109.2529841396404</v>
      </c>
      <c r="AA33" s="165">
        <v>0</v>
      </c>
      <c r="AB33" s="166">
        <f t="shared" si="19"/>
        <v>0</v>
      </c>
      <c r="AC33" s="33">
        <f t="shared" si="20"/>
        <v>21477.489059405827</v>
      </c>
      <c r="AD33" s="167">
        <f t="shared" si="21"/>
        <v>1181.2618982673205</v>
      </c>
      <c r="AE33" s="165">
        <v>0</v>
      </c>
      <c r="AF33" s="166">
        <f t="shared" si="22"/>
        <v>0</v>
      </c>
      <c r="AG33" s="33">
        <f t="shared" si="23"/>
        <v>22858.750957673146</v>
      </c>
      <c r="AH33" s="167">
        <f t="shared" si="24"/>
        <v>1257.231302672023</v>
      </c>
      <c r="AI33" s="165">
        <v>0</v>
      </c>
      <c r="AJ33" s="166">
        <f t="shared" si="25"/>
        <v>0</v>
      </c>
      <c r="AK33" s="33">
        <f t="shared" si="26"/>
        <v>24315.982260345168</v>
      </c>
      <c r="AL33" s="167">
        <f t="shared" si="27"/>
        <v>1337.3790243189842</v>
      </c>
      <c r="AM33" s="165">
        <v>0</v>
      </c>
      <c r="AN33" s="166">
        <f t="shared" si="28"/>
        <v>0</v>
      </c>
      <c r="AO33" s="33">
        <f t="shared" si="29"/>
        <v>25853.361284664152</v>
      </c>
      <c r="AP33" s="167">
        <f t="shared" si="30"/>
        <v>1421.9348706565283</v>
      </c>
      <c r="AQ33" s="165">
        <v>0</v>
      </c>
      <c r="AR33" s="166">
        <f t="shared" si="31"/>
        <v>0</v>
      </c>
      <c r="AS33" s="33">
        <f t="shared" si="32"/>
        <v>27475.296155320681</v>
      </c>
      <c r="AT33" s="167">
        <f t="shared" si="33"/>
        <v>1923.2707308724478</v>
      </c>
      <c r="AU33" s="165">
        <v>0</v>
      </c>
      <c r="AV33" s="166">
        <f t="shared" si="34"/>
        <v>0</v>
      </c>
      <c r="AW33" s="33">
        <f t="shared" si="35"/>
        <v>29598.56688619313</v>
      </c>
      <c r="AX33" s="167">
        <f t="shared" si="36"/>
        <v>2071.8996820335192</v>
      </c>
      <c r="AY33" s="165">
        <v>0</v>
      </c>
      <c r="AZ33" s="166">
        <f t="shared" si="37"/>
        <v>0</v>
      </c>
      <c r="BA33" s="33">
        <f t="shared" si="38"/>
        <v>31870.46656822665</v>
      </c>
      <c r="BB33" s="167">
        <f t="shared" si="39"/>
        <v>2230.9326597758659</v>
      </c>
      <c r="BC33" s="165">
        <v>0</v>
      </c>
      <c r="BD33" s="166">
        <f t="shared" si="40"/>
        <v>0</v>
      </c>
      <c r="BE33" s="33">
        <f t="shared" si="41"/>
        <v>34301.399228002512</v>
      </c>
      <c r="BF33" s="167">
        <f t="shared" si="42"/>
        <v>2401.0979459601763</v>
      </c>
      <c r="BG33" s="165">
        <v>0</v>
      </c>
      <c r="BH33" s="166">
        <f t="shared" si="43"/>
        <v>0</v>
      </c>
      <c r="BI33" s="33">
        <f t="shared" si="44"/>
        <v>36902.497173962685</v>
      </c>
      <c r="BJ33" s="167">
        <f t="shared" si="45"/>
        <v>2583.1748021773883</v>
      </c>
      <c r="BK33" s="87">
        <f t="shared" si="46"/>
        <v>0</v>
      </c>
      <c r="BL33" s="33">
        <f>'2022-2023'!BL33+'2023-2024'!BK33</f>
        <v>1300</v>
      </c>
    </row>
    <row r="34" spans="1:64">
      <c r="A34" s="10" t="s">
        <v>605</v>
      </c>
      <c r="B34" s="10"/>
      <c r="C34" s="80">
        <v>0</v>
      </c>
      <c r="D34" s="79">
        <f t="shared" si="0"/>
        <v>2400</v>
      </c>
      <c r="E34" s="78">
        <f>'2022-2023'!I34</f>
        <v>19387.172977208655</v>
      </c>
      <c r="F34" s="187">
        <f t="shared" si="1"/>
        <v>2400</v>
      </c>
      <c r="G34" s="33">
        <f t="shared" si="2"/>
        <v>0</v>
      </c>
      <c r="H34" s="190">
        <f t="shared" si="3"/>
        <v>2400</v>
      </c>
      <c r="I34" s="78">
        <f t="shared" si="4"/>
        <v>43232.076948311311</v>
      </c>
      <c r="J34" s="78">
        <f t="shared" si="5"/>
        <v>0</v>
      </c>
      <c r="K34" s="78">
        <f t="shared" si="6"/>
        <v>0</v>
      </c>
      <c r="L34" s="78">
        <f t="shared" si="7"/>
        <v>21444.90397110266</v>
      </c>
      <c r="M34" s="194">
        <f t="shared" si="8"/>
        <v>21444.90397110266</v>
      </c>
      <c r="N34" s="78">
        <f t="shared" si="9"/>
        <v>-21444.90397110266</v>
      </c>
      <c r="O34" s="165">
        <v>0</v>
      </c>
      <c r="P34" s="166">
        <f t="shared" si="10"/>
        <v>0</v>
      </c>
      <c r="Q34" s="119">
        <f t="shared" si="11"/>
        <v>19587.172977208655</v>
      </c>
      <c r="R34" s="167">
        <f t="shared" si="12"/>
        <v>1077.294513746476</v>
      </c>
      <c r="S34" s="165">
        <v>0</v>
      </c>
      <c r="T34" s="166">
        <f t="shared" si="13"/>
        <v>0</v>
      </c>
      <c r="U34" s="33">
        <f t="shared" si="14"/>
        <v>20864.467490955132</v>
      </c>
      <c r="V34" s="167">
        <f t="shared" si="15"/>
        <v>1147.5457120025324</v>
      </c>
      <c r="W34" s="165">
        <v>0</v>
      </c>
      <c r="X34" s="166">
        <f t="shared" si="16"/>
        <v>0</v>
      </c>
      <c r="Y34" s="33">
        <f t="shared" si="17"/>
        <v>22212.013202957663</v>
      </c>
      <c r="Z34" s="167">
        <f t="shared" si="18"/>
        <v>1221.6607261626716</v>
      </c>
      <c r="AA34" s="165">
        <v>0</v>
      </c>
      <c r="AB34" s="166">
        <f t="shared" si="19"/>
        <v>0</v>
      </c>
      <c r="AC34" s="33">
        <f t="shared" si="20"/>
        <v>23633.673929120334</v>
      </c>
      <c r="AD34" s="167">
        <f t="shared" si="21"/>
        <v>1299.8520661016184</v>
      </c>
      <c r="AE34" s="165">
        <v>0</v>
      </c>
      <c r="AF34" s="166">
        <f t="shared" si="22"/>
        <v>0</v>
      </c>
      <c r="AG34" s="33">
        <f t="shared" si="23"/>
        <v>25133.525995221953</v>
      </c>
      <c r="AH34" s="167">
        <f t="shared" si="24"/>
        <v>1382.3439297372074</v>
      </c>
      <c r="AI34" s="165">
        <v>0</v>
      </c>
      <c r="AJ34" s="166">
        <f t="shared" si="25"/>
        <v>0</v>
      </c>
      <c r="AK34" s="33">
        <f t="shared" si="26"/>
        <v>26715.869924959159</v>
      </c>
      <c r="AL34" s="167">
        <f t="shared" si="27"/>
        <v>1469.3728458727537</v>
      </c>
      <c r="AM34" s="165">
        <v>0</v>
      </c>
      <c r="AN34" s="166">
        <f t="shared" si="28"/>
        <v>0</v>
      </c>
      <c r="AO34" s="33">
        <f t="shared" si="29"/>
        <v>28385.242770831912</v>
      </c>
      <c r="AP34" s="167">
        <f t="shared" si="30"/>
        <v>1561.1883523957551</v>
      </c>
      <c r="AQ34" s="165">
        <v>0</v>
      </c>
      <c r="AR34" s="166">
        <f t="shared" si="31"/>
        <v>0</v>
      </c>
      <c r="AS34" s="33">
        <f t="shared" si="32"/>
        <v>30146.431123227667</v>
      </c>
      <c r="AT34" s="167">
        <f t="shared" si="33"/>
        <v>2110.2501786259368</v>
      </c>
      <c r="AU34" s="165">
        <v>0</v>
      </c>
      <c r="AV34" s="166">
        <f t="shared" si="34"/>
        <v>0</v>
      </c>
      <c r="AW34" s="33">
        <f t="shared" si="35"/>
        <v>32456.681301853605</v>
      </c>
      <c r="AX34" s="167">
        <f t="shared" si="36"/>
        <v>2271.9676911297524</v>
      </c>
      <c r="AY34" s="165">
        <v>0</v>
      </c>
      <c r="AZ34" s="166">
        <f t="shared" si="37"/>
        <v>0</v>
      </c>
      <c r="BA34" s="33">
        <f t="shared" si="38"/>
        <v>34928.648992983355</v>
      </c>
      <c r="BB34" s="167">
        <f t="shared" si="39"/>
        <v>2445.0054295088353</v>
      </c>
      <c r="BC34" s="165">
        <v>0</v>
      </c>
      <c r="BD34" s="166">
        <f t="shared" si="40"/>
        <v>0</v>
      </c>
      <c r="BE34" s="33">
        <f t="shared" si="41"/>
        <v>37573.654422492189</v>
      </c>
      <c r="BF34" s="167">
        <f t="shared" si="42"/>
        <v>2630.1558095744535</v>
      </c>
      <c r="BG34" s="165">
        <v>0</v>
      </c>
      <c r="BH34" s="166">
        <f t="shared" si="43"/>
        <v>0</v>
      </c>
      <c r="BI34" s="33">
        <f t="shared" si="44"/>
        <v>40403.810232066644</v>
      </c>
      <c r="BJ34" s="167">
        <f t="shared" si="45"/>
        <v>2828.2667162446655</v>
      </c>
      <c r="BK34" s="87">
        <f t="shared" si="46"/>
        <v>0</v>
      </c>
      <c r="BL34" s="33">
        <f>'2022-2023'!BL34+'2023-2024'!BK34</f>
        <v>500</v>
      </c>
    </row>
    <row r="35" spans="1:64">
      <c r="A35" s="10" t="s">
        <v>606</v>
      </c>
      <c r="B35" s="10" t="s">
        <v>113</v>
      </c>
      <c r="C35" s="80">
        <v>0</v>
      </c>
      <c r="D35" s="79">
        <f t="shared" ref="D35:D66" si="47">200*12</f>
        <v>2400</v>
      </c>
      <c r="E35" s="78">
        <f>'2022-2023'!I35</f>
        <v>19183.146699702513</v>
      </c>
      <c r="F35" s="187">
        <f t="shared" ref="F35:F66" si="48">C35+D35</f>
        <v>2400</v>
      </c>
      <c r="G35" s="33">
        <f t="shared" ref="G35:G66" si="49">BK35</f>
        <v>2200</v>
      </c>
      <c r="H35" s="190">
        <f t="shared" ref="H35:H66" si="50">F35-G35-C35</f>
        <v>200</v>
      </c>
      <c r="I35" s="78">
        <f t="shared" ref="I35:I66" si="51">H35+L35+E35</f>
        <v>39401.257135612192</v>
      </c>
      <c r="J35" s="78">
        <f t="shared" ref="J35:J66" si="52">P35+T35+X35+AB35+AF35+AJ35+AN35+AR35+AV35+AZ35+BD35+BH35</f>
        <v>0</v>
      </c>
      <c r="K35" s="78">
        <f t="shared" ref="K35:K66" si="53">(G35-J35-C35)*5.5%</f>
        <v>121</v>
      </c>
      <c r="L35" s="78">
        <f t="shared" ref="L35:L66" si="54">R35+V35+Z35+AD35+AH35+AL35+AP35+AT35+AX35+BB35+BF35+BJ35</f>
        <v>20018.110435909679</v>
      </c>
      <c r="M35" s="194">
        <f t="shared" ref="M35:M66" si="55">L35</f>
        <v>20018.110435909679</v>
      </c>
      <c r="N35" s="78">
        <f t="shared" ref="N35:N66" si="56">G35-J35-L35+K35</f>
        <v>-17697.110435909679</v>
      </c>
      <c r="O35" s="165">
        <v>0</v>
      </c>
      <c r="P35" s="166">
        <f t="shared" ref="P35:P66" si="57">O35*0%</f>
        <v>0</v>
      </c>
      <c r="Q35" s="119">
        <f t="shared" ref="Q35:Q66" si="58">E35+200</f>
        <v>19383.146699702513</v>
      </c>
      <c r="R35" s="167">
        <f t="shared" ref="R35:R66" si="59">(Q35-O35)*0.055</f>
        <v>1066.0730684836383</v>
      </c>
      <c r="S35" s="165">
        <v>0</v>
      </c>
      <c r="T35" s="166">
        <f t="shared" ref="T35:T66" si="60">S35*0%</f>
        <v>0</v>
      </c>
      <c r="U35" s="33">
        <f t="shared" ref="U35:U66" si="61">Q35-S35+200+R35</f>
        <v>20649.219768186151</v>
      </c>
      <c r="V35" s="167">
        <f t="shared" ref="V35:V66" si="62">(U35-S35)*0.055</f>
        <v>1135.7070872502384</v>
      </c>
      <c r="W35" s="165">
        <v>200</v>
      </c>
      <c r="X35" s="166">
        <f t="shared" ref="X35:X66" si="63">W35*0%</f>
        <v>0</v>
      </c>
      <c r="Y35" s="33">
        <f t="shared" ref="Y35:Y66" si="64">U35-W35+200+V35</f>
        <v>21784.926855436388</v>
      </c>
      <c r="Z35" s="167">
        <f t="shared" ref="Z35:Z66" si="65">(Y35-W35)*0.055</f>
        <v>1187.1709770490013</v>
      </c>
      <c r="AA35" s="165">
        <f>200+200</f>
        <v>400</v>
      </c>
      <c r="AB35" s="166">
        <f t="shared" ref="AB35:AB66" si="66">AA35*0%</f>
        <v>0</v>
      </c>
      <c r="AC35" s="33">
        <f t="shared" ref="AC35:AC66" si="67">Y35-AA35+200+Z35</f>
        <v>22772.09783248539</v>
      </c>
      <c r="AD35" s="167">
        <f t="shared" ref="AD35:AD66" si="68">(AC35-AA35)*0.055</f>
        <v>1230.4653807866964</v>
      </c>
      <c r="AE35" s="165">
        <v>200</v>
      </c>
      <c r="AF35" s="166">
        <f t="shared" ref="AF35:AF66" si="69">AE35*0%</f>
        <v>0</v>
      </c>
      <c r="AG35" s="33">
        <f t="shared" ref="AG35:AG66" si="70">AC35-AE35+200+AD35</f>
        <v>24002.563213272086</v>
      </c>
      <c r="AH35" s="167">
        <f t="shared" ref="AH35:AH66" si="71">(AG35-AE35)*0.055</f>
        <v>1309.1409767299647</v>
      </c>
      <c r="AI35" s="165">
        <v>200</v>
      </c>
      <c r="AJ35" s="166">
        <f t="shared" ref="AJ35:AJ66" si="72">AI35*0%</f>
        <v>0</v>
      </c>
      <c r="AK35" s="33">
        <f t="shared" ref="AK35:AK66" si="73">AG35-AI35+200+AH35</f>
        <v>25311.704190002049</v>
      </c>
      <c r="AL35" s="167">
        <f t="shared" ref="AL35:AL66" si="74">(AK35-AI35)*0.055</f>
        <v>1381.1437304501126</v>
      </c>
      <c r="AM35" s="165">
        <v>200</v>
      </c>
      <c r="AN35" s="166">
        <f t="shared" ref="AN35:AN66" si="75">AM35*0%</f>
        <v>0</v>
      </c>
      <c r="AO35" s="33">
        <f t="shared" ref="AO35:AO66" si="76">AK35-AM35+200+AL35</f>
        <v>26692.847920452161</v>
      </c>
      <c r="AP35" s="167">
        <f t="shared" ref="AP35:AP66" si="77">(AO35-AM35)*0.055</f>
        <v>1457.1066356248689</v>
      </c>
      <c r="AQ35" s="165">
        <v>200</v>
      </c>
      <c r="AR35" s="166">
        <f t="shared" ref="AR35:AR66" si="78">AQ35*0%</f>
        <v>0</v>
      </c>
      <c r="AS35" s="33">
        <f t="shared" ref="AS35:AS66" si="79">AO35-AQ35+200+AP35</f>
        <v>28149.954556077031</v>
      </c>
      <c r="AT35" s="167">
        <f t="shared" ref="AT35:AT66" si="80">(AS35-AQ35)*0.07</f>
        <v>1956.4968189253923</v>
      </c>
      <c r="AU35" s="165">
        <v>200</v>
      </c>
      <c r="AV35" s="166">
        <f t="shared" ref="AV35:AV66" si="81">AU35*0%</f>
        <v>0</v>
      </c>
      <c r="AW35" s="33">
        <f t="shared" ref="AW35:AW66" si="82">AS35-AU35+200+AT35</f>
        <v>30106.451375002423</v>
      </c>
      <c r="AX35" s="167">
        <f t="shared" ref="AX35:AX66" si="83">(AW35-AU35)*0.07</f>
        <v>2093.45159625017</v>
      </c>
      <c r="AY35" s="165">
        <v>200</v>
      </c>
      <c r="AZ35" s="166">
        <f t="shared" ref="AZ35:AZ66" si="84">AY35*0%</f>
        <v>0</v>
      </c>
      <c r="BA35" s="33">
        <f t="shared" ref="BA35:BA66" si="85">AW35-AY35+200+AX35</f>
        <v>32199.902971252595</v>
      </c>
      <c r="BB35" s="167">
        <f t="shared" ref="BB35:BB66" si="86">(BA35-AY35)*0.07</f>
        <v>2239.9932079876817</v>
      </c>
      <c r="BC35" s="165">
        <v>200</v>
      </c>
      <c r="BD35" s="166">
        <f t="shared" ref="BD35:BD66" si="87">BC35*0%</f>
        <v>0</v>
      </c>
      <c r="BE35" s="33">
        <f t="shared" ref="BE35:BE66" si="88">BA35-BC35+200+BB35</f>
        <v>34439.896179240277</v>
      </c>
      <c r="BF35" s="167">
        <f t="shared" ref="BF35:BF66" si="89">(BE35-BC35)*0.07</f>
        <v>2396.7927325468195</v>
      </c>
      <c r="BG35" s="165">
        <v>200</v>
      </c>
      <c r="BH35" s="166">
        <f t="shared" ref="BH35:BH66" si="90">BG35*0%</f>
        <v>0</v>
      </c>
      <c r="BI35" s="33">
        <f t="shared" ref="BI35:BI66" si="91">BE35-BG35+200+BF35</f>
        <v>36836.688911787096</v>
      </c>
      <c r="BJ35" s="167">
        <f t="shared" ref="BJ35:BJ66" si="92">(BI35-BG35)*0.07</f>
        <v>2564.568223825097</v>
      </c>
      <c r="BK35" s="87">
        <f t="shared" ref="BK35:BK66" si="93">O35+S35+W35+AA35+AE35+AI35+AQ35+AM35+AU35+AY35+BC35+BG35</f>
        <v>2200</v>
      </c>
      <c r="BL35" s="33">
        <f>'2022-2023'!BL35+'2023-2024'!BK35</f>
        <v>2700</v>
      </c>
    </row>
    <row r="36" spans="1:64">
      <c r="A36" s="10" t="s">
        <v>607</v>
      </c>
      <c r="B36" s="10"/>
      <c r="C36" s="80">
        <v>0</v>
      </c>
      <c r="D36" s="79">
        <f t="shared" si="47"/>
        <v>2400</v>
      </c>
      <c r="E36" s="78">
        <f>'2022-2023'!I36</f>
        <v>18071.316524306196</v>
      </c>
      <c r="F36" s="187">
        <f t="shared" si="48"/>
        <v>2400</v>
      </c>
      <c r="G36" s="33">
        <f t="shared" si="49"/>
        <v>1400</v>
      </c>
      <c r="H36" s="190">
        <f t="shared" si="50"/>
        <v>1000</v>
      </c>
      <c r="I36" s="78">
        <f t="shared" si="51"/>
        <v>38399.34615017772</v>
      </c>
      <c r="J36" s="78">
        <f t="shared" si="52"/>
        <v>0</v>
      </c>
      <c r="K36" s="78">
        <f t="shared" si="53"/>
        <v>77</v>
      </c>
      <c r="L36" s="78">
        <f t="shared" si="54"/>
        <v>19328.029625871528</v>
      </c>
      <c r="M36" s="194">
        <f t="shared" si="55"/>
        <v>19328.029625871528</v>
      </c>
      <c r="N36" s="78">
        <f t="shared" si="56"/>
        <v>-17851.029625871528</v>
      </c>
      <c r="O36" s="165">
        <v>0</v>
      </c>
      <c r="P36" s="166">
        <f t="shared" si="57"/>
        <v>0</v>
      </c>
      <c r="Q36" s="119">
        <f t="shared" si="58"/>
        <v>18271.316524306196</v>
      </c>
      <c r="R36" s="167">
        <f t="shared" si="59"/>
        <v>1004.9224088368408</v>
      </c>
      <c r="S36" s="165">
        <v>0</v>
      </c>
      <c r="T36" s="166">
        <f t="shared" si="60"/>
        <v>0</v>
      </c>
      <c r="U36" s="33">
        <f t="shared" si="61"/>
        <v>19476.238933143035</v>
      </c>
      <c r="V36" s="167">
        <f t="shared" si="62"/>
        <v>1071.1931413228669</v>
      </c>
      <c r="W36" s="165">
        <v>200</v>
      </c>
      <c r="X36" s="166">
        <f t="shared" si="63"/>
        <v>0</v>
      </c>
      <c r="Y36" s="33">
        <f t="shared" si="64"/>
        <v>20547.432074465902</v>
      </c>
      <c r="Z36" s="167">
        <f t="shared" si="65"/>
        <v>1119.1087640956246</v>
      </c>
      <c r="AA36" s="165">
        <v>200</v>
      </c>
      <c r="AB36" s="166">
        <f t="shared" si="66"/>
        <v>0</v>
      </c>
      <c r="AC36" s="33">
        <f t="shared" si="67"/>
        <v>21666.540838561526</v>
      </c>
      <c r="AD36" s="167">
        <f t="shared" si="68"/>
        <v>1180.6597461208839</v>
      </c>
      <c r="AE36" s="165">
        <v>200</v>
      </c>
      <c r="AF36" s="166">
        <f t="shared" si="69"/>
        <v>0</v>
      </c>
      <c r="AG36" s="33">
        <f t="shared" si="70"/>
        <v>22847.20058468241</v>
      </c>
      <c r="AH36" s="167">
        <f t="shared" si="71"/>
        <v>1245.5960321575326</v>
      </c>
      <c r="AI36" s="165">
        <v>0</v>
      </c>
      <c r="AJ36" s="166">
        <f t="shared" si="72"/>
        <v>0</v>
      </c>
      <c r="AK36" s="33">
        <f t="shared" si="73"/>
        <v>24292.796616839943</v>
      </c>
      <c r="AL36" s="167">
        <f t="shared" si="74"/>
        <v>1336.1038139261968</v>
      </c>
      <c r="AM36" s="165">
        <v>0</v>
      </c>
      <c r="AN36" s="166">
        <f t="shared" si="75"/>
        <v>0</v>
      </c>
      <c r="AO36" s="33">
        <f t="shared" si="76"/>
        <v>25828.900430766142</v>
      </c>
      <c r="AP36" s="167">
        <f t="shared" si="77"/>
        <v>1420.5895236921378</v>
      </c>
      <c r="AQ36" s="165">
        <v>200</v>
      </c>
      <c r="AR36" s="166">
        <f t="shared" si="78"/>
        <v>0</v>
      </c>
      <c r="AS36" s="33">
        <f t="shared" si="79"/>
        <v>27249.48995445828</v>
      </c>
      <c r="AT36" s="167">
        <f t="shared" si="80"/>
        <v>1893.4642968120797</v>
      </c>
      <c r="AU36" s="165">
        <v>200</v>
      </c>
      <c r="AV36" s="166">
        <f t="shared" si="81"/>
        <v>0</v>
      </c>
      <c r="AW36" s="33">
        <f t="shared" si="82"/>
        <v>29142.954251270359</v>
      </c>
      <c r="AX36" s="167">
        <f t="shared" si="83"/>
        <v>2026.0067975889253</v>
      </c>
      <c r="AY36" s="165">
        <v>0</v>
      </c>
      <c r="AZ36" s="166">
        <f t="shared" si="84"/>
        <v>0</v>
      </c>
      <c r="BA36" s="33">
        <f t="shared" si="85"/>
        <v>31368.961048859284</v>
      </c>
      <c r="BB36" s="167">
        <f t="shared" si="86"/>
        <v>2195.82727342015</v>
      </c>
      <c r="BC36" s="165">
        <v>200</v>
      </c>
      <c r="BD36" s="166">
        <f t="shared" si="87"/>
        <v>0</v>
      </c>
      <c r="BE36" s="33">
        <f t="shared" si="88"/>
        <v>33564.788322279433</v>
      </c>
      <c r="BF36" s="167">
        <f t="shared" si="89"/>
        <v>2335.5351825595608</v>
      </c>
      <c r="BG36" s="165">
        <v>200</v>
      </c>
      <c r="BH36" s="166">
        <f t="shared" si="90"/>
        <v>0</v>
      </c>
      <c r="BI36" s="33">
        <f t="shared" si="91"/>
        <v>35900.323504838991</v>
      </c>
      <c r="BJ36" s="167">
        <f t="shared" si="92"/>
        <v>2499.0226453387295</v>
      </c>
      <c r="BK36" s="87">
        <f t="shared" si="93"/>
        <v>1400</v>
      </c>
      <c r="BL36" s="33">
        <f>'2022-2023'!BL36+'2023-2024'!BK36</f>
        <v>4500</v>
      </c>
    </row>
    <row r="37" spans="1:64">
      <c r="A37" s="10" t="s">
        <v>608</v>
      </c>
      <c r="B37" s="10" t="s">
        <v>142</v>
      </c>
      <c r="C37" s="80">
        <v>0</v>
      </c>
      <c r="D37" s="79">
        <f t="shared" si="47"/>
        <v>2400</v>
      </c>
      <c r="E37" s="78">
        <f>'2022-2023'!I37</f>
        <v>13266.384652024371</v>
      </c>
      <c r="F37" s="187">
        <f t="shared" si="48"/>
        <v>2400</v>
      </c>
      <c r="G37" s="33">
        <f t="shared" si="49"/>
        <v>0</v>
      </c>
      <c r="H37" s="190">
        <f t="shared" si="50"/>
        <v>2400</v>
      </c>
      <c r="I37" s="78">
        <f t="shared" si="51"/>
        <v>30744.06037440724</v>
      </c>
      <c r="J37" s="78">
        <f t="shared" si="52"/>
        <v>0</v>
      </c>
      <c r="K37" s="78">
        <f t="shared" si="53"/>
        <v>0</v>
      </c>
      <c r="L37" s="78">
        <f t="shared" si="54"/>
        <v>15077.675722382866</v>
      </c>
      <c r="M37" s="194">
        <f t="shared" si="55"/>
        <v>15077.675722382866</v>
      </c>
      <c r="N37" s="78">
        <f t="shared" si="56"/>
        <v>-15077.675722382866</v>
      </c>
      <c r="O37" s="165">
        <v>0</v>
      </c>
      <c r="P37" s="166">
        <f t="shared" si="57"/>
        <v>0</v>
      </c>
      <c r="Q37" s="119">
        <f t="shared" si="58"/>
        <v>13466.384652024371</v>
      </c>
      <c r="R37" s="167">
        <f t="shared" si="59"/>
        <v>740.65115586134038</v>
      </c>
      <c r="S37" s="165">
        <v>0</v>
      </c>
      <c r="T37" s="166">
        <f t="shared" si="60"/>
        <v>0</v>
      </c>
      <c r="U37" s="33">
        <f t="shared" si="61"/>
        <v>14407.035807885712</v>
      </c>
      <c r="V37" s="167">
        <f t="shared" si="62"/>
        <v>792.38696943371417</v>
      </c>
      <c r="W37" s="165">
        <v>0</v>
      </c>
      <c r="X37" s="166">
        <f t="shared" si="63"/>
        <v>0</v>
      </c>
      <c r="Y37" s="33">
        <f t="shared" si="64"/>
        <v>15399.422777319425</v>
      </c>
      <c r="Z37" s="167">
        <f t="shared" si="65"/>
        <v>846.96825275256845</v>
      </c>
      <c r="AA37" s="165">
        <v>0</v>
      </c>
      <c r="AB37" s="166">
        <f t="shared" si="66"/>
        <v>0</v>
      </c>
      <c r="AC37" s="33">
        <f t="shared" si="67"/>
        <v>16446.391030071994</v>
      </c>
      <c r="AD37" s="167">
        <f t="shared" si="68"/>
        <v>904.55150665395968</v>
      </c>
      <c r="AE37" s="165">
        <v>0</v>
      </c>
      <c r="AF37" s="166">
        <f t="shared" si="69"/>
        <v>0</v>
      </c>
      <c r="AG37" s="33">
        <f t="shared" si="70"/>
        <v>17550.942536725954</v>
      </c>
      <c r="AH37" s="167">
        <f t="shared" si="71"/>
        <v>965.30183951992751</v>
      </c>
      <c r="AI37" s="165">
        <v>0</v>
      </c>
      <c r="AJ37" s="166">
        <f t="shared" si="72"/>
        <v>0</v>
      </c>
      <c r="AK37" s="33">
        <f t="shared" si="73"/>
        <v>18716.244376245882</v>
      </c>
      <c r="AL37" s="167">
        <f t="shared" si="74"/>
        <v>1029.3934406935236</v>
      </c>
      <c r="AM37" s="165">
        <v>0</v>
      </c>
      <c r="AN37" s="166">
        <f t="shared" si="75"/>
        <v>0</v>
      </c>
      <c r="AO37" s="33">
        <f t="shared" si="76"/>
        <v>19945.637816939405</v>
      </c>
      <c r="AP37" s="167">
        <f t="shared" si="77"/>
        <v>1097.0100799316672</v>
      </c>
      <c r="AQ37" s="165">
        <v>0</v>
      </c>
      <c r="AR37" s="166">
        <f t="shared" si="78"/>
        <v>0</v>
      </c>
      <c r="AS37" s="33">
        <f t="shared" si="79"/>
        <v>21242.647896871073</v>
      </c>
      <c r="AT37" s="167">
        <f t="shared" si="80"/>
        <v>1486.9853527809753</v>
      </c>
      <c r="AU37" s="165">
        <v>0</v>
      </c>
      <c r="AV37" s="166">
        <f t="shared" si="81"/>
        <v>0</v>
      </c>
      <c r="AW37" s="33">
        <f t="shared" si="82"/>
        <v>22929.633249652048</v>
      </c>
      <c r="AX37" s="167">
        <f t="shared" si="83"/>
        <v>1605.0743274756435</v>
      </c>
      <c r="AY37" s="165">
        <v>0</v>
      </c>
      <c r="AZ37" s="166">
        <f t="shared" si="84"/>
        <v>0</v>
      </c>
      <c r="BA37" s="33">
        <f t="shared" si="85"/>
        <v>24734.70757712769</v>
      </c>
      <c r="BB37" s="167">
        <f t="shared" si="86"/>
        <v>1731.4295303989386</v>
      </c>
      <c r="BC37" s="165">
        <v>0</v>
      </c>
      <c r="BD37" s="166">
        <f t="shared" si="87"/>
        <v>0</v>
      </c>
      <c r="BE37" s="33">
        <f t="shared" si="88"/>
        <v>26666.137107526629</v>
      </c>
      <c r="BF37" s="167">
        <f t="shared" si="89"/>
        <v>1866.6295975268642</v>
      </c>
      <c r="BG37" s="165">
        <v>0</v>
      </c>
      <c r="BH37" s="166">
        <f t="shared" si="90"/>
        <v>0</v>
      </c>
      <c r="BI37" s="33">
        <f t="shared" si="91"/>
        <v>28732.766705053495</v>
      </c>
      <c r="BJ37" s="167">
        <f t="shared" si="92"/>
        <v>2011.2936693537449</v>
      </c>
      <c r="BK37" s="87">
        <f t="shared" si="93"/>
        <v>0</v>
      </c>
      <c r="BL37" s="33">
        <f>'2022-2023'!BL37+'2023-2024'!BK37</f>
        <v>3300</v>
      </c>
    </row>
    <row r="38" spans="1:64">
      <c r="A38" s="10" t="s">
        <v>609</v>
      </c>
      <c r="B38" s="10" t="s">
        <v>124</v>
      </c>
      <c r="C38" s="80">
        <v>0</v>
      </c>
      <c r="D38" s="79">
        <f t="shared" si="47"/>
        <v>2400</v>
      </c>
      <c r="E38" s="78">
        <f>'2022-2023'!I38</f>
        <v>13164.371513271299</v>
      </c>
      <c r="F38" s="187">
        <f t="shared" si="48"/>
        <v>2400</v>
      </c>
      <c r="G38" s="33">
        <f t="shared" si="49"/>
        <v>0</v>
      </c>
      <c r="H38" s="190">
        <f t="shared" si="50"/>
        <v>2400</v>
      </c>
      <c r="I38" s="78">
        <f t="shared" si="51"/>
        <v>30535.926764842166</v>
      </c>
      <c r="J38" s="78">
        <f t="shared" si="52"/>
        <v>0</v>
      </c>
      <c r="K38" s="78">
        <f t="shared" si="53"/>
        <v>0</v>
      </c>
      <c r="L38" s="78">
        <f t="shared" si="54"/>
        <v>14971.55525157087</v>
      </c>
      <c r="M38" s="194">
        <f t="shared" si="55"/>
        <v>14971.55525157087</v>
      </c>
      <c r="N38" s="78">
        <f t="shared" si="56"/>
        <v>-14971.55525157087</v>
      </c>
      <c r="O38" s="165">
        <v>0</v>
      </c>
      <c r="P38" s="166">
        <f t="shared" si="57"/>
        <v>0</v>
      </c>
      <c r="Q38" s="119">
        <f t="shared" si="58"/>
        <v>13364.371513271299</v>
      </c>
      <c r="R38" s="167">
        <f t="shared" si="59"/>
        <v>735.0404332299214</v>
      </c>
      <c r="S38" s="165">
        <v>0</v>
      </c>
      <c r="T38" s="166">
        <f t="shared" si="60"/>
        <v>0</v>
      </c>
      <c r="U38" s="33">
        <f t="shared" si="61"/>
        <v>14299.411946501221</v>
      </c>
      <c r="V38" s="167">
        <f t="shared" si="62"/>
        <v>786.46765705756718</v>
      </c>
      <c r="W38" s="165">
        <v>0</v>
      </c>
      <c r="X38" s="166">
        <f t="shared" si="63"/>
        <v>0</v>
      </c>
      <c r="Y38" s="33">
        <f t="shared" si="64"/>
        <v>15285.879603558787</v>
      </c>
      <c r="Z38" s="167">
        <f t="shared" si="65"/>
        <v>840.72337819573329</v>
      </c>
      <c r="AA38" s="165">
        <v>0</v>
      </c>
      <c r="AB38" s="166">
        <f t="shared" si="66"/>
        <v>0</v>
      </c>
      <c r="AC38" s="33">
        <f t="shared" si="67"/>
        <v>16326.60298175452</v>
      </c>
      <c r="AD38" s="167">
        <f t="shared" si="68"/>
        <v>897.96316399649868</v>
      </c>
      <c r="AE38" s="165">
        <v>0</v>
      </c>
      <c r="AF38" s="166">
        <f t="shared" si="69"/>
        <v>0</v>
      </c>
      <c r="AG38" s="33">
        <f t="shared" si="70"/>
        <v>17424.566145751018</v>
      </c>
      <c r="AH38" s="167">
        <f t="shared" si="71"/>
        <v>958.35113801630598</v>
      </c>
      <c r="AI38" s="165">
        <v>0</v>
      </c>
      <c r="AJ38" s="166">
        <f t="shared" si="72"/>
        <v>0</v>
      </c>
      <c r="AK38" s="33">
        <f t="shared" si="73"/>
        <v>18582.917283767325</v>
      </c>
      <c r="AL38" s="167">
        <f t="shared" si="74"/>
        <v>1022.0604506072028</v>
      </c>
      <c r="AM38" s="165">
        <v>0</v>
      </c>
      <c r="AN38" s="166">
        <f t="shared" si="75"/>
        <v>0</v>
      </c>
      <c r="AO38" s="33">
        <f t="shared" si="76"/>
        <v>19804.977734374526</v>
      </c>
      <c r="AP38" s="167">
        <f t="shared" si="77"/>
        <v>1089.273775390599</v>
      </c>
      <c r="AQ38" s="165">
        <v>0</v>
      </c>
      <c r="AR38" s="166">
        <f t="shared" si="78"/>
        <v>0</v>
      </c>
      <c r="AS38" s="33">
        <f t="shared" si="79"/>
        <v>21094.251509765127</v>
      </c>
      <c r="AT38" s="167">
        <f t="shared" si="80"/>
        <v>1476.5976056835591</v>
      </c>
      <c r="AU38" s="165">
        <v>0</v>
      </c>
      <c r="AV38" s="166">
        <f t="shared" si="81"/>
        <v>0</v>
      </c>
      <c r="AW38" s="33">
        <f t="shared" si="82"/>
        <v>22770.849115448687</v>
      </c>
      <c r="AX38" s="167">
        <f t="shared" si="83"/>
        <v>1593.9594380814083</v>
      </c>
      <c r="AY38" s="165">
        <v>0</v>
      </c>
      <c r="AZ38" s="166">
        <f t="shared" si="84"/>
        <v>0</v>
      </c>
      <c r="BA38" s="33">
        <f t="shared" si="85"/>
        <v>24564.808553530096</v>
      </c>
      <c r="BB38" s="167">
        <f t="shared" si="86"/>
        <v>1719.5365987471068</v>
      </c>
      <c r="BC38" s="165">
        <v>0</v>
      </c>
      <c r="BD38" s="166">
        <f t="shared" si="87"/>
        <v>0</v>
      </c>
      <c r="BE38" s="33">
        <f t="shared" si="88"/>
        <v>26484.345152277201</v>
      </c>
      <c r="BF38" s="167">
        <f t="shared" si="89"/>
        <v>1853.9041606594042</v>
      </c>
      <c r="BG38" s="165">
        <v>0</v>
      </c>
      <c r="BH38" s="166">
        <f t="shared" si="90"/>
        <v>0</v>
      </c>
      <c r="BI38" s="33">
        <f t="shared" si="91"/>
        <v>28538.249312936605</v>
      </c>
      <c r="BJ38" s="167">
        <f t="shared" si="92"/>
        <v>1997.6774519055625</v>
      </c>
      <c r="BK38" s="87">
        <f t="shared" si="93"/>
        <v>0</v>
      </c>
      <c r="BL38" s="33">
        <f>'2022-2023'!BL38+'2023-2024'!BK38</f>
        <v>3750</v>
      </c>
    </row>
    <row r="39" spans="1:64">
      <c r="A39" s="10" t="s">
        <v>610</v>
      </c>
      <c r="B39" s="10" t="s">
        <v>140</v>
      </c>
      <c r="C39" s="80">
        <v>0</v>
      </c>
      <c r="D39" s="79">
        <f t="shared" si="47"/>
        <v>2400</v>
      </c>
      <c r="E39" s="78">
        <f>'2022-2023'!I39</f>
        <v>18979.120422196371</v>
      </c>
      <c r="F39" s="187">
        <f t="shared" si="48"/>
        <v>2400</v>
      </c>
      <c r="G39" s="33">
        <f t="shared" si="49"/>
        <v>0</v>
      </c>
      <c r="H39" s="190">
        <f t="shared" si="50"/>
        <v>2400</v>
      </c>
      <c r="I39" s="78">
        <f t="shared" si="51"/>
        <v>42399.542510051047</v>
      </c>
      <c r="J39" s="78">
        <f t="shared" si="52"/>
        <v>0</v>
      </c>
      <c r="K39" s="78">
        <f t="shared" si="53"/>
        <v>0</v>
      </c>
      <c r="L39" s="78">
        <f t="shared" si="54"/>
        <v>21020.422087854673</v>
      </c>
      <c r="M39" s="194">
        <f t="shared" si="55"/>
        <v>21020.422087854673</v>
      </c>
      <c r="N39" s="78">
        <f t="shared" si="56"/>
        <v>-21020.422087854673</v>
      </c>
      <c r="O39" s="165">
        <v>0</v>
      </c>
      <c r="P39" s="166">
        <f t="shared" si="57"/>
        <v>0</v>
      </c>
      <c r="Q39" s="119">
        <f t="shared" si="58"/>
        <v>19179.120422196371</v>
      </c>
      <c r="R39" s="167">
        <f t="shared" si="59"/>
        <v>1054.8516232208003</v>
      </c>
      <c r="S39" s="165">
        <v>0</v>
      </c>
      <c r="T39" s="166">
        <f t="shared" si="60"/>
        <v>0</v>
      </c>
      <c r="U39" s="33">
        <f t="shared" si="61"/>
        <v>20433.972045417169</v>
      </c>
      <c r="V39" s="167">
        <f t="shared" si="62"/>
        <v>1123.8684624979444</v>
      </c>
      <c r="W39" s="165">
        <v>0</v>
      </c>
      <c r="X39" s="166">
        <f t="shared" si="63"/>
        <v>0</v>
      </c>
      <c r="Y39" s="33">
        <f t="shared" si="64"/>
        <v>21757.840507915113</v>
      </c>
      <c r="Z39" s="167">
        <f t="shared" si="65"/>
        <v>1196.6812279353312</v>
      </c>
      <c r="AA39" s="165">
        <v>0</v>
      </c>
      <c r="AB39" s="166">
        <f t="shared" si="66"/>
        <v>0</v>
      </c>
      <c r="AC39" s="33">
        <f t="shared" si="67"/>
        <v>23154.521735850445</v>
      </c>
      <c r="AD39" s="167">
        <f t="shared" si="68"/>
        <v>1273.4986954717745</v>
      </c>
      <c r="AE39" s="165">
        <v>0</v>
      </c>
      <c r="AF39" s="166">
        <f t="shared" si="69"/>
        <v>0</v>
      </c>
      <c r="AG39" s="33">
        <f t="shared" si="70"/>
        <v>24628.02043132222</v>
      </c>
      <c r="AH39" s="167">
        <f t="shared" si="71"/>
        <v>1354.5411237227222</v>
      </c>
      <c r="AI39" s="165">
        <v>0</v>
      </c>
      <c r="AJ39" s="166">
        <f t="shared" si="72"/>
        <v>0</v>
      </c>
      <c r="AK39" s="33">
        <f t="shared" si="73"/>
        <v>26182.561555044944</v>
      </c>
      <c r="AL39" s="167">
        <f t="shared" si="74"/>
        <v>1440.040885527472</v>
      </c>
      <c r="AM39" s="165">
        <v>0</v>
      </c>
      <c r="AN39" s="166">
        <f t="shared" si="75"/>
        <v>0</v>
      </c>
      <c r="AO39" s="33">
        <f t="shared" si="76"/>
        <v>27822.602440572417</v>
      </c>
      <c r="AP39" s="167">
        <f t="shared" si="77"/>
        <v>1530.2431342314828</v>
      </c>
      <c r="AQ39" s="165">
        <v>0</v>
      </c>
      <c r="AR39" s="166">
        <f t="shared" si="78"/>
        <v>0</v>
      </c>
      <c r="AS39" s="33">
        <f t="shared" si="79"/>
        <v>29552.845574803898</v>
      </c>
      <c r="AT39" s="167">
        <f t="shared" si="80"/>
        <v>2068.6991902362729</v>
      </c>
      <c r="AU39" s="165">
        <v>0</v>
      </c>
      <c r="AV39" s="166">
        <f t="shared" si="81"/>
        <v>0</v>
      </c>
      <c r="AW39" s="33">
        <f t="shared" si="82"/>
        <v>31821.544765040169</v>
      </c>
      <c r="AX39" s="167">
        <f t="shared" si="83"/>
        <v>2227.5081335528121</v>
      </c>
      <c r="AY39" s="165">
        <v>0</v>
      </c>
      <c r="AZ39" s="166">
        <f t="shared" si="84"/>
        <v>0</v>
      </c>
      <c r="BA39" s="33">
        <f t="shared" si="85"/>
        <v>34249.052898592985</v>
      </c>
      <c r="BB39" s="167">
        <f t="shared" si="86"/>
        <v>2397.4337029015092</v>
      </c>
      <c r="BC39" s="165">
        <v>0</v>
      </c>
      <c r="BD39" s="166">
        <f t="shared" si="87"/>
        <v>0</v>
      </c>
      <c r="BE39" s="33">
        <f t="shared" si="88"/>
        <v>36846.486601494493</v>
      </c>
      <c r="BF39" s="167">
        <f t="shared" si="89"/>
        <v>2579.2540621046146</v>
      </c>
      <c r="BG39" s="165">
        <v>0</v>
      </c>
      <c r="BH39" s="166">
        <f t="shared" si="90"/>
        <v>0</v>
      </c>
      <c r="BI39" s="33">
        <f t="shared" si="91"/>
        <v>39625.740663599106</v>
      </c>
      <c r="BJ39" s="167">
        <f t="shared" si="92"/>
        <v>2773.8018464519378</v>
      </c>
      <c r="BK39" s="87">
        <f t="shared" si="93"/>
        <v>0</v>
      </c>
      <c r="BL39" s="33">
        <f>'2022-2023'!BL39+'2023-2024'!BK39</f>
        <v>500</v>
      </c>
    </row>
    <row r="40" spans="1:64">
      <c r="A40" s="10" t="s">
        <v>611</v>
      </c>
      <c r="B40" s="10" t="s">
        <v>125</v>
      </c>
      <c r="C40" s="80">
        <v>0</v>
      </c>
      <c r="D40" s="79">
        <f t="shared" si="47"/>
        <v>2400</v>
      </c>
      <c r="E40" s="78">
        <f>'2022-2023'!I40</f>
        <v>15490.271076841327</v>
      </c>
      <c r="F40" s="187">
        <f t="shared" si="48"/>
        <v>2400</v>
      </c>
      <c r="G40" s="33">
        <f t="shared" si="49"/>
        <v>0</v>
      </c>
      <c r="H40" s="190">
        <f t="shared" si="50"/>
        <v>2400</v>
      </c>
      <c r="I40" s="78">
        <f t="shared" si="51"/>
        <v>35281.373062925719</v>
      </c>
      <c r="J40" s="78">
        <f t="shared" si="52"/>
        <v>0</v>
      </c>
      <c r="K40" s="78">
        <f t="shared" si="53"/>
        <v>0</v>
      </c>
      <c r="L40" s="78">
        <f t="shared" si="54"/>
        <v>17391.101986084392</v>
      </c>
      <c r="M40" s="194">
        <f t="shared" si="55"/>
        <v>17391.101986084392</v>
      </c>
      <c r="N40" s="78">
        <f t="shared" si="56"/>
        <v>-17391.101986084392</v>
      </c>
      <c r="O40" s="165">
        <v>0</v>
      </c>
      <c r="P40" s="166">
        <f t="shared" si="57"/>
        <v>0</v>
      </c>
      <c r="Q40" s="119">
        <f t="shared" si="58"/>
        <v>15690.271076841327</v>
      </c>
      <c r="R40" s="167">
        <f t="shared" si="59"/>
        <v>862.96490922627299</v>
      </c>
      <c r="S40" s="165">
        <v>0</v>
      </c>
      <c r="T40" s="166">
        <f t="shared" si="60"/>
        <v>0</v>
      </c>
      <c r="U40" s="33">
        <f t="shared" si="61"/>
        <v>16753.235986067601</v>
      </c>
      <c r="V40" s="167">
        <f t="shared" si="62"/>
        <v>921.42797923371802</v>
      </c>
      <c r="W40" s="165">
        <v>0</v>
      </c>
      <c r="X40" s="166">
        <f t="shared" si="63"/>
        <v>0</v>
      </c>
      <c r="Y40" s="33">
        <f t="shared" si="64"/>
        <v>17874.663965301319</v>
      </c>
      <c r="Z40" s="167">
        <f t="shared" si="65"/>
        <v>983.10651809157253</v>
      </c>
      <c r="AA40" s="165">
        <v>0</v>
      </c>
      <c r="AB40" s="166">
        <f t="shared" si="66"/>
        <v>0</v>
      </c>
      <c r="AC40" s="33">
        <f t="shared" si="67"/>
        <v>19057.770483392891</v>
      </c>
      <c r="AD40" s="167">
        <f t="shared" si="68"/>
        <v>1048.1773765866089</v>
      </c>
      <c r="AE40" s="165">
        <v>0</v>
      </c>
      <c r="AF40" s="166">
        <f t="shared" si="69"/>
        <v>0</v>
      </c>
      <c r="AG40" s="33">
        <f t="shared" si="70"/>
        <v>20305.9478599795</v>
      </c>
      <c r="AH40" s="167">
        <f t="shared" si="71"/>
        <v>1116.8271322988726</v>
      </c>
      <c r="AI40" s="165">
        <v>0</v>
      </c>
      <c r="AJ40" s="166">
        <f t="shared" si="72"/>
        <v>0</v>
      </c>
      <c r="AK40" s="33">
        <f t="shared" si="73"/>
        <v>21622.774992278373</v>
      </c>
      <c r="AL40" s="167">
        <f t="shared" si="74"/>
        <v>1189.2526245753106</v>
      </c>
      <c r="AM40" s="165">
        <v>0</v>
      </c>
      <c r="AN40" s="166">
        <f t="shared" si="75"/>
        <v>0</v>
      </c>
      <c r="AO40" s="33">
        <f t="shared" si="76"/>
        <v>23012.027616853684</v>
      </c>
      <c r="AP40" s="167">
        <f t="shared" si="77"/>
        <v>1265.6615189269526</v>
      </c>
      <c r="AQ40" s="165">
        <v>0</v>
      </c>
      <c r="AR40" s="166">
        <f t="shared" si="78"/>
        <v>0</v>
      </c>
      <c r="AS40" s="33">
        <f t="shared" si="79"/>
        <v>24477.689135780638</v>
      </c>
      <c r="AT40" s="167">
        <f t="shared" si="80"/>
        <v>1713.4382395046448</v>
      </c>
      <c r="AU40" s="165">
        <v>0</v>
      </c>
      <c r="AV40" s="166">
        <f t="shared" si="81"/>
        <v>0</v>
      </c>
      <c r="AW40" s="33">
        <f t="shared" si="82"/>
        <v>26391.127375285283</v>
      </c>
      <c r="AX40" s="167">
        <f t="shared" si="83"/>
        <v>1847.37891626997</v>
      </c>
      <c r="AY40" s="165">
        <v>0</v>
      </c>
      <c r="AZ40" s="166">
        <f t="shared" si="84"/>
        <v>0</v>
      </c>
      <c r="BA40" s="33">
        <f t="shared" si="85"/>
        <v>28438.506291555252</v>
      </c>
      <c r="BB40" s="167">
        <f t="shared" si="86"/>
        <v>1990.6954404088679</v>
      </c>
      <c r="BC40" s="165">
        <v>0</v>
      </c>
      <c r="BD40" s="166">
        <f t="shared" si="87"/>
        <v>0</v>
      </c>
      <c r="BE40" s="33">
        <f t="shared" si="88"/>
        <v>30629.20173196412</v>
      </c>
      <c r="BF40" s="167">
        <f t="shared" si="89"/>
        <v>2144.0441212374885</v>
      </c>
      <c r="BG40" s="165">
        <v>0</v>
      </c>
      <c r="BH40" s="166">
        <f t="shared" si="90"/>
        <v>0</v>
      </c>
      <c r="BI40" s="33">
        <f t="shared" si="91"/>
        <v>32973.24585320161</v>
      </c>
      <c r="BJ40" s="167">
        <f t="shared" si="92"/>
        <v>2308.1272097241131</v>
      </c>
      <c r="BK40" s="87">
        <f t="shared" si="93"/>
        <v>0</v>
      </c>
      <c r="BL40" s="33">
        <f>'2022-2023'!BL40+'2023-2024'!BK40</f>
        <v>3000</v>
      </c>
    </row>
    <row r="41" spans="1:64">
      <c r="A41" s="10" t="s">
        <v>612</v>
      </c>
      <c r="B41" s="10" t="s">
        <v>144</v>
      </c>
      <c r="C41" s="80">
        <v>0</v>
      </c>
      <c r="D41" s="79">
        <f t="shared" si="47"/>
        <v>2400</v>
      </c>
      <c r="E41" s="78">
        <f>'2022-2023'!I41</f>
        <v>6533.5174943216589</v>
      </c>
      <c r="F41" s="187">
        <f t="shared" si="48"/>
        <v>2400</v>
      </c>
      <c r="G41" s="33">
        <f t="shared" si="49"/>
        <v>0</v>
      </c>
      <c r="H41" s="190">
        <f t="shared" si="50"/>
        <v>2400</v>
      </c>
      <c r="I41" s="78">
        <f t="shared" si="51"/>
        <v>17007.242143112755</v>
      </c>
      <c r="J41" s="78">
        <f t="shared" si="52"/>
        <v>0</v>
      </c>
      <c r="K41" s="78">
        <f t="shared" si="53"/>
        <v>0</v>
      </c>
      <c r="L41" s="78">
        <f t="shared" si="54"/>
        <v>8073.7246487910961</v>
      </c>
      <c r="M41" s="194">
        <f t="shared" si="55"/>
        <v>8073.7246487910961</v>
      </c>
      <c r="N41" s="78">
        <f t="shared" si="56"/>
        <v>-8073.7246487910961</v>
      </c>
      <c r="O41" s="165">
        <v>0</v>
      </c>
      <c r="P41" s="166">
        <f t="shared" si="57"/>
        <v>0</v>
      </c>
      <c r="Q41" s="119">
        <f t="shared" si="58"/>
        <v>6733.5174943216589</v>
      </c>
      <c r="R41" s="167">
        <f t="shared" si="59"/>
        <v>370.34346218769122</v>
      </c>
      <c r="S41" s="165">
        <v>0</v>
      </c>
      <c r="T41" s="166">
        <f t="shared" si="60"/>
        <v>0</v>
      </c>
      <c r="U41" s="33">
        <f t="shared" si="61"/>
        <v>7303.8609565093502</v>
      </c>
      <c r="V41" s="167">
        <f t="shared" si="62"/>
        <v>401.71235260801427</v>
      </c>
      <c r="W41" s="165">
        <v>0</v>
      </c>
      <c r="X41" s="166">
        <f t="shared" si="63"/>
        <v>0</v>
      </c>
      <c r="Y41" s="33">
        <f t="shared" si="64"/>
        <v>7905.5733091173643</v>
      </c>
      <c r="Z41" s="167">
        <f t="shared" si="65"/>
        <v>434.80653200145503</v>
      </c>
      <c r="AA41" s="165">
        <v>0</v>
      </c>
      <c r="AB41" s="166">
        <f t="shared" si="66"/>
        <v>0</v>
      </c>
      <c r="AC41" s="33">
        <f t="shared" si="67"/>
        <v>8540.37984111882</v>
      </c>
      <c r="AD41" s="167">
        <f t="shared" si="68"/>
        <v>469.72089126153509</v>
      </c>
      <c r="AE41" s="165">
        <v>0</v>
      </c>
      <c r="AF41" s="166">
        <f t="shared" si="69"/>
        <v>0</v>
      </c>
      <c r="AG41" s="33">
        <f t="shared" si="70"/>
        <v>9210.1007323803551</v>
      </c>
      <c r="AH41" s="167">
        <f t="shared" si="71"/>
        <v>506.55554028091956</v>
      </c>
      <c r="AI41" s="165">
        <v>0</v>
      </c>
      <c r="AJ41" s="166">
        <f t="shared" si="72"/>
        <v>0</v>
      </c>
      <c r="AK41" s="33">
        <f t="shared" si="73"/>
        <v>9916.6562726612756</v>
      </c>
      <c r="AL41" s="167">
        <f t="shared" si="74"/>
        <v>545.41609499637013</v>
      </c>
      <c r="AM41" s="165">
        <v>0</v>
      </c>
      <c r="AN41" s="166">
        <f t="shared" si="75"/>
        <v>0</v>
      </c>
      <c r="AO41" s="33">
        <f t="shared" si="76"/>
        <v>10662.072367657645</v>
      </c>
      <c r="AP41" s="167">
        <f t="shared" si="77"/>
        <v>586.4139802211705</v>
      </c>
      <c r="AQ41" s="165">
        <v>0</v>
      </c>
      <c r="AR41" s="166">
        <f t="shared" si="78"/>
        <v>0</v>
      </c>
      <c r="AS41" s="33">
        <f t="shared" si="79"/>
        <v>11448.486347878816</v>
      </c>
      <c r="AT41" s="167">
        <f t="shared" si="80"/>
        <v>801.39404435151721</v>
      </c>
      <c r="AU41" s="165">
        <v>0</v>
      </c>
      <c r="AV41" s="166">
        <f t="shared" si="81"/>
        <v>0</v>
      </c>
      <c r="AW41" s="33">
        <f t="shared" si="82"/>
        <v>12449.880392230332</v>
      </c>
      <c r="AX41" s="167">
        <f t="shared" si="83"/>
        <v>871.4916274561233</v>
      </c>
      <c r="AY41" s="165">
        <v>0</v>
      </c>
      <c r="AZ41" s="166">
        <f t="shared" si="84"/>
        <v>0</v>
      </c>
      <c r="BA41" s="33">
        <f t="shared" si="85"/>
        <v>13521.372019686456</v>
      </c>
      <c r="BB41" s="167">
        <f t="shared" si="86"/>
        <v>946.49604137805204</v>
      </c>
      <c r="BC41" s="165">
        <v>0</v>
      </c>
      <c r="BD41" s="166">
        <f t="shared" si="87"/>
        <v>0</v>
      </c>
      <c r="BE41" s="33">
        <f t="shared" si="88"/>
        <v>14667.868061064508</v>
      </c>
      <c r="BF41" s="167">
        <f t="shared" si="89"/>
        <v>1026.7507642745156</v>
      </c>
      <c r="BG41" s="165">
        <v>0</v>
      </c>
      <c r="BH41" s="166">
        <f t="shared" si="90"/>
        <v>0</v>
      </c>
      <c r="BI41" s="33">
        <f t="shared" si="91"/>
        <v>15894.618825339023</v>
      </c>
      <c r="BJ41" s="167">
        <f t="shared" si="92"/>
        <v>1112.6233177737317</v>
      </c>
      <c r="BK41" s="87">
        <f t="shared" si="93"/>
        <v>0</v>
      </c>
      <c r="BL41" s="33">
        <f>'2022-2023'!BL41+'2023-2024'!BK41</f>
        <v>6700</v>
      </c>
    </row>
    <row r="42" spans="1:64">
      <c r="A42" s="10" t="s">
        <v>613</v>
      </c>
      <c r="B42" s="10" t="s">
        <v>143</v>
      </c>
      <c r="C42" s="80">
        <v>0</v>
      </c>
      <c r="D42" s="79">
        <f t="shared" si="47"/>
        <v>2400</v>
      </c>
      <c r="E42" s="78">
        <f>'2022-2023'!I42</f>
        <v>13674.437207036655</v>
      </c>
      <c r="F42" s="187">
        <f t="shared" si="48"/>
        <v>2400</v>
      </c>
      <c r="G42" s="33">
        <f t="shared" si="49"/>
        <v>0</v>
      </c>
      <c r="H42" s="190">
        <f t="shared" si="50"/>
        <v>2400</v>
      </c>
      <c r="I42" s="78">
        <f t="shared" si="51"/>
        <v>31576.594812667503</v>
      </c>
      <c r="J42" s="78">
        <f t="shared" si="52"/>
        <v>0</v>
      </c>
      <c r="K42" s="78">
        <f t="shared" si="53"/>
        <v>0</v>
      </c>
      <c r="L42" s="78">
        <f t="shared" si="54"/>
        <v>15502.15760563085</v>
      </c>
      <c r="M42" s="194">
        <f t="shared" si="55"/>
        <v>15502.15760563085</v>
      </c>
      <c r="N42" s="78">
        <f t="shared" si="56"/>
        <v>-15502.15760563085</v>
      </c>
      <c r="O42" s="165">
        <v>0</v>
      </c>
      <c r="P42" s="166">
        <f t="shared" si="57"/>
        <v>0</v>
      </c>
      <c r="Q42" s="119">
        <f t="shared" si="58"/>
        <v>13874.437207036655</v>
      </c>
      <c r="R42" s="167">
        <f t="shared" si="59"/>
        <v>763.09404638701608</v>
      </c>
      <c r="S42" s="165">
        <v>0</v>
      </c>
      <c r="T42" s="166">
        <f t="shared" si="60"/>
        <v>0</v>
      </c>
      <c r="U42" s="33">
        <f t="shared" si="61"/>
        <v>14837.531253423671</v>
      </c>
      <c r="V42" s="167">
        <f t="shared" si="62"/>
        <v>816.06421893830191</v>
      </c>
      <c r="W42" s="165">
        <v>0</v>
      </c>
      <c r="X42" s="166">
        <f t="shared" si="63"/>
        <v>0</v>
      </c>
      <c r="Y42" s="33">
        <f t="shared" si="64"/>
        <v>15853.595472361972</v>
      </c>
      <c r="Z42" s="167">
        <f t="shared" si="65"/>
        <v>871.94775097990851</v>
      </c>
      <c r="AA42" s="165">
        <v>0</v>
      </c>
      <c r="AB42" s="166">
        <f t="shared" si="66"/>
        <v>0</v>
      </c>
      <c r="AC42" s="33">
        <f t="shared" si="67"/>
        <v>16925.54322334188</v>
      </c>
      <c r="AD42" s="167">
        <f t="shared" si="68"/>
        <v>930.90487728380333</v>
      </c>
      <c r="AE42" s="165">
        <v>0</v>
      </c>
      <c r="AF42" s="166">
        <f t="shared" si="69"/>
        <v>0</v>
      </c>
      <c r="AG42" s="33">
        <f t="shared" si="70"/>
        <v>18056.448100625683</v>
      </c>
      <c r="AH42" s="167">
        <f t="shared" si="71"/>
        <v>993.10464553441261</v>
      </c>
      <c r="AI42" s="165">
        <v>0</v>
      </c>
      <c r="AJ42" s="166">
        <f t="shared" si="72"/>
        <v>0</v>
      </c>
      <c r="AK42" s="33">
        <f t="shared" si="73"/>
        <v>19249.552746160094</v>
      </c>
      <c r="AL42" s="167">
        <f t="shared" si="74"/>
        <v>1058.7254010388051</v>
      </c>
      <c r="AM42" s="165">
        <v>0</v>
      </c>
      <c r="AN42" s="166">
        <f t="shared" si="75"/>
        <v>0</v>
      </c>
      <c r="AO42" s="33">
        <f t="shared" si="76"/>
        <v>20508.2781471989</v>
      </c>
      <c r="AP42" s="167">
        <f t="shared" si="77"/>
        <v>1127.9552980959395</v>
      </c>
      <c r="AQ42" s="165">
        <v>0</v>
      </c>
      <c r="AR42" s="166">
        <f t="shared" si="78"/>
        <v>0</v>
      </c>
      <c r="AS42" s="33">
        <f t="shared" si="79"/>
        <v>21836.233445294838</v>
      </c>
      <c r="AT42" s="167">
        <f t="shared" si="80"/>
        <v>1528.5363411706387</v>
      </c>
      <c r="AU42" s="165">
        <v>0</v>
      </c>
      <c r="AV42" s="166">
        <f t="shared" si="81"/>
        <v>0</v>
      </c>
      <c r="AW42" s="33">
        <f t="shared" si="82"/>
        <v>23564.769786465476</v>
      </c>
      <c r="AX42" s="167">
        <f t="shared" si="83"/>
        <v>1649.5338850525834</v>
      </c>
      <c r="AY42" s="165">
        <v>0</v>
      </c>
      <c r="AZ42" s="166">
        <f t="shared" si="84"/>
        <v>0</v>
      </c>
      <c r="BA42" s="33">
        <f t="shared" si="85"/>
        <v>25414.303671518061</v>
      </c>
      <c r="BB42" s="167">
        <f t="shared" si="86"/>
        <v>1779.0012570062645</v>
      </c>
      <c r="BC42" s="165">
        <v>0</v>
      </c>
      <c r="BD42" s="166">
        <f t="shared" si="87"/>
        <v>0</v>
      </c>
      <c r="BE42" s="33">
        <f t="shared" si="88"/>
        <v>27393.304928524325</v>
      </c>
      <c r="BF42" s="167">
        <f t="shared" si="89"/>
        <v>1917.531344996703</v>
      </c>
      <c r="BG42" s="165">
        <v>0</v>
      </c>
      <c r="BH42" s="166">
        <f t="shared" si="90"/>
        <v>0</v>
      </c>
      <c r="BI42" s="33">
        <f t="shared" si="91"/>
        <v>29510.836273521028</v>
      </c>
      <c r="BJ42" s="167">
        <f t="shared" si="92"/>
        <v>2065.7585391464722</v>
      </c>
      <c r="BK42" s="87">
        <f t="shared" si="93"/>
        <v>0</v>
      </c>
      <c r="BL42" s="33">
        <f>'2022-2023'!BL42+'2023-2024'!BK42</f>
        <v>3100</v>
      </c>
    </row>
    <row r="43" spans="1:64">
      <c r="A43" s="10" t="s">
        <v>614</v>
      </c>
      <c r="B43" s="10" t="s">
        <v>150</v>
      </c>
      <c r="C43" s="80">
        <v>0</v>
      </c>
      <c r="D43" s="79">
        <f t="shared" si="47"/>
        <v>2400</v>
      </c>
      <c r="E43" s="78">
        <f>'2022-2023'!I43</f>
        <v>10605.113734024608</v>
      </c>
      <c r="F43" s="187">
        <f t="shared" si="48"/>
        <v>2400</v>
      </c>
      <c r="G43" s="33">
        <f t="shared" si="49"/>
        <v>1250</v>
      </c>
      <c r="H43" s="190">
        <f t="shared" si="50"/>
        <v>1150</v>
      </c>
      <c r="I43" s="78">
        <f t="shared" si="51"/>
        <v>23766.144979957906</v>
      </c>
      <c r="J43" s="78">
        <f t="shared" si="52"/>
        <v>0</v>
      </c>
      <c r="K43" s="78">
        <f t="shared" si="53"/>
        <v>68.75</v>
      </c>
      <c r="L43" s="78">
        <f t="shared" si="54"/>
        <v>12011.0312459333</v>
      </c>
      <c r="M43" s="194">
        <f t="shared" si="55"/>
        <v>12011.0312459333</v>
      </c>
      <c r="N43" s="78">
        <f t="shared" si="56"/>
        <v>-10692.2812459333</v>
      </c>
      <c r="O43" s="165">
        <v>550</v>
      </c>
      <c r="P43" s="166">
        <f t="shared" si="57"/>
        <v>0</v>
      </c>
      <c r="Q43" s="119">
        <f t="shared" si="58"/>
        <v>10805.113734024608</v>
      </c>
      <c r="R43" s="167">
        <f t="shared" si="59"/>
        <v>564.03125537135338</v>
      </c>
      <c r="S43" s="165">
        <v>0</v>
      </c>
      <c r="T43" s="166">
        <f t="shared" si="60"/>
        <v>0</v>
      </c>
      <c r="U43" s="33">
        <f t="shared" si="61"/>
        <v>11569.144989395962</v>
      </c>
      <c r="V43" s="167">
        <f t="shared" si="62"/>
        <v>636.30297441677794</v>
      </c>
      <c r="W43" s="165">
        <v>0</v>
      </c>
      <c r="X43" s="166">
        <f t="shared" si="63"/>
        <v>0</v>
      </c>
      <c r="Y43" s="33">
        <f t="shared" si="64"/>
        <v>12405.44796381274</v>
      </c>
      <c r="Z43" s="167">
        <f t="shared" si="65"/>
        <v>682.29963800970063</v>
      </c>
      <c r="AA43" s="165">
        <v>0</v>
      </c>
      <c r="AB43" s="166">
        <f t="shared" si="66"/>
        <v>0</v>
      </c>
      <c r="AC43" s="33">
        <f t="shared" si="67"/>
        <v>13287.747601822441</v>
      </c>
      <c r="AD43" s="167">
        <f t="shared" si="68"/>
        <v>730.82611810023423</v>
      </c>
      <c r="AE43" s="165">
        <v>0</v>
      </c>
      <c r="AF43" s="166">
        <f t="shared" si="69"/>
        <v>0</v>
      </c>
      <c r="AG43" s="33">
        <f t="shared" si="70"/>
        <v>14218.573719922675</v>
      </c>
      <c r="AH43" s="167">
        <f t="shared" si="71"/>
        <v>782.02155459574715</v>
      </c>
      <c r="AI43" s="165">
        <v>0</v>
      </c>
      <c r="AJ43" s="166">
        <f t="shared" si="72"/>
        <v>0</v>
      </c>
      <c r="AK43" s="33">
        <f t="shared" si="73"/>
        <v>15200.595274518422</v>
      </c>
      <c r="AL43" s="167">
        <f t="shared" si="74"/>
        <v>836.03274009851327</v>
      </c>
      <c r="AM43" s="165">
        <v>0</v>
      </c>
      <c r="AN43" s="166">
        <f t="shared" si="75"/>
        <v>0</v>
      </c>
      <c r="AO43" s="33">
        <f t="shared" si="76"/>
        <v>16236.628014616936</v>
      </c>
      <c r="AP43" s="167">
        <f t="shared" si="77"/>
        <v>893.01454080393148</v>
      </c>
      <c r="AQ43" s="165">
        <v>400</v>
      </c>
      <c r="AR43" s="166">
        <f t="shared" si="78"/>
        <v>0</v>
      </c>
      <c r="AS43" s="33">
        <f t="shared" si="79"/>
        <v>16929.642555420865</v>
      </c>
      <c r="AT43" s="167">
        <f t="shared" si="80"/>
        <v>1157.0749788794608</v>
      </c>
      <c r="AU43" s="165">
        <v>0</v>
      </c>
      <c r="AV43" s="166">
        <f t="shared" si="81"/>
        <v>0</v>
      </c>
      <c r="AW43" s="33">
        <f t="shared" si="82"/>
        <v>18286.717534300325</v>
      </c>
      <c r="AX43" s="167">
        <f t="shared" si="83"/>
        <v>1280.070227401023</v>
      </c>
      <c r="AY43" s="165">
        <v>0</v>
      </c>
      <c r="AZ43" s="166">
        <f t="shared" si="84"/>
        <v>0</v>
      </c>
      <c r="BA43" s="33">
        <f t="shared" si="85"/>
        <v>19766.787761701347</v>
      </c>
      <c r="BB43" s="167">
        <f t="shared" si="86"/>
        <v>1383.6751433190943</v>
      </c>
      <c r="BC43" s="165">
        <v>0</v>
      </c>
      <c r="BD43" s="166">
        <f t="shared" si="87"/>
        <v>0</v>
      </c>
      <c r="BE43" s="33">
        <f t="shared" si="88"/>
        <v>21350.462905020442</v>
      </c>
      <c r="BF43" s="167">
        <f t="shared" si="89"/>
        <v>1494.5324033514312</v>
      </c>
      <c r="BG43" s="165">
        <v>300</v>
      </c>
      <c r="BH43" s="166">
        <f t="shared" si="90"/>
        <v>0</v>
      </c>
      <c r="BI43" s="33">
        <f t="shared" si="91"/>
        <v>22744.995308371872</v>
      </c>
      <c r="BJ43" s="167">
        <f t="shared" si="92"/>
        <v>1571.1496715860312</v>
      </c>
      <c r="BK43" s="87">
        <f t="shared" si="93"/>
        <v>1250</v>
      </c>
      <c r="BL43" s="33">
        <f>'2022-2023'!BL43+'2023-2024'!BK43</f>
        <v>6988.8899999999994</v>
      </c>
    </row>
    <row r="44" spans="1:64">
      <c r="A44" s="10" t="s">
        <v>615</v>
      </c>
      <c r="B44" s="10" t="s">
        <v>159</v>
      </c>
      <c r="C44" s="80">
        <v>0</v>
      </c>
      <c r="D44" s="79">
        <f t="shared" si="47"/>
        <v>2400</v>
      </c>
      <c r="E44" s="78">
        <f>'2022-2023'!I44</f>
        <v>-1501.9040978551113</v>
      </c>
      <c r="F44" s="187">
        <f t="shared" si="48"/>
        <v>2400</v>
      </c>
      <c r="G44" s="33">
        <f t="shared" si="49"/>
        <v>0</v>
      </c>
      <c r="H44" s="190">
        <f t="shared" si="50"/>
        <v>2400</v>
      </c>
      <c r="I44" s="78">
        <f t="shared" si="51"/>
        <v>612.87058666965982</v>
      </c>
      <c r="J44" s="78">
        <f t="shared" si="52"/>
        <v>0</v>
      </c>
      <c r="K44" s="78">
        <f t="shared" si="53"/>
        <v>0</v>
      </c>
      <c r="L44" s="78">
        <f t="shared" si="54"/>
        <v>-285.22531547522897</v>
      </c>
      <c r="M44" s="194">
        <f t="shared" si="55"/>
        <v>-285.22531547522897</v>
      </c>
      <c r="N44" s="78">
        <f t="shared" si="56"/>
        <v>285.22531547522897</v>
      </c>
      <c r="O44" s="165">
        <v>0</v>
      </c>
      <c r="P44" s="166">
        <f t="shared" si="57"/>
        <v>0</v>
      </c>
      <c r="Q44" s="119">
        <f t="shared" si="58"/>
        <v>-1301.9040978551113</v>
      </c>
      <c r="R44" s="167">
        <f t="shared" si="59"/>
        <v>-71.60472538203112</v>
      </c>
      <c r="S44" s="165">
        <v>0</v>
      </c>
      <c r="T44" s="166">
        <f t="shared" si="60"/>
        <v>0</v>
      </c>
      <c r="U44" s="33">
        <f t="shared" si="61"/>
        <v>-1173.5088232371425</v>
      </c>
      <c r="V44" s="167">
        <f t="shared" si="62"/>
        <v>-64.542985278042835</v>
      </c>
      <c r="W44" s="165">
        <v>0</v>
      </c>
      <c r="X44" s="166">
        <f t="shared" si="63"/>
        <v>0</v>
      </c>
      <c r="Y44" s="33">
        <f t="shared" si="64"/>
        <v>-1038.0518085151853</v>
      </c>
      <c r="Z44" s="167">
        <f t="shared" si="65"/>
        <v>-57.092849468335189</v>
      </c>
      <c r="AA44" s="165">
        <v>0</v>
      </c>
      <c r="AB44" s="166">
        <f t="shared" si="66"/>
        <v>0</v>
      </c>
      <c r="AC44" s="33">
        <f t="shared" si="67"/>
        <v>-895.14465798352046</v>
      </c>
      <c r="AD44" s="167">
        <f t="shared" si="68"/>
        <v>-49.232956189093628</v>
      </c>
      <c r="AE44" s="165">
        <v>0</v>
      </c>
      <c r="AF44" s="166">
        <f t="shared" si="69"/>
        <v>0</v>
      </c>
      <c r="AG44" s="33">
        <f t="shared" si="70"/>
        <v>-744.37761417261413</v>
      </c>
      <c r="AH44" s="167">
        <f t="shared" si="71"/>
        <v>-40.94076877949378</v>
      </c>
      <c r="AI44" s="165">
        <v>0</v>
      </c>
      <c r="AJ44" s="166">
        <f t="shared" si="72"/>
        <v>0</v>
      </c>
      <c r="AK44" s="33">
        <f t="shared" si="73"/>
        <v>-585.31838295210787</v>
      </c>
      <c r="AL44" s="167">
        <f t="shared" si="74"/>
        <v>-32.192511062365931</v>
      </c>
      <c r="AM44" s="165">
        <v>0</v>
      </c>
      <c r="AN44" s="166">
        <f t="shared" si="75"/>
        <v>0</v>
      </c>
      <c r="AO44" s="33">
        <f t="shared" si="76"/>
        <v>-417.51089401447382</v>
      </c>
      <c r="AP44" s="167">
        <f t="shared" si="77"/>
        <v>-22.96309917079606</v>
      </c>
      <c r="AQ44" s="165">
        <v>0</v>
      </c>
      <c r="AR44" s="166">
        <f t="shared" si="78"/>
        <v>0</v>
      </c>
      <c r="AS44" s="33">
        <f t="shared" si="79"/>
        <v>-240.47399318526988</v>
      </c>
      <c r="AT44" s="167">
        <f t="shared" si="80"/>
        <v>-16.833179522968894</v>
      </c>
      <c r="AU44" s="165">
        <v>0</v>
      </c>
      <c r="AV44" s="166">
        <f t="shared" si="81"/>
        <v>0</v>
      </c>
      <c r="AW44" s="33">
        <f t="shared" si="82"/>
        <v>-57.307172708238767</v>
      </c>
      <c r="AX44" s="167">
        <f t="shared" si="83"/>
        <v>-4.0115020895767142</v>
      </c>
      <c r="AY44" s="165">
        <v>0</v>
      </c>
      <c r="AZ44" s="166">
        <f t="shared" si="84"/>
        <v>0</v>
      </c>
      <c r="BA44" s="33">
        <f t="shared" si="85"/>
        <v>138.68132520218452</v>
      </c>
      <c r="BB44" s="167">
        <f t="shared" si="86"/>
        <v>9.7076927641529185</v>
      </c>
      <c r="BC44" s="165">
        <v>0</v>
      </c>
      <c r="BD44" s="166">
        <f t="shared" si="87"/>
        <v>0</v>
      </c>
      <c r="BE44" s="33">
        <f t="shared" si="88"/>
        <v>348.38901796633746</v>
      </c>
      <c r="BF44" s="167">
        <f t="shared" si="89"/>
        <v>24.387231257643624</v>
      </c>
      <c r="BG44" s="165">
        <v>0</v>
      </c>
      <c r="BH44" s="166">
        <f t="shared" si="90"/>
        <v>0</v>
      </c>
      <c r="BI44" s="33">
        <f t="shared" si="91"/>
        <v>572.77624922398104</v>
      </c>
      <c r="BJ44" s="167">
        <f t="shared" si="92"/>
        <v>40.094337445678676</v>
      </c>
      <c r="BK44" s="87">
        <f t="shared" si="93"/>
        <v>0</v>
      </c>
      <c r="BL44" s="33">
        <f>'2022-2023'!BL44+'2023-2024'!BK44</f>
        <v>13430</v>
      </c>
    </row>
    <row r="45" spans="1:64">
      <c r="A45" s="10" t="s">
        <v>616</v>
      </c>
      <c r="B45" s="10" t="s">
        <v>126</v>
      </c>
      <c r="C45" s="80">
        <v>0</v>
      </c>
      <c r="D45" s="79">
        <f t="shared" si="47"/>
        <v>2400</v>
      </c>
      <c r="E45" s="78">
        <f>'2022-2023'!I45</f>
        <v>8573.7802693830872</v>
      </c>
      <c r="F45" s="187">
        <f t="shared" si="48"/>
        <v>2400</v>
      </c>
      <c r="G45" s="33">
        <f t="shared" si="49"/>
        <v>0</v>
      </c>
      <c r="H45" s="190">
        <f t="shared" si="50"/>
        <v>2400</v>
      </c>
      <c r="I45" s="78">
        <f t="shared" si="51"/>
        <v>21169.914334414112</v>
      </c>
      <c r="J45" s="78">
        <f t="shared" si="52"/>
        <v>0</v>
      </c>
      <c r="K45" s="78">
        <f t="shared" si="53"/>
        <v>0</v>
      </c>
      <c r="L45" s="78">
        <f t="shared" si="54"/>
        <v>10196.134065031027</v>
      </c>
      <c r="M45" s="194">
        <f t="shared" si="55"/>
        <v>10196.134065031027</v>
      </c>
      <c r="N45" s="78">
        <f t="shared" si="56"/>
        <v>-10196.134065031027</v>
      </c>
      <c r="O45" s="165">
        <v>0</v>
      </c>
      <c r="P45" s="166">
        <f t="shared" si="57"/>
        <v>0</v>
      </c>
      <c r="Q45" s="119">
        <f t="shared" si="58"/>
        <v>8773.7802693830872</v>
      </c>
      <c r="R45" s="167">
        <f t="shared" si="59"/>
        <v>482.5579148160698</v>
      </c>
      <c r="S45" s="165">
        <v>0</v>
      </c>
      <c r="T45" s="166">
        <f t="shared" si="60"/>
        <v>0</v>
      </c>
      <c r="U45" s="33">
        <f t="shared" si="61"/>
        <v>9456.3381841991577</v>
      </c>
      <c r="V45" s="167">
        <f t="shared" si="62"/>
        <v>520.09860013095363</v>
      </c>
      <c r="W45" s="165">
        <v>0</v>
      </c>
      <c r="X45" s="166">
        <f t="shared" si="63"/>
        <v>0</v>
      </c>
      <c r="Y45" s="33">
        <f t="shared" si="64"/>
        <v>10176.436784330112</v>
      </c>
      <c r="Z45" s="167">
        <f t="shared" si="65"/>
        <v>559.70402313815612</v>
      </c>
      <c r="AA45" s="165">
        <v>0</v>
      </c>
      <c r="AB45" s="166">
        <f t="shared" si="66"/>
        <v>0</v>
      </c>
      <c r="AC45" s="33">
        <f t="shared" si="67"/>
        <v>10936.140807468268</v>
      </c>
      <c r="AD45" s="167">
        <f t="shared" si="68"/>
        <v>601.48774441075477</v>
      </c>
      <c r="AE45" s="165">
        <v>0</v>
      </c>
      <c r="AF45" s="166">
        <f t="shared" si="69"/>
        <v>0</v>
      </c>
      <c r="AG45" s="33">
        <f t="shared" si="70"/>
        <v>11737.628551879023</v>
      </c>
      <c r="AH45" s="167">
        <f t="shared" si="71"/>
        <v>645.56957035334631</v>
      </c>
      <c r="AI45" s="165">
        <v>0</v>
      </c>
      <c r="AJ45" s="166">
        <f t="shared" si="72"/>
        <v>0</v>
      </c>
      <c r="AK45" s="33">
        <f t="shared" si="73"/>
        <v>12583.198122232368</v>
      </c>
      <c r="AL45" s="167">
        <f t="shared" si="74"/>
        <v>692.07589672278027</v>
      </c>
      <c r="AM45" s="165">
        <v>0</v>
      </c>
      <c r="AN45" s="166">
        <f t="shared" si="75"/>
        <v>0</v>
      </c>
      <c r="AO45" s="33">
        <f t="shared" si="76"/>
        <v>13475.274018955148</v>
      </c>
      <c r="AP45" s="167">
        <f t="shared" si="77"/>
        <v>741.14007104253312</v>
      </c>
      <c r="AQ45" s="165">
        <v>0</v>
      </c>
      <c r="AR45" s="166">
        <f t="shared" si="78"/>
        <v>0</v>
      </c>
      <c r="AS45" s="33">
        <f t="shared" si="79"/>
        <v>14416.414089997681</v>
      </c>
      <c r="AT45" s="167">
        <f t="shared" si="80"/>
        <v>1009.1489862998378</v>
      </c>
      <c r="AU45" s="165">
        <v>0</v>
      </c>
      <c r="AV45" s="166">
        <f t="shared" si="81"/>
        <v>0</v>
      </c>
      <c r="AW45" s="33">
        <f t="shared" si="82"/>
        <v>15625.56307629752</v>
      </c>
      <c r="AX45" s="167">
        <f t="shared" si="83"/>
        <v>1093.7894153408265</v>
      </c>
      <c r="AY45" s="165">
        <v>0</v>
      </c>
      <c r="AZ45" s="166">
        <f t="shared" si="84"/>
        <v>0</v>
      </c>
      <c r="BA45" s="33">
        <f t="shared" si="85"/>
        <v>16919.352491638347</v>
      </c>
      <c r="BB45" s="167">
        <f t="shared" si="86"/>
        <v>1184.3546744146843</v>
      </c>
      <c r="BC45" s="165">
        <v>0</v>
      </c>
      <c r="BD45" s="166">
        <f t="shared" si="87"/>
        <v>0</v>
      </c>
      <c r="BE45" s="33">
        <f t="shared" si="88"/>
        <v>18303.707166053031</v>
      </c>
      <c r="BF45" s="167">
        <f t="shared" si="89"/>
        <v>1281.2595016237124</v>
      </c>
      <c r="BG45" s="165">
        <v>0</v>
      </c>
      <c r="BH45" s="166">
        <f t="shared" si="90"/>
        <v>0</v>
      </c>
      <c r="BI45" s="33">
        <f t="shared" si="91"/>
        <v>19784.966667676745</v>
      </c>
      <c r="BJ45" s="167">
        <f t="shared" si="92"/>
        <v>1384.9476667373722</v>
      </c>
      <c r="BK45" s="87">
        <f t="shared" si="93"/>
        <v>0</v>
      </c>
      <c r="BL45" s="33">
        <f>'2022-2023'!BL45+'2023-2024'!BK45</f>
        <v>5700</v>
      </c>
    </row>
    <row r="46" spans="1:64">
      <c r="A46" s="10" t="s">
        <v>617</v>
      </c>
      <c r="B46" s="10" t="s">
        <v>151</v>
      </c>
      <c r="C46" s="80">
        <v>0</v>
      </c>
      <c r="D46" s="79">
        <f t="shared" si="47"/>
        <v>2400</v>
      </c>
      <c r="E46" s="78">
        <f>'2022-2023'!I46</f>
        <v>-281.64811106254456</v>
      </c>
      <c r="F46" s="187">
        <f t="shared" si="48"/>
        <v>2400</v>
      </c>
      <c r="G46" s="33">
        <f t="shared" si="49"/>
        <v>3300</v>
      </c>
      <c r="H46" s="190">
        <f t="shared" si="50"/>
        <v>-900</v>
      </c>
      <c r="I46" s="78">
        <f t="shared" si="51"/>
        <v>-2021.655161285106</v>
      </c>
      <c r="J46" s="78">
        <f t="shared" si="52"/>
        <v>0</v>
      </c>
      <c r="K46" s="78">
        <f t="shared" si="53"/>
        <v>181.5</v>
      </c>
      <c r="L46" s="78">
        <f t="shared" si="54"/>
        <v>-840.00705022256147</v>
      </c>
      <c r="M46" s="194">
        <f t="shared" si="55"/>
        <v>-840.00705022256147</v>
      </c>
      <c r="N46" s="78">
        <f t="shared" si="56"/>
        <v>4321.5070502225617</v>
      </c>
      <c r="O46" s="165">
        <v>300</v>
      </c>
      <c r="P46" s="166">
        <f t="shared" si="57"/>
        <v>0</v>
      </c>
      <c r="Q46" s="119">
        <f t="shared" si="58"/>
        <v>-81.648111062544558</v>
      </c>
      <c r="R46" s="167">
        <f t="shared" si="59"/>
        <v>-20.99064610843995</v>
      </c>
      <c r="S46" s="165">
        <v>300</v>
      </c>
      <c r="T46" s="166">
        <f t="shared" si="60"/>
        <v>0</v>
      </c>
      <c r="U46" s="33">
        <f t="shared" si="61"/>
        <v>-202.63875717098452</v>
      </c>
      <c r="V46" s="167">
        <f t="shared" si="62"/>
        <v>-27.645131644404149</v>
      </c>
      <c r="W46" s="165">
        <v>300</v>
      </c>
      <c r="X46" s="166">
        <f t="shared" si="63"/>
        <v>0</v>
      </c>
      <c r="Y46" s="33">
        <f t="shared" si="64"/>
        <v>-330.28388881538865</v>
      </c>
      <c r="Z46" s="167">
        <f t="shared" si="65"/>
        <v>-34.665613884846373</v>
      </c>
      <c r="AA46" s="165">
        <v>300</v>
      </c>
      <c r="AB46" s="166">
        <f t="shared" si="66"/>
        <v>0</v>
      </c>
      <c r="AC46" s="33">
        <f t="shared" si="67"/>
        <v>-464.94950270023503</v>
      </c>
      <c r="AD46" s="167">
        <f t="shared" si="68"/>
        <v>-42.072222648512927</v>
      </c>
      <c r="AE46" s="165">
        <v>300</v>
      </c>
      <c r="AF46" s="166">
        <f t="shared" si="69"/>
        <v>0</v>
      </c>
      <c r="AG46" s="33">
        <f t="shared" si="70"/>
        <v>-607.02172534874796</v>
      </c>
      <c r="AH46" s="167">
        <f t="shared" si="71"/>
        <v>-49.886194894181138</v>
      </c>
      <c r="AI46" s="165">
        <v>300</v>
      </c>
      <c r="AJ46" s="166">
        <f t="shared" si="72"/>
        <v>0</v>
      </c>
      <c r="AK46" s="33">
        <f t="shared" si="73"/>
        <v>-756.90792024292909</v>
      </c>
      <c r="AL46" s="167">
        <f t="shared" si="74"/>
        <v>-58.129935613361098</v>
      </c>
      <c r="AM46" s="165">
        <v>300</v>
      </c>
      <c r="AN46" s="166">
        <f t="shared" si="75"/>
        <v>0</v>
      </c>
      <c r="AO46" s="33">
        <f t="shared" si="76"/>
        <v>-915.03785585629021</v>
      </c>
      <c r="AP46" s="167">
        <f t="shared" si="77"/>
        <v>-66.827082072095962</v>
      </c>
      <c r="AQ46" s="165">
        <v>300</v>
      </c>
      <c r="AR46" s="166">
        <f t="shared" si="78"/>
        <v>0</v>
      </c>
      <c r="AS46" s="33">
        <f t="shared" si="79"/>
        <v>-1081.8649379283861</v>
      </c>
      <c r="AT46" s="167">
        <f t="shared" si="80"/>
        <v>-96.73054565498704</v>
      </c>
      <c r="AU46" s="165">
        <v>300</v>
      </c>
      <c r="AV46" s="166">
        <f t="shared" si="81"/>
        <v>0</v>
      </c>
      <c r="AW46" s="33">
        <f t="shared" si="82"/>
        <v>-1278.5954835833732</v>
      </c>
      <c r="AX46" s="167">
        <f t="shared" si="83"/>
        <v>-110.50168385083613</v>
      </c>
      <c r="AY46" s="165">
        <v>0</v>
      </c>
      <c r="AZ46" s="166">
        <f t="shared" si="84"/>
        <v>0</v>
      </c>
      <c r="BA46" s="33">
        <f t="shared" si="85"/>
        <v>-1189.0971674342093</v>
      </c>
      <c r="BB46" s="167">
        <f t="shared" si="86"/>
        <v>-83.236801720394652</v>
      </c>
      <c r="BC46" s="165">
        <v>300</v>
      </c>
      <c r="BD46" s="166">
        <f t="shared" si="87"/>
        <v>0</v>
      </c>
      <c r="BE46" s="33">
        <f t="shared" si="88"/>
        <v>-1372.3339691546039</v>
      </c>
      <c r="BF46" s="167">
        <f t="shared" si="89"/>
        <v>-117.06337784082228</v>
      </c>
      <c r="BG46" s="165">
        <v>300</v>
      </c>
      <c r="BH46" s="166">
        <f t="shared" si="90"/>
        <v>0</v>
      </c>
      <c r="BI46" s="33">
        <f t="shared" si="91"/>
        <v>-1589.3973469954262</v>
      </c>
      <c r="BJ46" s="167">
        <f t="shared" si="92"/>
        <v>-132.25781428967986</v>
      </c>
      <c r="BK46" s="87">
        <f t="shared" si="93"/>
        <v>3300</v>
      </c>
      <c r="BL46" s="33">
        <f>'2022-2023'!BL46+'2023-2024'!BK46</f>
        <v>16500</v>
      </c>
    </row>
    <row r="47" spans="1:64">
      <c r="A47" s="10" t="s">
        <v>618</v>
      </c>
      <c r="B47" s="10" t="s">
        <v>116</v>
      </c>
      <c r="C47" s="80">
        <v>0</v>
      </c>
      <c r="D47" s="79">
        <f t="shared" si="47"/>
        <v>2400</v>
      </c>
      <c r="E47" s="78">
        <f>'2022-2023'!I47</f>
        <v>14898.594872073514</v>
      </c>
      <c r="F47" s="187">
        <f t="shared" si="48"/>
        <v>2400</v>
      </c>
      <c r="G47" s="33">
        <f t="shared" si="49"/>
        <v>300</v>
      </c>
      <c r="H47" s="190">
        <f t="shared" si="50"/>
        <v>2100</v>
      </c>
      <c r="I47" s="78">
        <f t="shared" si="51"/>
        <v>33682.642327448324</v>
      </c>
      <c r="J47" s="78">
        <f t="shared" si="52"/>
        <v>0</v>
      </c>
      <c r="K47" s="78">
        <f t="shared" si="53"/>
        <v>16.5</v>
      </c>
      <c r="L47" s="78">
        <f t="shared" si="54"/>
        <v>16684.047455374814</v>
      </c>
      <c r="M47" s="194">
        <f t="shared" si="55"/>
        <v>16684.047455374814</v>
      </c>
      <c r="N47" s="78">
        <f t="shared" si="56"/>
        <v>-16367.547455374814</v>
      </c>
      <c r="O47" s="165">
        <v>0</v>
      </c>
      <c r="P47" s="166">
        <f t="shared" si="57"/>
        <v>0</v>
      </c>
      <c r="Q47" s="119">
        <f t="shared" si="58"/>
        <v>15098.594872073514</v>
      </c>
      <c r="R47" s="167">
        <f t="shared" si="59"/>
        <v>830.42271796404327</v>
      </c>
      <c r="S47" s="165">
        <v>0</v>
      </c>
      <c r="T47" s="166">
        <f t="shared" si="60"/>
        <v>0</v>
      </c>
      <c r="U47" s="33">
        <f t="shared" si="61"/>
        <v>16129.017590037558</v>
      </c>
      <c r="V47" s="167">
        <f t="shared" si="62"/>
        <v>887.09596745206568</v>
      </c>
      <c r="W47" s="165">
        <v>0</v>
      </c>
      <c r="X47" s="166">
        <f t="shared" si="63"/>
        <v>0</v>
      </c>
      <c r="Y47" s="33">
        <f t="shared" si="64"/>
        <v>17216.113557489625</v>
      </c>
      <c r="Z47" s="167">
        <f t="shared" si="65"/>
        <v>946.88624566192937</v>
      </c>
      <c r="AA47" s="165">
        <v>0</v>
      </c>
      <c r="AB47" s="166">
        <f t="shared" si="66"/>
        <v>0</v>
      </c>
      <c r="AC47" s="33">
        <f t="shared" si="67"/>
        <v>18362.999803151553</v>
      </c>
      <c r="AD47" s="167">
        <f t="shared" si="68"/>
        <v>1009.9649891733354</v>
      </c>
      <c r="AE47" s="165">
        <v>0</v>
      </c>
      <c r="AF47" s="166">
        <f t="shared" si="69"/>
        <v>0</v>
      </c>
      <c r="AG47" s="33">
        <f t="shared" si="70"/>
        <v>19572.964792324889</v>
      </c>
      <c r="AH47" s="167">
        <f t="shared" si="71"/>
        <v>1076.5130635778689</v>
      </c>
      <c r="AI47" s="165">
        <v>0</v>
      </c>
      <c r="AJ47" s="166">
        <f t="shared" si="72"/>
        <v>0</v>
      </c>
      <c r="AK47" s="33">
        <f t="shared" si="73"/>
        <v>20849.477855902758</v>
      </c>
      <c r="AL47" s="167">
        <f t="shared" si="74"/>
        <v>1146.7212820746518</v>
      </c>
      <c r="AM47" s="165">
        <v>0</v>
      </c>
      <c r="AN47" s="166">
        <f t="shared" si="75"/>
        <v>0</v>
      </c>
      <c r="AO47" s="33">
        <f t="shared" si="76"/>
        <v>22196.199137977412</v>
      </c>
      <c r="AP47" s="167">
        <f t="shared" si="77"/>
        <v>1220.7909525887576</v>
      </c>
      <c r="AQ47" s="165">
        <v>0</v>
      </c>
      <c r="AR47" s="166">
        <f t="shared" si="78"/>
        <v>0</v>
      </c>
      <c r="AS47" s="33">
        <f t="shared" si="79"/>
        <v>23616.990090566171</v>
      </c>
      <c r="AT47" s="167">
        <f t="shared" si="80"/>
        <v>1653.1893063396321</v>
      </c>
      <c r="AU47" s="165">
        <v>0</v>
      </c>
      <c r="AV47" s="166">
        <f t="shared" si="81"/>
        <v>0</v>
      </c>
      <c r="AW47" s="33">
        <f t="shared" si="82"/>
        <v>25470.179396905802</v>
      </c>
      <c r="AX47" s="167">
        <f t="shared" si="83"/>
        <v>1782.9125577834063</v>
      </c>
      <c r="AY47" s="165">
        <v>300</v>
      </c>
      <c r="AZ47" s="166">
        <f t="shared" si="84"/>
        <v>0</v>
      </c>
      <c r="BA47" s="33">
        <f t="shared" si="85"/>
        <v>27153.091954689207</v>
      </c>
      <c r="BB47" s="167">
        <f t="shared" si="86"/>
        <v>1879.7164368282447</v>
      </c>
      <c r="BC47" s="165">
        <v>0</v>
      </c>
      <c r="BD47" s="166">
        <f t="shared" si="87"/>
        <v>0</v>
      </c>
      <c r="BE47" s="33">
        <f t="shared" si="88"/>
        <v>29232.80839151745</v>
      </c>
      <c r="BF47" s="167">
        <f t="shared" si="89"/>
        <v>2046.2965874062218</v>
      </c>
      <c r="BG47" s="165">
        <v>0</v>
      </c>
      <c r="BH47" s="166">
        <f t="shared" si="90"/>
        <v>0</v>
      </c>
      <c r="BI47" s="33">
        <f t="shared" si="91"/>
        <v>31479.104978923671</v>
      </c>
      <c r="BJ47" s="167">
        <f t="shared" si="92"/>
        <v>2203.5373485246573</v>
      </c>
      <c r="BK47" s="87">
        <f t="shared" si="93"/>
        <v>300</v>
      </c>
      <c r="BL47" s="33">
        <f>'2022-2023'!BL47+'2023-2024'!BK47</f>
        <v>2800</v>
      </c>
    </row>
    <row r="48" spans="1:64">
      <c r="A48" s="10" t="s">
        <v>619</v>
      </c>
      <c r="B48" s="10" t="s">
        <v>135</v>
      </c>
      <c r="C48" s="80">
        <v>0</v>
      </c>
      <c r="D48" s="79">
        <f t="shared" si="47"/>
        <v>2400</v>
      </c>
      <c r="E48" s="78">
        <f>'2022-2023'!I48</f>
        <v>-428.45518276289977</v>
      </c>
      <c r="F48" s="187">
        <f t="shared" si="48"/>
        <v>2400</v>
      </c>
      <c r="G48" s="33">
        <f t="shared" si="49"/>
        <v>2200</v>
      </c>
      <c r="H48" s="190">
        <f t="shared" si="50"/>
        <v>200</v>
      </c>
      <c r="I48" s="78">
        <f t="shared" si="51"/>
        <v>-618.65567415842668</v>
      </c>
      <c r="J48" s="78">
        <f t="shared" si="52"/>
        <v>0</v>
      </c>
      <c r="K48" s="78">
        <f t="shared" si="53"/>
        <v>121</v>
      </c>
      <c r="L48" s="78">
        <f t="shared" si="54"/>
        <v>-390.20049139552691</v>
      </c>
      <c r="M48" s="194">
        <f t="shared" si="55"/>
        <v>-390.20049139552691</v>
      </c>
      <c r="N48" s="78">
        <f t="shared" si="56"/>
        <v>2711.200491395527</v>
      </c>
      <c r="O48" s="165">
        <v>0</v>
      </c>
      <c r="P48" s="166">
        <f t="shared" si="57"/>
        <v>0</v>
      </c>
      <c r="Q48" s="119">
        <f t="shared" si="58"/>
        <v>-228.45518276289977</v>
      </c>
      <c r="R48" s="167">
        <f t="shared" si="59"/>
        <v>-12.565035051959487</v>
      </c>
      <c r="S48" s="165">
        <v>200</v>
      </c>
      <c r="T48" s="166">
        <f t="shared" si="60"/>
        <v>0</v>
      </c>
      <c r="U48" s="33">
        <f t="shared" si="61"/>
        <v>-241.02021781485925</v>
      </c>
      <c r="V48" s="167">
        <f t="shared" si="62"/>
        <v>-24.256111979817259</v>
      </c>
      <c r="W48" s="165">
        <v>200</v>
      </c>
      <c r="X48" s="166">
        <f t="shared" si="63"/>
        <v>0</v>
      </c>
      <c r="Y48" s="33">
        <f t="shared" si="64"/>
        <v>-265.27632979467654</v>
      </c>
      <c r="Z48" s="167">
        <f t="shared" si="65"/>
        <v>-25.590198138707208</v>
      </c>
      <c r="AA48" s="165">
        <v>200</v>
      </c>
      <c r="AB48" s="166">
        <f t="shared" si="66"/>
        <v>0</v>
      </c>
      <c r="AC48" s="33">
        <f t="shared" si="67"/>
        <v>-290.86652793338374</v>
      </c>
      <c r="AD48" s="167">
        <f t="shared" si="68"/>
        <v>-26.997659036336106</v>
      </c>
      <c r="AE48" s="165">
        <v>200</v>
      </c>
      <c r="AF48" s="166">
        <f t="shared" si="69"/>
        <v>0</v>
      </c>
      <c r="AG48" s="33">
        <f t="shared" si="70"/>
        <v>-317.86418696971987</v>
      </c>
      <c r="AH48" s="167">
        <f t="shared" si="71"/>
        <v>-28.482530283334594</v>
      </c>
      <c r="AI48" s="165">
        <v>200</v>
      </c>
      <c r="AJ48" s="166">
        <f t="shared" si="72"/>
        <v>0</v>
      </c>
      <c r="AK48" s="33">
        <f t="shared" si="73"/>
        <v>-346.34671725305446</v>
      </c>
      <c r="AL48" s="167">
        <f t="shared" si="74"/>
        <v>-30.049069448917997</v>
      </c>
      <c r="AM48" s="165">
        <v>200</v>
      </c>
      <c r="AN48" s="166">
        <f t="shared" si="75"/>
        <v>0</v>
      </c>
      <c r="AO48" s="33">
        <f t="shared" si="76"/>
        <v>-376.3957867019725</v>
      </c>
      <c r="AP48" s="167">
        <f t="shared" si="77"/>
        <v>-31.701768268608486</v>
      </c>
      <c r="AQ48" s="165">
        <v>200</v>
      </c>
      <c r="AR48" s="166">
        <f t="shared" si="78"/>
        <v>0</v>
      </c>
      <c r="AS48" s="33">
        <f t="shared" si="79"/>
        <v>-408.09755497058097</v>
      </c>
      <c r="AT48" s="167">
        <f t="shared" si="80"/>
        <v>-42.56682884794067</v>
      </c>
      <c r="AU48" s="165">
        <v>0</v>
      </c>
      <c r="AV48" s="166">
        <f t="shared" si="81"/>
        <v>0</v>
      </c>
      <c r="AW48" s="33">
        <f t="shared" si="82"/>
        <v>-250.66438381852163</v>
      </c>
      <c r="AX48" s="167">
        <f t="shared" si="83"/>
        <v>-17.546506867296515</v>
      </c>
      <c r="AY48" s="165">
        <v>400</v>
      </c>
      <c r="AZ48" s="166">
        <f t="shared" si="84"/>
        <v>0</v>
      </c>
      <c r="BA48" s="33">
        <f t="shared" si="85"/>
        <v>-468.21089068581813</v>
      </c>
      <c r="BB48" s="167">
        <f t="shared" si="86"/>
        <v>-60.774762348007279</v>
      </c>
      <c r="BC48" s="165">
        <v>0</v>
      </c>
      <c r="BD48" s="166">
        <f t="shared" si="87"/>
        <v>0</v>
      </c>
      <c r="BE48" s="33">
        <f t="shared" si="88"/>
        <v>-328.98565303382543</v>
      </c>
      <c r="BF48" s="167">
        <f t="shared" si="89"/>
        <v>-23.028995712367781</v>
      </c>
      <c r="BG48" s="165">
        <v>400</v>
      </c>
      <c r="BH48" s="166">
        <f t="shared" si="90"/>
        <v>0</v>
      </c>
      <c r="BI48" s="33">
        <f t="shared" si="91"/>
        <v>-552.01464874619319</v>
      </c>
      <c r="BJ48" s="167">
        <f t="shared" si="92"/>
        <v>-66.641025412233532</v>
      </c>
      <c r="BK48" s="87">
        <f t="shared" si="93"/>
        <v>2200</v>
      </c>
      <c r="BL48" s="33">
        <f>'2022-2023'!BL48+'2023-2024'!BK48</f>
        <v>14810</v>
      </c>
    </row>
    <row r="49" spans="1:64">
      <c r="A49" s="10" t="s">
        <v>620</v>
      </c>
      <c r="B49" s="10" t="s">
        <v>115</v>
      </c>
      <c r="C49" s="80">
        <v>0</v>
      </c>
      <c r="D49" s="79">
        <f t="shared" si="47"/>
        <v>2400</v>
      </c>
      <c r="E49" s="78">
        <f>'2022-2023'!I49</f>
        <v>4369.1577594801138</v>
      </c>
      <c r="F49" s="187">
        <f t="shared" si="48"/>
        <v>2400</v>
      </c>
      <c r="G49" s="33">
        <f t="shared" si="49"/>
        <v>1000</v>
      </c>
      <c r="H49" s="190">
        <f t="shared" si="50"/>
        <v>1400</v>
      </c>
      <c r="I49" s="78">
        <f t="shared" si="51"/>
        <v>11485.015134199435</v>
      </c>
      <c r="J49" s="78">
        <f t="shared" si="52"/>
        <v>0</v>
      </c>
      <c r="K49" s="78">
        <f t="shared" si="53"/>
        <v>55</v>
      </c>
      <c r="L49" s="78">
        <f t="shared" si="54"/>
        <v>5715.8573747193204</v>
      </c>
      <c r="M49" s="194">
        <f t="shared" si="55"/>
        <v>5715.8573747193204</v>
      </c>
      <c r="N49" s="78">
        <f t="shared" si="56"/>
        <v>-4660.8573747193204</v>
      </c>
      <c r="O49" s="165">
        <v>1000</v>
      </c>
      <c r="P49" s="166">
        <f t="shared" si="57"/>
        <v>0</v>
      </c>
      <c r="Q49" s="119">
        <f t="shared" si="58"/>
        <v>4569.1577594801138</v>
      </c>
      <c r="R49" s="167">
        <f t="shared" si="59"/>
        <v>196.30367677140626</v>
      </c>
      <c r="S49" s="165">
        <v>0</v>
      </c>
      <c r="T49" s="166">
        <f t="shared" si="60"/>
        <v>0</v>
      </c>
      <c r="U49" s="33">
        <f t="shared" si="61"/>
        <v>4965.4614362515204</v>
      </c>
      <c r="V49" s="167">
        <f t="shared" si="62"/>
        <v>273.1003789938336</v>
      </c>
      <c r="W49" s="165">
        <v>0</v>
      </c>
      <c r="X49" s="166">
        <f t="shared" si="63"/>
        <v>0</v>
      </c>
      <c r="Y49" s="33">
        <f t="shared" si="64"/>
        <v>5438.5618152453535</v>
      </c>
      <c r="Z49" s="167">
        <f t="shared" si="65"/>
        <v>299.12089983849444</v>
      </c>
      <c r="AA49" s="165">
        <v>0</v>
      </c>
      <c r="AB49" s="166">
        <f t="shared" si="66"/>
        <v>0</v>
      </c>
      <c r="AC49" s="33">
        <f t="shared" si="67"/>
        <v>5937.6827150838481</v>
      </c>
      <c r="AD49" s="167">
        <f t="shared" si="68"/>
        <v>326.57254932961166</v>
      </c>
      <c r="AE49" s="165">
        <v>0</v>
      </c>
      <c r="AF49" s="166">
        <f t="shared" si="69"/>
        <v>0</v>
      </c>
      <c r="AG49" s="33">
        <f t="shared" si="70"/>
        <v>6464.2552644134594</v>
      </c>
      <c r="AH49" s="167">
        <f t="shared" si="71"/>
        <v>355.53403954274029</v>
      </c>
      <c r="AI49" s="165">
        <v>0</v>
      </c>
      <c r="AJ49" s="166">
        <f t="shared" si="72"/>
        <v>0</v>
      </c>
      <c r="AK49" s="33">
        <f t="shared" si="73"/>
        <v>7019.7893039561995</v>
      </c>
      <c r="AL49" s="167">
        <f t="shared" si="74"/>
        <v>386.08841171759099</v>
      </c>
      <c r="AM49" s="165">
        <v>0</v>
      </c>
      <c r="AN49" s="166">
        <f t="shared" si="75"/>
        <v>0</v>
      </c>
      <c r="AO49" s="33">
        <f t="shared" si="76"/>
        <v>7605.8777156737906</v>
      </c>
      <c r="AP49" s="167">
        <f t="shared" si="77"/>
        <v>418.3232743620585</v>
      </c>
      <c r="AQ49" s="165">
        <v>0</v>
      </c>
      <c r="AR49" s="166">
        <f t="shared" si="78"/>
        <v>0</v>
      </c>
      <c r="AS49" s="33">
        <f t="shared" si="79"/>
        <v>8224.2009900358498</v>
      </c>
      <c r="AT49" s="167">
        <f t="shared" si="80"/>
        <v>575.69406930250955</v>
      </c>
      <c r="AU49" s="165">
        <v>0</v>
      </c>
      <c r="AV49" s="166">
        <f t="shared" si="81"/>
        <v>0</v>
      </c>
      <c r="AW49" s="33">
        <f t="shared" si="82"/>
        <v>8999.8950593383597</v>
      </c>
      <c r="AX49" s="167">
        <f t="shared" si="83"/>
        <v>629.99265415368529</v>
      </c>
      <c r="AY49" s="165">
        <v>0</v>
      </c>
      <c r="AZ49" s="166">
        <f t="shared" si="84"/>
        <v>0</v>
      </c>
      <c r="BA49" s="33">
        <f t="shared" si="85"/>
        <v>9829.8877134920458</v>
      </c>
      <c r="BB49" s="167">
        <f t="shared" si="86"/>
        <v>688.09213994444326</v>
      </c>
      <c r="BC49" s="165">
        <v>0</v>
      </c>
      <c r="BD49" s="166">
        <f t="shared" si="87"/>
        <v>0</v>
      </c>
      <c r="BE49" s="33">
        <f t="shared" si="88"/>
        <v>10717.979853436489</v>
      </c>
      <c r="BF49" s="167">
        <f t="shared" si="89"/>
        <v>750.25858974055427</v>
      </c>
      <c r="BG49" s="165">
        <v>0</v>
      </c>
      <c r="BH49" s="166">
        <f t="shared" si="90"/>
        <v>0</v>
      </c>
      <c r="BI49" s="33">
        <f t="shared" si="91"/>
        <v>11668.238443177044</v>
      </c>
      <c r="BJ49" s="167">
        <f t="shared" si="92"/>
        <v>816.77669102239315</v>
      </c>
      <c r="BK49" s="87">
        <f t="shared" si="93"/>
        <v>1000</v>
      </c>
      <c r="BL49" s="33">
        <f>'2022-2023'!BL49+'2023-2024'!BK49</f>
        <v>10410</v>
      </c>
    </row>
    <row r="50" spans="1:64">
      <c r="A50" s="10" t="s">
        <v>621</v>
      </c>
      <c r="B50" s="10" t="s">
        <v>126</v>
      </c>
      <c r="C50" s="80">
        <v>0</v>
      </c>
      <c r="D50" s="79">
        <f t="shared" si="47"/>
        <v>2400</v>
      </c>
      <c r="E50" s="78">
        <f>'2022-2023'!I50</f>
        <v>19183.146699702513</v>
      </c>
      <c r="F50" s="187">
        <f t="shared" si="48"/>
        <v>2400</v>
      </c>
      <c r="G50" s="33">
        <f t="shared" si="49"/>
        <v>0</v>
      </c>
      <c r="H50" s="190">
        <f t="shared" si="50"/>
        <v>2400</v>
      </c>
      <c r="I50" s="78">
        <f t="shared" si="51"/>
        <v>42815.809729181172</v>
      </c>
      <c r="J50" s="78">
        <f t="shared" si="52"/>
        <v>0</v>
      </c>
      <c r="K50" s="78">
        <f t="shared" si="53"/>
        <v>0</v>
      </c>
      <c r="L50" s="78">
        <f t="shared" si="54"/>
        <v>21232.663029478663</v>
      </c>
      <c r="M50" s="194">
        <f t="shared" si="55"/>
        <v>21232.663029478663</v>
      </c>
      <c r="N50" s="78">
        <f t="shared" si="56"/>
        <v>-21232.663029478663</v>
      </c>
      <c r="O50" s="165">
        <v>0</v>
      </c>
      <c r="P50" s="166">
        <f t="shared" si="57"/>
        <v>0</v>
      </c>
      <c r="Q50" s="119">
        <f t="shared" si="58"/>
        <v>19383.146699702513</v>
      </c>
      <c r="R50" s="167">
        <f t="shared" si="59"/>
        <v>1066.0730684836383</v>
      </c>
      <c r="S50" s="165">
        <v>0</v>
      </c>
      <c r="T50" s="166">
        <f t="shared" si="60"/>
        <v>0</v>
      </c>
      <c r="U50" s="33">
        <f t="shared" si="61"/>
        <v>20649.219768186151</v>
      </c>
      <c r="V50" s="167">
        <f t="shared" si="62"/>
        <v>1135.7070872502384</v>
      </c>
      <c r="W50" s="165">
        <v>0</v>
      </c>
      <c r="X50" s="166">
        <f t="shared" si="63"/>
        <v>0</v>
      </c>
      <c r="Y50" s="33">
        <f t="shared" si="64"/>
        <v>21984.926855436388</v>
      </c>
      <c r="Z50" s="167">
        <f t="shared" si="65"/>
        <v>1209.1709770490013</v>
      </c>
      <c r="AA50" s="165">
        <v>0</v>
      </c>
      <c r="AB50" s="166">
        <f t="shared" si="66"/>
        <v>0</v>
      </c>
      <c r="AC50" s="33">
        <f t="shared" si="67"/>
        <v>23394.09783248539</v>
      </c>
      <c r="AD50" s="167">
        <f t="shared" si="68"/>
        <v>1286.6753807866965</v>
      </c>
      <c r="AE50" s="165">
        <v>0</v>
      </c>
      <c r="AF50" s="166">
        <f t="shared" si="69"/>
        <v>0</v>
      </c>
      <c r="AG50" s="33">
        <f t="shared" si="70"/>
        <v>24880.773213272085</v>
      </c>
      <c r="AH50" s="167">
        <f t="shared" si="71"/>
        <v>1368.4425267299646</v>
      </c>
      <c r="AI50" s="165">
        <v>0</v>
      </c>
      <c r="AJ50" s="166">
        <f t="shared" si="72"/>
        <v>0</v>
      </c>
      <c r="AK50" s="33">
        <f t="shared" si="73"/>
        <v>26449.215740002048</v>
      </c>
      <c r="AL50" s="167">
        <f t="shared" si="74"/>
        <v>1454.7068657001125</v>
      </c>
      <c r="AM50" s="165">
        <v>0</v>
      </c>
      <c r="AN50" s="166">
        <f t="shared" si="75"/>
        <v>0</v>
      </c>
      <c r="AO50" s="33">
        <f t="shared" si="76"/>
        <v>28103.922605702159</v>
      </c>
      <c r="AP50" s="167">
        <f t="shared" si="77"/>
        <v>1545.7157433136188</v>
      </c>
      <c r="AQ50" s="165">
        <v>0</v>
      </c>
      <c r="AR50" s="166">
        <f t="shared" si="78"/>
        <v>0</v>
      </c>
      <c r="AS50" s="33">
        <f t="shared" si="79"/>
        <v>29849.638349015779</v>
      </c>
      <c r="AT50" s="167">
        <f t="shared" si="80"/>
        <v>2089.4746844311048</v>
      </c>
      <c r="AU50" s="165">
        <v>0</v>
      </c>
      <c r="AV50" s="166">
        <f t="shared" si="81"/>
        <v>0</v>
      </c>
      <c r="AW50" s="33">
        <f t="shared" si="82"/>
        <v>32139.113033446883</v>
      </c>
      <c r="AX50" s="167">
        <f t="shared" si="83"/>
        <v>2249.737912341282</v>
      </c>
      <c r="AY50" s="165">
        <v>0</v>
      </c>
      <c r="AZ50" s="166">
        <f t="shared" si="84"/>
        <v>0</v>
      </c>
      <c r="BA50" s="33">
        <f t="shared" si="85"/>
        <v>34588.850945788166</v>
      </c>
      <c r="BB50" s="167">
        <f t="shared" si="86"/>
        <v>2421.2195662051718</v>
      </c>
      <c r="BC50" s="165">
        <v>0</v>
      </c>
      <c r="BD50" s="166">
        <f t="shared" si="87"/>
        <v>0</v>
      </c>
      <c r="BE50" s="33">
        <f t="shared" si="88"/>
        <v>37210.070511993341</v>
      </c>
      <c r="BF50" s="167">
        <f t="shared" si="89"/>
        <v>2604.7049358395343</v>
      </c>
      <c r="BG50" s="165">
        <v>0</v>
      </c>
      <c r="BH50" s="166">
        <f t="shared" si="90"/>
        <v>0</v>
      </c>
      <c r="BI50" s="33">
        <f t="shared" si="91"/>
        <v>40014.775447832872</v>
      </c>
      <c r="BJ50" s="167">
        <f t="shared" si="92"/>
        <v>2801.0342813483012</v>
      </c>
      <c r="BK50" s="87">
        <f t="shared" si="93"/>
        <v>0</v>
      </c>
      <c r="BL50" s="33">
        <f>'2022-2023'!BL50+'2023-2024'!BK50</f>
        <v>500</v>
      </c>
    </row>
    <row r="51" spans="1:64">
      <c r="A51" s="10" t="s">
        <v>622</v>
      </c>
      <c r="B51" s="10" t="s">
        <v>117</v>
      </c>
      <c r="C51" s="80">
        <v>0</v>
      </c>
      <c r="D51" s="79">
        <f t="shared" si="47"/>
        <v>2400</v>
      </c>
      <c r="E51" s="78">
        <f>'2022-2023'!I51</f>
        <v>18163.015312171799</v>
      </c>
      <c r="F51" s="187">
        <f t="shared" si="48"/>
        <v>2400</v>
      </c>
      <c r="G51" s="33">
        <f t="shared" si="49"/>
        <v>0</v>
      </c>
      <c r="H51" s="190">
        <f t="shared" si="50"/>
        <v>2400</v>
      </c>
      <c r="I51" s="78">
        <f t="shared" si="51"/>
        <v>40734.473633530506</v>
      </c>
      <c r="J51" s="78">
        <f t="shared" si="52"/>
        <v>0</v>
      </c>
      <c r="K51" s="78">
        <f t="shared" si="53"/>
        <v>0</v>
      </c>
      <c r="L51" s="78">
        <f t="shared" si="54"/>
        <v>20171.458321358703</v>
      </c>
      <c r="M51" s="194">
        <f t="shared" si="55"/>
        <v>20171.458321358703</v>
      </c>
      <c r="N51" s="78">
        <f t="shared" si="56"/>
        <v>-20171.458321358703</v>
      </c>
      <c r="O51" s="165">
        <v>0</v>
      </c>
      <c r="P51" s="166">
        <f t="shared" si="57"/>
        <v>0</v>
      </c>
      <c r="Q51" s="119">
        <f t="shared" si="58"/>
        <v>18363.015312171799</v>
      </c>
      <c r="R51" s="167">
        <f t="shared" si="59"/>
        <v>1009.9658421694489</v>
      </c>
      <c r="S51" s="165">
        <v>0</v>
      </c>
      <c r="T51" s="166">
        <f t="shared" si="60"/>
        <v>0</v>
      </c>
      <c r="U51" s="33">
        <f t="shared" si="61"/>
        <v>19572.981154341247</v>
      </c>
      <c r="V51" s="167">
        <f t="shared" si="62"/>
        <v>1076.5139634887687</v>
      </c>
      <c r="W51" s="165">
        <v>0</v>
      </c>
      <c r="X51" s="166">
        <f t="shared" si="63"/>
        <v>0</v>
      </c>
      <c r="Y51" s="33">
        <f t="shared" si="64"/>
        <v>20849.495117830014</v>
      </c>
      <c r="Z51" s="167">
        <f t="shared" si="65"/>
        <v>1146.7222314806509</v>
      </c>
      <c r="AA51" s="165">
        <v>0</v>
      </c>
      <c r="AB51" s="166">
        <f t="shared" si="66"/>
        <v>0</v>
      </c>
      <c r="AC51" s="33">
        <f t="shared" si="67"/>
        <v>22196.217349310664</v>
      </c>
      <c r="AD51" s="167">
        <f t="shared" si="68"/>
        <v>1220.7919542120865</v>
      </c>
      <c r="AE51" s="165">
        <v>0</v>
      </c>
      <c r="AF51" s="166">
        <f t="shared" si="69"/>
        <v>0</v>
      </c>
      <c r="AG51" s="33">
        <f t="shared" si="70"/>
        <v>23617.009303522751</v>
      </c>
      <c r="AH51" s="167">
        <f t="shared" si="71"/>
        <v>1298.9355116937513</v>
      </c>
      <c r="AI51" s="165">
        <v>0</v>
      </c>
      <c r="AJ51" s="166">
        <f t="shared" si="72"/>
        <v>0</v>
      </c>
      <c r="AK51" s="33">
        <f t="shared" si="73"/>
        <v>25115.944815216502</v>
      </c>
      <c r="AL51" s="167">
        <f t="shared" si="74"/>
        <v>1381.3769648369077</v>
      </c>
      <c r="AM51" s="165">
        <v>0</v>
      </c>
      <c r="AN51" s="166">
        <f t="shared" si="75"/>
        <v>0</v>
      </c>
      <c r="AO51" s="33">
        <f t="shared" si="76"/>
        <v>26697.321780053411</v>
      </c>
      <c r="AP51" s="167">
        <f t="shared" si="77"/>
        <v>1468.3526979029377</v>
      </c>
      <c r="AQ51" s="165">
        <v>0</v>
      </c>
      <c r="AR51" s="166">
        <f t="shared" si="78"/>
        <v>0</v>
      </c>
      <c r="AS51" s="33">
        <f t="shared" si="79"/>
        <v>28365.674477956349</v>
      </c>
      <c r="AT51" s="167">
        <f t="shared" si="80"/>
        <v>1985.5972134569447</v>
      </c>
      <c r="AU51" s="165">
        <v>0</v>
      </c>
      <c r="AV51" s="166">
        <f t="shared" si="81"/>
        <v>0</v>
      </c>
      <c r="AW51" s="33">
        <f t="shared" si="82"/>
        <v>30551.271691413294</v>
      </c>
      <c r="AX51" s="167">
        <f t="shared" si="83"/>
        <v>2138.5890183989309</v>
      </c>
      <c r="AY51" s="165">
        <v>0</v>
      </c>
      <c r="AZ51" s="166">
        <f t="shared" si="84"/>
        <v>0</v>
      </c>
      <c r="BA51" s="33">
        <f t="shared" si="85"/>
        <v>32889.860709812223</v>
      </c>
      <c r="BB51" s="167">
        <f t="shared" si="86"/>
        <v>2302.290249686856</v>
      </c>
      <c r="BC51" s="165">
        <v>0</v>
      </c>
      <c r="BD51" s="166">
        <f t="shared" si="87"/>
        <v>0</v>
      </c>
      <c r="BE51" s="33">
        <f t="shared" si="88"/>
        <v>35392.150959499078</v>
      </c>
      <c r="BF51" s="167">
        <f t="shared" si="89"/>
        <v>2477.4505671649358</v>
      </c>
      <c r="BG51" s="165">
        <v>0</v>
      </c>
      <c r="BH51" s="166">
        <f t="shared" si="90"/>
        <v>0</v>
      </c>
      <c r="BI51" s="33">
        <f t="shared" si="91"/>
        <v>38069.601526664017</v>
      </c>
      <c r="BJ51" s="167">
        <f t="shared" si="92"/>
        <v>2664.8721068664813</v>
      </c>
      <c r="BK51" s="87">
        <f t="shared" si="93"/>
        <v>0</v>
      </c>
      <c r="BL51" s="33">
        <f>'2022-2023'!BL51+'2023-2024'!BK51</f>
        <v>900</v>
      </c>
    </row>
    <row r="52" spans="1:64">
      <c r="A52" s="10" t="s">
        <v>623</v>
      </c>
      <c r="B52" s="10" t="s">
        <v>112</v>
      </c>
      <c r="C52" s="80">
        <v>0</v>
      </c>
      <c r="D52" s="79">
        <f t="shared" si="47"/>
        <v>2400</v>
      </c>
      <c r="E52" s="78">
        <f>'2022-2023'!I52</f>
        <v>19693.212393467868</v>
      </c>
      <c r="F52" s="187">
        <f t="shared" si="48"/>
        <v>2400</v>
      </c>
      <c r="G52" s="33">
        <f t="shared" si="49"/>
        <v>0</v>
      </c>
      <c r="H52" s="190">
        <f t="shared" si="50"/>
        <v>2400</v>
      </c>
      <c r="I52" s="78">
        <f t="shared" si="51"/>
        <v>43856.477777006519</v>
      </c>
      <c r="J52" s="78">
        <f t="shared" si="52"/>
        <v>0</v>
      </c>
      <c r="K52" s="78">
        <f t="shared" si="53"/>
        <v>0</v>
      </c>
      <c r="L52" s="78">
        <f t="shared" si="54"/>
        <v>21763.265383538652</v>
      </c>
      <c r="M52" s="194">
        <f t="shared" si="55"/>
        <v>21763.265383538652</v>
      </c>
      <c r="N52" s="78">
        <f t="shared" si="56"/>
        <v>-21763.265383538652</v>
      </c>
      <c r="O52" s="165">
        <v>0</v>
      </c>
      <c r="P52" s="166">
        <f t="shared" si="57"/>
        <v>0</v>
      </c>
      <c r="Q52" s="119">
        <f t="shared" si="58"/>
        <v>19893.212393467868</v>
      </c>
      <c r="R52" s="167">
        <f t="shared" si="59"/>
        <v>1094.1266816407326</v>
      </c>
      <c r="S52" s="165">
        <v>0</v>
      </c>
      <c r="T52" s="166">
        <f t="shared" si="60"/>
        <v>0</v>
      </c>
      <c r="U52" s="33">
        <f t="shared" si="61"/>
        <v>21187.339075108601</v>
      </c>
      <c r="V52" s="167">
        <f t="shared" si="62"/>
        <v>1165.3036491309731</v>
      </c>
      <c r="W52" s="165">
        <v>0</v>
      </c>
      <c r="X52" s="166">
        <f t="shared" si="63"/>
        <v>0</v>
      </c>
      <c r="Y52" s="33">
        <f t="shared" si="64"/>
        <v>22552.642724239573</v>
      </c>
      <c r="Z52" s="167">
        <f t="shared" si="65"/>
        <v>1240.3953498331766</v>
      </c>
      <c r="AA52" s="165">
        <v>0</v>
      </c>
      <c r="AB52" s="166">
        <f t="shared" si="66"/>
        <v>0</v>
      </c>
      <c r="AC52" s="33">
        <f t="shared" si="67"/>
        <v>23993.038074072749</v>
      </c>
      <c r="AD52" s="167">
        <f t="shared" si="68"/>
        <v>1319.6170940740012</v>
      </c>
      <c r="AE52" s="165">
        <v>0</v>
      </c>
      <c r="AF52" s="166">
        <f t="shared" si="69"/>
        <v>0</v>
      </c>
      <c r="AG52" s="33">
        <f t="shared" si="70"/>
        <v>25512.65516814675</v>
      </c>
      <c r="AH52" s="167">
        <f t="shared" si="71"/>
        <v>1403.1960342480713</v>
      </c>
      <c r="AI52" s="165">
        <v>0</v>
      </c>
      <c r="AJ52" s="166">
        <f t="shared" si="72"/>
        <v>0</v>
      </c>
      <c r="AK52" s="33">
        <f t="shared" si="73"/>
        <v>27115.851202394821</v>
      </c>
      <c r="AL52" s="167">
        <f t="shared" si="74"/>
        <v>1491.3718161317151</v>
      </c>
      <c r="AM52" s="165">
        <v>0</v>
      </c>
      <c r="AN52" s="166">
        <f t="shared" si="75"/>
        <v>0</v>
      </c>
      <c r="AO52" s="33">
        <f t="shared" si="76"/>
        <v>28807.223018526536</v>
      </c>
      <c r="AP52" s="167">
        <f t="shared" si="77"/>
        <v>1584.3972660189595</v>
      </c>
      <c r="AQ52" s="165">
        <v>0</v>
      </c>
      <c r="AR52" s="166">
        <f t="shared" si="78"/>
        <v>0</v>
      </c>
      <c r="AS52" s="33">
        <f t="shared" si="79"/>
        <v>30591.620284545497</v>
      </c>
      <c r="AT52" s="167">
        <f t="shared" si="80"/>
        <v>2141.4134199181849</v>
      </c>
      <c r="AU52" s="165">
        <v>0</v>
      </c>
      <c r="AV52" s="166">
        <f t="shared" si="81"/>
        <v>0</v>
      </c>
      <c r="AW52" s="33">
        <f t="shared" si="82"/>
        <v>32933.033704463684</v>
      </c>
      <c r="AX52" s="167">
        <f t="shared" si="83"/>
        <v>2305.3123593124583</v>
      </c>
      <c r="AY52" s="165">
        <v>0</v>
      </c>
      <c r="AZ52" s="166">
        <f t="shared" si="84"/>
        <v>0</v>
      </c>
      <c r="BA52" s="33">
        <f t="shared" si="85"/>
        <v>35438.346063776145</v>
      </c>
      <c r="BB52" s="167">
        <f t="shared" si="86"/>
        <v>2480.6842244643303</v>
      </c>
      <c r="BC52" s="165">
        <v>0</v>
      </c>
      <c r="BD52" s="166">
        <f t="shared" si="87"/>
        <v>0</v>
      </c>
      <c r="BE52" s="33">
        <f t="shared" si="88"/>
        <v>38119.030288240479</v>
      </c>
      <c r="BF52" s="167">
        <f t="shared" si="89"/>
        <v>2668.332120176834</v>
      </c>
      <c r="BG52" s="165">
        <v>0</v>
      </c>
      <c r="BH52" s="166">
        <f t="shared" si="90"/>
        <v>0</v>
      </c>
      <c r="BI52" s="33">
        <f t="shared" si="91"/>
        <v>40987.362408417313</v>
      </c>
      <c r="BJ52" s="167">
        <f t="shared" si="92"/>
        <v>2869.1153685892123</v>
      </c>
      <c r="BK52" s="87">
        <f t="shared" si="93"/>
        <v>0</v>
      </c>
      <c r="BL52" s="33">
        <f>'2022-2023'!BL52+'2023-2024'!BK52</f>
        <v>150</v>
      </c>
    </row>
    <row r="53" spans="1:64">
      <c r="A53" s="10" t="s">
        <v>624</v>
      </c>
      <c r="B53" s="10" t="s">
        <v>117</v>
      </c>
      <c r="C53" s="80">
        <v>0</v>
      </c>
      <c r="D53" s="79">
        <f t="shared" si="47"/>
        <v>2400</v>
      </c>
      <c r="E53" s="78">
        <f>'2022-2023'!I53</f>
        <v>8165.7277143708016</v>
      </c>
      <c r="F53" s="187">
        <f t="shared" si="48"/>
        <v>2400</v>
      </c>
      <c r="G53" s="33">
        <f t="shared" si="49"/>
        <v>0</v>
      </c>
      <c r="H53" s="190">
        <f t="shared" si="50"/>
        <v>2400</v>
      </c>
      <c r="I53" s="78">
        <f t="shared" si="51"/>
        <v>20337.379896153841</v>
      </c>
      <c r="J53" s="78">
        <f t="shared" si="52"/>
        <v>0</v>
      </c>
      <c r="K53" s="78">
        <f t="shared" si="53"/>
        <v>0</v>
      </c>
      <c r="L53" s="78">
        <f t="shared" si="54"/>
        <v>9771.6521817830399</v>
      </c>
      <c r="M53" s="194">
        <f t="shared" si="55"/>
        <v>9771.6521817830399</v>
      </c>
      <c r="N53" s="78">
        <f t="shared" si="56"/>
        <v>-9771.6521817830399</v>
      </c>
      <c r="O53" s="165">
        <v>0</v>
      </c>
      <c r="P53" s="166">
        <f t="shared" si="57"/>
        <v>0</v>
      </c>
      <c r="Q53" s="119">
        <f t="shared" si="58"/>
        <v>8365.7277143708016</v>
      </c>
      <c r="R53" s="167">
        <f t="shared" si="59"/>
        <v>460.1150242903941</v>
      </c>
      <c r="S53" s="165">
        <v>0</v>
      </c>
      <c r="T53" s="166">
        <f t="shared" si="60"/>
        <v>0</v>
      </c>
      <c r="U53" s="33">
        <f t="shared" si="61"/>
        <v>9025.8427386611947</v>
      </c>
      <c r="V53" s="167">
        <f t="shared" si="62"/>
        <v>496.42135062636572</v>
      </c>
      <c r="W53" s="165">
        <v>0</v>
      </c>
      <c r="X53" s="166">
        <f t="shared" si="63"/>
        <v>0</v>
      </c>
      <c r="Y53" s="33">
        <f t="shared" si="64"/>
        <v>9722.2640892875606</v>
      </c>
      <c r="Z53" s="167">
        <f t="shared" si="65"/>
        <v>534.72452491081583</v>
      </c>
      <c r="AA53" s="165">
        <v>0</v>
      </c>
      <c r="AB53" s="166">
        <f t="shared" si="66"/>
        <v>0</v>
      </c>
      <c r="AC53" s="33">
        <f t="shared" si="67"/>
        <v>10456.988614198377</v>
      </c>
      <c r="AD53" s="167">
        <f t="shared" si="68"/>
        <v>575.13437378091078</v>
      </c>
      <c r="AE53" s="165">
        <v>0</v>
      </c>
      <c r="AF53" s="166">
        <f t="shared" si="69"/>
        <v>0</v>
      </c>
      <c r="AG53" s="33">
        <f t="shared" si="70"/>
        <v>11232.122987979288</v>
      </c>
      <c r="AH53" s="167">
        <f t="shared" si="71"/>
        <v>617.76676433886087</v>
      </c>
      <c r="AI53" s="165">
        <v>0</v>
      </c>
      <c r="AJ53" s="166">
        <f t="shared" si="72"/>
        <v>0</v>
      </c>
      <c r="AK53" s="33">
        <f t="shared" si="73"/>
        <v>12049.889752318149</v>
      </c>
      <c r="AL53" s="167">
        <f t="shared" si="74"/>
        <v>662.74393637749824</v>
      </c>
      <c r="AM53" s="165">
        <v>0</v>
      </c>
      <c r="AN53" s="166">
        <f t="shared" si="75"/>
        <v>0</v>
      </c>
      <c r="AO53" s="33">
        <f t="shared" si="76"/>
        <v>12912.633688695647</v>
      </c>
      <c r="AP53" s="167">
        <f t="shared" si="77"/>
        <v>710.19485287826058</v>
      </c>
      <c r="AQ53" s="165">
        <v>0</v>
      </c>
      <c r="AR53" s="166">
        <f t="shared" si="78"/>
        <v>0</v>
      </c>
      <c r="AS53" s="33">
        <f t="shared" si="79"/>
        <v>13822.828541573908</v>
      </c>
      <c r="AT53" s="167">
        <f t="shared" si="80"/>
        <v>967.59799791017372</v>
      </c>
      <c r="AU53" s="165">
        <v>0</v>
      </c>
      <c r="AV53" s="166">
        <f t="shared" si="81"/>
        <v>0</v>
      </c>
      <c r="AW53" s="33">
        <f t="shared" si="82"/>
        <v>14990.426539484082</v>
      </c>
      <c r="AX53" s="167">
        <f t="shared" si="83"/>
        <v>1049.3298577638859</v>
      </c>
      <c r="AY53" s="165">
        <v>0</v>
      </c>
      <c r="AZ53" s="166">
        <f t="shared" si="84"/>
        <v>0</v>
      </c>
      <c r="BA53" s="33">
        <f t="shared" si="85"/>
        <v>16239.756397247967</v>
      </c>
      <c r="BB53" s="167">
        <f t="shared" si="86"/>
        <v>1136.7829478073579</v>
      </c>
      <c r="BC53" s="165">
        <v>0</v>
      </c>
      <c r="BD53" s="166">
        <f t="shared" si="87"/>
        <v>0</v>
      </c>
      <c r="BE53" s="33">
        <f t="shared" si="88"/>
        <v>17576.539345055327</v>
      </c>
      <c r="BF53" s="167">
        <f t="shared" si="89"/>
        <v>1230.357754153873</v>
      </c>
      <c r="BG53" s="165">
        <v>0</v>
      </c>
      <c r="BH53" s="166">
        <f t="shared" si="90"/>
        <v>0</v>
      </c>
      <c r="BI53" s="33">
        <f t="shared" si="91"/>
        <v>19006.8970992092</v>
      </c>
      <c r="BJ53" s="167">
        <f t="shared" si="92"/>
        <v>1330.4827969446442</v>
      </c>
      <c r="BK53" s="87">
        <f t="shared" si="93"/>
        <v>0</v>
      </c>
      <c r="BL53" s="33">
        <f>'2022-2023'!BL53+'2023-2024'!BK53</f>
        <v>5800</v>
      </c>
    </row>
    <row r="54" spans="1:64">
      <c r="A54" s="10" t="s">
        <v>625</v>
      </c>
      <c r="B54" s="10" t="s">
        <v>116</v>
      </c>
      <c r="C54" s="80">
        <v>0</v>
      </c>
      <c r="D54" s="79">
        <f t="shared" si="47"/>
        <v>2400</v>
      </c>
      <c r="E54" s="78">
        <f>'2022-2023'!I54</f>
        <v>2106.1472724383602</v>
      </c>
      <c r="F54" s="187">
        <f t="shared" si="48"/>
        <v>2400</v>
      </c>
      <c r="G54" s="33">
        <f t="shared" si="49"/>
        <v>0</v>
      </c>
      <c r="H54" s="190">
        <f t="shared" si="50"/>
        <v>2400</v>
      </c>
      <c r="I54" s="78">
        <f t="shared" si="51"/>
        <v>7974.2434879888051</v>
      </c>
      <c r="J54" s="78">
        <f t="shared" si="52"/>
        <v>0</v>
      </c>
      <c r="K54" s="78">
        <f t="shared" si="53"/>
        <v>0</v>
      </c>
      <c r="L54" s="78">
        <f t="shared" si="54"/>
        <v>3468.0962155504449</v>
      </c>
      <c r="M54" s="194">
        <f t="shared" si="55"/>
        <v>3468.0962155504449</v>
      </c>
      <c r="N54" s="78">
        <f t="shared" si="56"/>
        <v>-3468.0962155504449</v>
      </c>
      <c r="O54" s="165">
        <v>0</v>
      </c>
      <c r="P54" s="166">
        <f t="shared" si="57"/>
        <v>0</v>
      </c>
      <c r="Q54" s="119">
        <f t="shared" si="58"/>
        <v>2306.1472724383602</v>
      </c>
      <c r="R54" s="167">
        <f t="shared" si="59"/>
        <v>126.83809998410982</v>
      </c>
      <c r="S54" s="165">
        <v>0</v>
      </c>
      <c r="T54" s="166">
        <f t="shared" si="60"/>
        <v>0</v>
      </c>
      <c r="U54" s="33">
        <f t="shared" si="61"/>
        <v>2632.9853724224699</v>
      </c>
      <c r="V54" s="167">
        <f t="shared" si="62"/>
        <v>144.81419548323584</v>
      </c>
      <c r="W54" s="165">
        <v>0</v>
      </c>
      <c r="X54" s="166">
        <f t="shared" si="63"/>
        <v>0</v>
      </c>
      <c r="Y54" s="33">
        <f t="shared" si="64"/>
        <v>2977.7995679057058</v>
      </c>
      <c r="Z54" s="167">
        <f t="shared" si="65"/>
        <v>163.77897623481383</v>
      </c>
      <c r="AA54" s="165">
        <v>0</v>
      </c>
      <c r="AB54" s="166">
        <f t="shared" si="66"/>
        <v>0</v>
      </c>
      <c r="AC54" s="33">
        <f t="shared" si="67"/>
        <v>3341.5785441405196</v>
      </c>
      <c r="AD54" s="167">
        <f t="shared" si="68"/>
        <v>183.78681992772857</v>
      </c>
      <c r="AE54" s="165">
        <v>0</v>
      </c>
      <c r="AF54" s="166">
        <f t="shared" si="69"/>
        <v>0</v>
      </c>
      <c r="AG54" s="33">
        <f t="shared" si="70"/>
        <v>3725.3653640682483</v>
      </c>
      <c r="AH54" s="167">
        <f t="shared" si="71"/>
        <v>204.89509502375367</v>
      </c>
      <c r="AI54" s="165">
        <v>0</v>
      </c>
      <c r="AJ54" s="166">
        <f t="shared" si="72"/>
        <v>0</v>
      </c>
      <c r="AK54" s="33">
        <f t="shared" si="73"/>
        <v>4130.2604590920018</v>
      </c>
      <c r="AL54" s="167">
        <f t="shared" si="74"/>
        <v>227.1643252500601</v>
      </c>
      <c r="AM54" s="165">
        <v>0</v>
      </c>
      <c r="AN54" s="166">
        <f t="shared" si="75"/>
        <v>0</v>
      </c>
      <c r="AO54" s="33">
        <f t="shared" si="76"/>
        <v>4557.4247843420617</v>
      </c>
      <c r="AP54" s="167">
        <f t="shared" si="77"/>
        <v>250.6583631388134</v>
      </c>
      <c r="AQ54" s="165">
        <v>0</v>
      </c>
      <c r="AR54" s="166">
        <f t="shared" si="78"/>
        <v>0</v>
      </c>
      <c r="AS54" s="33">
        <f t="shared" si="79"/>
        <v>5008.0831474808747</v>
      </c>
      <c r="AT54" s="167">
        <f t="shared" si="80"/>
        <v>350.56582032366128</v>
      </c>
      <c r="AU54" s="165">
        <v>0</v>
      </c>
      <c r="AV54" s="166">
        <f t="shared" si="81"/>
        <v>0</v>
      </c>
      <c r="AW54" s="33">
        <f t="shared" si="82"/>
        <v>5558.6489678045364</v>
      </c>
      <c r="AX54" s="167">
        <f t="shared" si="83"/>
        <v>389.10542774631756</v>
      </c>
      <c r="AY54" s="165">
        <v>0</v>
      </c>
      <c r="AZ54" s="166">
        <f t="shared" si="84"/>
        <v>0</v>
      </c>
      <c r="BA54" s="33">
        <f t="shared" si="85"/>
        <v>6147.7543955508536</v>
      </c>
      <c r="BB54" s="167">
        <f t="shared" si="86"/>
        <v>430.34280768855979</v>
      </c>
      <c r="BC54" s="165">
        <v>0</v>
      </c>
      <c r="BD54" s="166">
        <f t="shared" si="87"/>
        <v>0</v>
      </c>
      <c r="BE54" s="33">
        <f t="shared" si="88"/>
        <v>6778.0972032394129</v>
      </c>
      <c r="BF54" s="167">
        <f t="shared" si="89"/>
        <v>474.46680422675894</v>
      </c>
      <c r="BG54" s="165">
        <v>0</v>
      </c>
      <c r="BH54" s="166">
        <f t="shared" si="90"/>
        <v>0</v>
      </c>
      <c r="BI54" s="33">
        <f t="shared" si="91"/>
        <v>7452.5640074661715</v>
      </c>
      <c r="BJ54" s="167">
        <f t="shared" si="92"/>
        <v>521.67948052263205</v>
      </c>
      <c r="BK54" s="87">
        <f t="shared" si="93"/>
        <v>0</v>
      </c>
      <c r="BL54" s="33">
        <f>'2022-2023'!BL54+'2023-2024'!BK54</f>
        <v>8970</v>
      </c>
    </row>
    <row r="55" spans="1:64">
      <c r="A55" s="10" t="s">
        <v>626</v>
      </c>
      <c r="B55" s="10" t="s">
        <v>124</v>
      </c>
      <c r="C55" s="80">
        <v>0</v>
      </c>
      <c r="D55" s="79">
        <f t="shared" si="47"/>
        <v>2400</v>
      </c>
      <c r="E55" s="78">
        <f>'2022-2023'!I55</f>
        <v>2994.2759428007976</v>
      </c>
      <c r="F55" s="187">
        <f t="shared" si="48"/>
        <v>2400</v>
      </c>
      <c r="G55" s="33">
        <f t="shared" si="49"/>
        <v>0</v>
      </c>
      <c r="H55" s="190">
        <f t="shared" si="50"/>
        <v>2400</v>
      </c>
      <c r="I55" s="78">
        <f t="shared" si="51"/>
        <v>9786.2593535940869</v>
      </c>
      <c r="J55" s="78">
        <f t="shared" si="52"/>
        <v>0</v>
      </c>
      <c r="K55" s="78">
        <f t="shared" si="53"/>
        <v>0</v>
      </c>
      <c r="L55" s="78">
        <f t="shared" si="54"/>
        <v>4391.9834107932902</v>
      </c>
      <c r="M55" s="194">
        <f t="shared" si="55"/>
        <v>4391.9834107932902</v>
      </c>
      <c r="N55" s="78">
        <f t="shared" si="56"/>
        <v>-4391.9834107932902</v>
      </c>
      <c r="O55" s="165">
        <v>0</v>
      </c>
      <c r="P55" s="166">
        <f t="shared" si="57"/>
        <v>0</v>
      </c>
      <c r="Q55" s="119">
        <f t="shared" si="58"/>
        <v>3194.2759428007976</v>
      </c>
      <c r="R55" s="167">
        <f t="shared" si="59"/>
        <v>175.68517685404387</v>
      </c>
      <c r="S55" s="165">
        <v>0</v>
      </c>
      <c r="T55" s="166">
        <f t="shared" si="60"/>
        <v>0</v>
      </c>
      <c r="U55" s="33">
        <f t="shared" si="61"/>
        <v>3569.9611196548412</v>
      </c>
      <c r="V55" s="167">
        <f t="shared" si="62"/>
        <v>196.34786158101628</v>
      </c>
      <c r="W55" s="165">
        <v>0</v>
      </c>
      <c r="X55" s="166">
        <f t="shared" si="63"/>
        <v>0</v>
      </c>
      <c r="Y55" s="33">
        <f t="shared" si="64"/>
        <v>3966.3089812358576</v>
      </c>
      <c r="Z55" s="167">
        <f t="shared" si="65"/>
        <v>218.14699396797218</v>
      </c>
      <c r="AA55" s="165">
        <v>0</v>
      </c>
      <c r="AB55" s="166">
        <f t="shared" si="66"/>
        <v>0</v>
      </c>
      <c r="AC55" s="33">
        <f t="shared" si="67"/>
        <v>4384.4559752038294</v>
      </c>
      <c r="AD55" s="167">
        <f t="shared" si="68"/>
        <v>241.14507863621063</v>
      </c>
      <c r="AE55" s="165">
        <v>0</v>
      </c>
      <c r="AF55" s="166">
        <f t="shared" si="69"/>
        <v>0</v>
      </c>
      <c r="AG55" s="33">
        <f t="shared" si="70"/>
        <v>4825.6010538400396</v>
      </c>
      <c r="AH55" s="167">
        <f t="shared" si="71"/>
        <v>265.40805796120219</v>
      </c>
      <c r="AI55" s="165">
        <v>0</v>
      </c>
      <c r="AJ55" s="166">
        <f t="shared" si="72"/>
        <v>0</v>
      </c>
      <c r="AK55" s="33">
        <f t="shared" si="73"/>
        <v>5291.0091118012415</v>
      </c>
      <c r="AL55" s="167">
        <f t="shared" si="74"/>
        <v>291.00550114906827</v>
      </c>
      <c r="AM55" s="165">
        <v>0</v>
      </c>
      <c r="AN55" s="166">
        <f t="shared" si="75"/>
        <v>0</v>
      </c>
      <c r="AO55" s="33">
        <f t="shared" si="76"/>
        <v>5782.01461295031</v>
      </c>
      <c r="AP55" s="167">
        <f t="shared" si="77"/>
        <v>318.01080371226703</v>
      </c>
      <c r="AQ55" s="165">
        <v>0</v>
      </c>
      <c r="AR55" s="166">
        <f t="shared" si="78"/>
        <v>0</v>
      </c>
      <c r="AS55" s="33">
        <f t="shared" si="79"/>
        <v>6300.0254166625773</v>
      </c>
      <c r="AT55" s="167">
        <f t="shared" si="80"/>
        <v>441.00177916638046</v>
      </c>
      <c r="AU55" s="165">
        <v>0</v>
      </c>
      <c r="AV55" s="166">
        <f t="shared" si="81"/>
        <v>0</v>
      </c>
      <c r="AW55" s="33">
        <f t="shared" si="82"/>
        <v>6941.0271958289577</v>
      </c>
      <c r="AX55" s="167">
        <f t="shared" si="83"/>
        <v>485.87190370802711</v>
      </c>
      <c r="AY55" s="33">
        <v>0</v>
      </c>
      <c r="AZ55" s="33">
        <f t="shared" si="84"/>
        <v>0</v>
      </c>
      <c r="BA55" s="33">
        <f t="shared" si="85"/>
        <v>7626.899099536985</v>
      </c>
      <c r="BB55" s="33">
        <f t="shared" si="86"/>
        <v>533.88293696758899</v>
      </c>
      <c r="BC55" s="33">
        <v>0</v>
      </c>
      <c r="BD55" s="33">
        <f t="shared" si="87"/>
        <v>0</v>
      </c>
      <c r="BE55" s="33">
        <f t="shared" si="88"/>
        <v>8360.7820365045736</v>
      </c>
      <c r="BF55" s="33">
        <f t="shared" si="89"/>
        <v>585.25474255532026</v>
      </c>
      <c r="BG55" s="33">
        <v>0</v>
      </c>
      <c r="BH55" s="33">
        <f t="shared" si="90"/>
        <v>0</v>
      </c>
      <c r="BI55" s="33">
        <f t="shared" si="91"/>
        <v>9146.0367790598939</v>
      </c>
      <c r="BJ55" s="33">
        <f t="shared" si="92"/>
        <v>640.22257453419263</v>
      </c>
      <c r="BK55" s="87">
        <f t="shared" si="93"/>
        <v>0</v>
      </c>
      <c r="BL55" s="33">
        <f>'2022-2023'!BL55+'2023-2024'!BK55</f>
        <v>11150</v>
      </c>
    </row>
    <row r="56" spans="1:64">
      <c r="A56" s="10" t="s">
        <v>627</v>
      </c>
      <c r="B56" s="10" t="s">
        <v>124</v>
      </c>
      <c r="C56" s="80">
        <v>0</v>
      </c>
      <c r="D56" s="79">
        <f t="shared" si="47"/>
        <v>2400</v>
      </c>
      <c r="E56" s="78">
        <f>'2022-2023'!I56</f>
        <v>-1649.9183857375547</v>
      </c>
      <c r="F56" s="187">
        <f t="shared" si="48"/>
        <v>2400</v>
      </c>
      <c r="G56" s="33">
        <f t="shared" si="49"/>
        <v>5750</v>
      </c>
      <c r="H56" s="190">
        <f t="shared" si="50"/>
        <v>-3350</v>
      </c>
      <c r="I56" s="78">
        <f t="shared" si="51"/>
        <v>-9589.321011955255</v>
      </c>
      <c r="J56" s="78">
        <f t="shared" si="52"/>
        <v>0</v>
      </c>
      <c r="K56" s="78">
        <f t="shared" si="53"/>
        <v>316.25</v>
      </c>
      <c r="L56" s="78">
        <f t="shared" si="54"/>
        <v>-4589.4026262177003</v>
      </c>
      <c r="M56" s="194">
        <f t="shared" si="55"/>
        <v>-4589.4026262177003</v>
      </c>
      <c r="N56" s="78">
        <f t="shared" si="56"/>
        <v>10655.652626217699</v>
      </c>
      <c r="O56" s="165">
        <v>250</v>
      </c>
      <c r="P56" s="166">
        <f t="shared" si="57"/>
        <v>0</v>
      </c>
      <c r="Q56" s="119">
        <f t="shared" si="58"/>
        <v>-1449.9183857375547</v>
      </c>
      <c r="R56" s="167">
        <f t="shared" si="59"/>
        <v>-93.495511215565514</v>
      </c>
      <c r="S56" s="165">
        <v>250</v>
      </c>
      <c r="T56" s="166">
        <f t="shared" si="60"/>
        <v>0</v>
      </c>
      <c r="U56" s="33">
        <f t="shared" si="61"/>
        <v>-1593.4138969531202</v>
      </c>
      <c r="V56" s="167">
        <f t="shared" si="62"/>
        <v>-101.38776433242161</v>
      </c>
      <c r="W56" s="165">
        <f>250*12</f>
        <v>3000</v>
      </c>
      <c r="X56" s="166">
        <f t="shared" si="63"/>
        <v>0</v>
      </c>
      <c r="Y56" s="33">
        <f t="shared" si="64"/>
        <v>-4494.8016612855417</v>
      </c>
      <c r="Z56" s="167">
        <f t="shared" si="65"/>
        <v>-412.21409137070481</v>
      </c>
      <c r="AA56" s="165">
        <v>250</v>
      </c>
      <c r="AB56" s="166">
        <f t="shared" si="66"/>
        <v>0</v>
      </c>
      <c r="AC56" s="33">
        <f t="shared" si="67"/>
        <v>-4957.0157526562461</v>
      </c>
      <c r="AD56" s="167">
        <f t="shared" si="68"/>
        <v>-286.38586639609355</v>
      </c>
      <c r="AE56" s="165">
        <v>250</v>
      </c>
      <c r="AF56" s="166">
        <f t="shared" si="69"/>
        <v>0</v>
      </c>
      <c r="AG56" s="33">
        <f t="shared" si="70"/>
        <v>-5293.4016190523398</v>
      </c>
      <c r="AH56" s="167">
        <f t="shared" si="71"/>
        <v>-304.8870890478787</v>
      </c>
      <c r="AI56" s="165">
        <v>250</v>
      </c>
      <c r="AJ56" s="166">
        <f t="shared" si="72"/>
        <v>0</v>
      </c>
      <c r="AK56" s="33">
        <f t="shared" si="73"/>
        <v>-5648.2887081002182</v>
      </c>
      <c r="AL56" s="167">
        <f t="shared" si="74"/>
        <v>-324.40587894551203</v>
      </c>
      <c r="AM56" s="165">
        <v>250</v>
      </c>
      <c r="AN56" s="166">
        <f t="shared" si="75"/>
        <v>0</v>
      </c>
      <c r="AO56" s="33">
        <f t="shared" si="76"/>
        <v>-6022.6945870457303</v>
      </c>
      <c r="AP56" s="167">
        <f t="shared" si="77"/>
        <v>-344.99820228751514</v>
      </c>
      <c r="AQ56" s="165">
        <v>250</v>
      </c>
      <c r="AR56" s="166">
        <f t="shared" si="78"/>
        <v>0</v>
      </c>
      <c r="AS56" s="33">
        <f t="shared" si="79"/>
        <v>-6417.6927893332449</v>
      </c>
      <c r="AT56" s="167">
        <f t="shared" si="80"/>
        <v>-466.73849525332719</v>
      </c>
      <c r="AU56" s="165">
        <v>250</v>
      </c>
      <c r="AV56" s="166">
        <f t="shared" si="81"/>
        <v>0</v>
      </c>
      <c r="AW56" s="33">
        <f t="shared" si="82"/>
        <v>-6934.4312845865725</v>
      </c>
      <c r="AX56" s="167">
        <f t="shared" si="83"/>
        <v>-502.91018992106012</v>
      </c>
      <c r="AY56" s="165">
        <v>250</v>
      </c>
      <c r="AZ56" s="166">
        <f t="shared" si="84"/>
        <v>0</v>
      </c>
      <c r="BA56" s="33">
        <f t="shared" si="85"/>
        <v>-7487.3414745076325</v>
      </c>
      <c r="BB56" s="167">
        <f t="shared" si="86"/>
        <v>-541.61390321553438</v>
      </c>
      <c r="BC56" s="165">
        <v>250</v>
      </c>
      <c r="BD56" s="166">
        <f t="shared" si="87"/>
        <v>0</v>
      </c>
      <c r="BE56" s="33">
        <f t="shared" si="88"/>
        <v>-8078.9553777231667</v>
      </c>
      <c r="BF56" s="167">
        <f t="shared" si="89"/>
        <v>-583.02687644062178</v>
      </c>
      <c r="BG56" s="165">
        <v>250</v>
      </c>
      <c r="BH56" s="166">
        <f t="shared" si="90"/>
        <v>0</v>
      </c>
      <c r="BI56" s="33">
        <f t="shared" si="91"/>
        <v>-8711.9822541637877</v>
      </c>
      <c r="BJ56" s="167">
        <f t="shared" si="92"/>
        <v>-627.33875779146524</v>
      </c>
      <c r="BK56" s="87">
        <f t="shared" si="93"/>
        <v>5750</v>
      </c>
      <c r="BL56" s="33">
        <f>'2022-2023'!BL56+'2023-2024'!BK56</f>
        <v>21160</v>
      </c>
    </row>
    <row r="57" spans="1:64">
      <c r="A57" s="10" t="s">
        <v>628</v>
      </c>
      <c r="B57" s="10" t="s">
        <v>152</v>
      </c>
      <c r="C57" s="80">
        <v>0</v>
      </c>
      <c r="D57" s="79">
        <f t="shared" si="47"/>
        <v>2400</v>
      </c>
      <c r="E57" s="78">
        <f>'2022-2023'!I57</f>
        <v>13674.437207036655</v>
      </c>
      <c r="F57" s="187">
        <f t="shared" si="48"/>
        <v>2400</v>
      </c>
      <c r="G57" s="33">
        <f t="shared" si="49"/>
        <v>500</v>
      </c>
      <c r="H57" s="190">
        <f t="shared" si="50"/>
        <v>1900</v>
      </c>
      <c r="I57" s="78">
        <f t="shared" si="51"/>
        <v>30990.634812667504</v>
      </c>
      <c r="J57" s="78">
        <f t="shared" si="52"/>
        <v>0</v>
      </c>
      <c r="K57" s="78">
        <f t="shared" si="53"/>
        <v>27.5</v>
      </c>
      <c r="L57" s="78">
        <f t="shared" si="54"/>
        <v>15416.197605630849</v>
      </c>
      <c r="M57" s="194">
        <f t="shared" si="55"/>
        <v>15416.197605630849</v>
      </c>
      <c r="N57" s="78">
        <f t="shared" si="56"/>
        <v>-14888.697605630849</v>
      </c>
      <c r="O57" s="165">
        <v>0</v>
      </c>
      <c r="P57" s="166">
        <f t="shared" si="57"/>
        <v>0</v>
      </c>
      <c r="Q57" s="119">
        <f t="shared" si="58"/>
        <v>13874.437207036655</v>
      </c>
      <c r="R57" s="167">
        <f t="shared" si="59"/>
        <v>763.09404638701608</v>
      </c>
      <c r="S57" s="165">
        <v>0</v>
      </c>
      <c r="T57" s="166">
        <f t="shared" si="60"/>
        <v>0</v>
      </c>
      <c r="U57" s="33">
        <f t="shared" si="61"/>
        <v>14837.531253423671</v>
      </c>
      <c r="V57" s="167">
        <f t="shared" si="62"/>
        <v>816.06421893830191</v>
      </c>
      <c r="W57" s="165">
        <v>0</v>
      </c>
      <c r="X57" s="166">
        <f t="shared" si="63"/>
        <v>0</v>
      </c>
      <c r="Y57" s="33">
        <f t="shared" si="64"/>
        <v>15853.595472361972</v>
      </c>
      <c r="Z57" s="167">
        <f t="shared" si="65"/>
        <v>871.94775097990851</v>
      </c>
      <c r="AA57" s="165">
        <v>0</v>
      </c>
      <c r="AB57" s="166">
        <f t="shared" si="66"/>
        <v>0</v>
      </c>
      <c r="AC57" s="33">
        <f t="shared" si="67"/>
        <v>16925.54322334188</v>
      </c>
      <c r="AD57" s="167">
        <f t="shared" si="68"/>
        <v>930.90487728380333</v>
      </c>
      <c r="AE57" s="165">
        <v>0</v>
      </c>
      <c r="AF57" s="166">
        <f t="shared" si="69"/>
        <v>0</v>
      </c>
      <c r="AG57" s="33">
        <f t="shared" si="70"/>
        <v>18056.448100625683</v>
      </c>
      <c r="AH57" s="167">
        <f t="shared" si="71"/>
        <v>993.10464553441261</v>
      </c>
      <c r="AI57" s="165">
        <v>0</v>
      </c>
      <c r="AJ57" s="166">
        <f t="shared" si="72"/>
        <v>0</v>
      </c>
      <c r="AK57" s="33">
        <f t="shared" si="73"/>
        <v>19249.552746160094</v>
      </c>
      <c r="AL57" s="167">
        <f t="shared" si="74"/>
        <v>1058.7254010388051</v>
      </c>
      <c r="AM57" s="165">
        <v>0</v>
      </c>
      <c r="AN57" s="166">
        <f t="shared" si="75"/>
        <v>0</v>
      </c>
      <c r="AO57" s="33">
        <f t="shared" si="76"/>
        <v>20508.2781471989</v>
      </c>
      <c r="AP57" s="167">
        <f t="shared" si="77"/>
        <v>1127.9552980959395</v>
      </c>
      <c r="AQ57" s="165">
        <v>0</v>
      </c>
      <c r="AR57" s="166">
        <f t="shared" si="78"/>
        <v>0</v>
      </c>
      <c r="AS57" s="33">
        <f t="shared" si="79"/>
        <v>21836.233445294838</v>
      </c>
      <c r="AT57" s="167">
        <f t="shared" si="80"/>
        <v>1528.5363411706387</v>
      </c>
      <c r="AU57" s="165">
        <v>0</v>
      </c>
      <c r="AV57" s="166">
        <f t="shared" si="81"/>
        <v>0</v>
      </c>
      <c r="AW57" s="33">
        <f t="shared" si="82"/>
        <v>23564.769786465476</v>
      </c>
      <c r="AX57" s="167">
        <f t="shared" si="83"/>
        <v>1649.5338850525834</v>
      </c>
      <c r="AY57" s="165">
        <v>0</v>
      </c>
      <c r="AZ57" s="166">
        <f t="shared" si="84"/>
        <v>0</v>
      </c>
      <c r="BA57" s="33">
        <f t="shared" si="85"/>
        <v>25414.303671518061</v>
      </c>
      <c r="BB57" s="167">
        <f t="shared" si="86"/>
        <v>1779.0012570062645</v>
      </c>
      <c r="BC57" s="165">
        <v>200</v>
      </c>
      <c r="BD57" s="166">
        <f t="shared" si="87"/>
        <v>0</v>
      </c>
      <c r="BE57" s="33">
        <f t="shared" si="88"/>
        <v>27193.304928524325</v>
      </c>
      <c r="BF57" s="167">
        <f t="shared" si="89"/>
        <v>1889.531344996703</v>
      </c>
      <c r="BG57" s="165">
        <v>300</v>
      </c>
      <c r="BH57" s="166">
        <f t="shared" si="90"/>
        <v>0</v>
      </c>
      <c r="BI57" s="33">
        <f t="shared" si="91"/>
        <v>28982.836273521028</v>
      </c>
      <c r="BJ57" s="167">
        <f t="shared" si="92"/>
        <v>2007.7985391464722</v>
      </c>
      <c r="BK57" s="87">
        <f t="shared" si="93"/>
        <v>500</v>
      </c>
      <c r="BL57" s="33">
        <f>'2022-2023'!BL57+'2023-2024'!BK57</f>
        <v>3600</v>
      </c>
    </row>
    <row r="58" spans="1:64">
      <c r="A58" s="10" t="s">
        <v>629</v>
      </c>
      <c r="B58" s="10" t="s">
        <v>156</v>
      </c>
      <c r="C58" s="80">
        <v>0</v>
      </c>
      <c r="D58" s="79">
        <f t="shared" si="47"/>
        <v>2400</v>
      </c>
      <c r="E58" s="78">
        <f>'2022-2023'!I58</f>
        <v>17958.989034665654</v>
      </c>
      <c r="F58" s="187">
        <f t="shared" si="48"/>
        <v>2400</v>
      </c>
      <c r="G58" s="33">
        <f t="shared" si="49"/>
        <v>0</v>
      </c>
      <c r="H58" s="190">
        <f t="shared" si="50"/>
        <v>2400</v>
      </c>
      <c r="I58" s="78">
        <f t="shared" si="51"/>
        <v>40318.20641440036</v>
      </c>
      <c r="J58" s="78">
        <f t="shared" si="52"/>
        <v>0</v>
      </c>
      <c r="K58" s="78">
        <f t="shared" si="53"/>
        <v>0</v>
      </c>
      <c r="L58" s="78">
        <f t="shared" si="54"/>
        <v>19959.217379734706</v>
      </c>
      <c r="M58" s="194">
        <f t="shared" si="55"/>
        <v>19959.217379734706</v>
      </c>
      <c r="N58" s="78">
        <f t="shared" si="56"/>
        <v>-19959.217379734706</v>
      </c>
      <c r="O58" s="165">
        <v>0</v>
      </c>
      <c r="P58" s="166">
        <f t="shared" si="57"/>
        <v>0</v>
      </c>
      <c r="Q58" s="119">
        <f t="shared" si="58"/>
        <v>18158.989034665654</v>
      </c>
      <c r="R58" s="167">
        <f t="shared" si="59"/>
        <v>998.74439690661097</v>
      </c>
      <c r="S58" s="165">
        <v>0</v>
      </c>
      <c r="T58" s="166">
        <f t="shared" si="60"/>
        <v>0</v>
      </c>
      <c r="U58" s="33">
        <f t="shared" si="61"/>
        <v>19357.733431572266</v>
      </c>
      <c r="V58" s="167">
        <f t="shared" si="62"/>
        <v>1064.6753387364747</v>
      </c>
      <c r="W58" s="165">
        <v>0</v>
      </c>
      <c r="X58" s="166">
        <f t="shared" si="63"/>
        <v>0</v>
      </c>
      <c r="Y58" s="33">
        <f t="shared" si="64"/>
        <v>20622.408770308739</v>
      </c>
      <c r="Z58" s="167">
        <f t="shared" si="65"/>
        <v>1134.2324823669805</v>
      </c>
      <c r="AA58" s="165">
        <v>0</v>
      </c>
      <c r="AB58" s="166">
        <f t="shared" si="66"/>
        <v>0</v>
      </c>
      <c r="AC58" s="33">
        <f t="shared" si="67"/>
        <v>21956.641252675719</v>
      </c>
      <c r="AD58" s="167">
        <f t="shared" si="68"/>
        <v>1207.6152688971645</v>
      </c>
      <c r="AE58" s="165">
        <v>0</v>
      </c>
      <c r="AF58" s="166">
        <f t="shared" si="69"/>
        <v>0</v>
      </c>
      <c r="AG58" s="33">
        <f t="shared" si="70"/>
        <v>23364.256521572883</v>
      </c>
      <c r="AH58" s="167">
        <f t="shared" si="71"/>
        <v>1285.0341086865085</v>
      </c>
      <c r="AI58" s="165">
        <v>0</v>
      </c>
      <c r="AJ58" s="166">
        <f t="shared" si="72"/>
        <v>0</v>
      </c>
      <c r="AK58" s="33">
        <f t="shared" si="73"/>
        <v>24849.290630259391</v>
      </c>
      <c r="AL58" s="167">
        <f t="shared" si="74"/>
        <v>1366.7109846642666</v>
      </c>
      <c r="AM58" s="165">
        <v>0</v>
      </c>
      <c r="AN58" s="166">
        <f t="shared" si="75"/>
        <v>0</v>
      </c>
      <c r="AO58" s="33">
        <f t="shared" si="76"/>
        <v>26416.001614923658</v>
      </c>
      <c r="AP58" s="167">
        <f t="shared" si="77"/>
        <v>1452.8800888208011</v>
      </c>
      <c r="AQ58" s="165">
        <v>0</v>
      </c>
      <c r="AR58" s="166">
        <f t="shared" si="78"/>
        <v>0</v>
      </c>
      <c r="AS58" s="33">
        <f t="shared" si="79"/>
        <v>28068.881703744461</v>
      </c>
      <c r="AT58" s="167">
        <f t="shared" si="80"/>
        <v>1964.8217192621125</v>
      </c>
      <c r="AU58" s="165">
        <v>0</v>
      </c>
      <c r="AV58" s="166">
        <f t="shared" si="81"/>
        <v>0</v>
      </c>
      <c r="AW58" s="33">
        <f t="shared" si="82"/>
        <v>30233.703423006573</v>
      </c>
      <c r="AX58" s="167">
        <f t="shared" si="83"/>
        <v>2116.3592396104605</v>
      </c>
      <c r="AY58" s="165">
        <v>0</v>
      </c>
      <c r="AZ58" s="166">
        <f t="shared" si="84"/>
        <v>0</v>
      </c>
      <c r="BA58" s="33">
        <f t="shared" si="85"/>
        <v>32550.062662617034</v>
      </c>
      <c r="BB58" s="167">
        <f t="shared" si="86"/>
        <v>2278.5043863831925</v>
      </c>
      <c r="BC58" s="165">
        <v>0</v>
      </c>
      <c r="BD58" s="166">
        <f t="shared" si="87"/>
        <v>0</v>
      </c>
      <c r="BE58" s="33">
        <f t="shared" si="88"/>
        <v>35028.567049000223</v>
      </c>
      <c r="BF58" s="167">
        <f t="shared" si="89"/>
        <v>2451.9996934300157</v>
      </c>
      <c r="BG58" s="165">
        <v>0</v>
      </c>
      <c r="BH58" s="166">
        <f t="shared" si="90"/>
        <v>0</v>
      </c>
      <c r="BI58" s="33">
        <f t="shared" si="91"/>
        <v>37680.566742430237</v>
      </c>
      <c r="BJ58" s="167">
        <f t="shared" si="92"/>
        <v>2637.639671970117</v>
      </c>
      <c r="BK58" s="87">
        <f t="shared" si="93"/>
        <v>0</v>
      </c>
      <c r="BL58" s="33">
        <f>'2022-2023'!BL58+'2023-2024'!BK58</f>
        <v>1000</v>
      </c>
    </row>
    <row r="59" spans="1:64">
      <c r="A59" s="10" t="s">
        <v>630</v>
      </c>
      <c r="B59" s="10" t="s">
        <v>158</v>
      </c>
      <c r="C59" s="80">
        <v>0</v>
      </c>
      <c r="D59" s="79">
        <f t="shared" si="47"/>
        <v>2400</v>
      </c>
      <c r="E59" s="78">
        <f>'2022-2023'!I59</f>
        <v>18571.067867184083</v>
      </c>
      <c r="F59" s="187">
        <f t="shared" si="48"/>
        <v>2400</v>
      </c>
      <c r="G59" s="33">
        <f t="shared" si="49"/>
        <v>0</v>
      </c>
      <c r="H59" s="190">
        <f t="shared" si="50"/>
        <v>2400</v>
      </c>
      <c r="I59" s="78">
        <f t="shared" si="51"/>
        <v>41567.008071790769</v>
      </c>
      <c r="J59" s="78">
        <f t="shared" si="52"/>
        <v>0</v>
      </c>
      <c r="K59" s="78">
        <f t="shared" si="53"/>
        <v>0</v>
      </c>
      <c r="L59" s="78">
        <f t="shared" si="54"/>
        <v>20595.940204606683</v>
      </c>
      <c r="M59" s="194">
        <f t="shared" si="55"/>
        <v>20595.940204606683</v>
      </c>
      <c r="N59" s="78">
        <f t="shared" si="56"/>
        <v>-20595.940204606683</v>
      </c>
      <c r="O59" s="165">
        <v>0</v>
      </c>
      <c r="P59" s="166">
        <f t="shared" si="57"/>
        <v>0</v>
      </c>
      <c r="Q59" s="119">
        <f t="shared" si="58"/>
        <v>18771.067867184083</v>
      </c>
      <c r="R59" s="167">
        <f t="shared" si="59"/>
        <v>1032.4087326951246</v>
      </c>
      <c r="S59" s="165">
        <v>0</v>
      </c>
      <c r="T59" s="166">
        <f t="shared" si="60"/>
        <v>0</v>
      </c>
      <c r="U59" s="33">
        <f t="shared" si="61"/>
        <v>20003.476599879206</v>
      </c>
      <c r="V59" s="167">
        <f t="shared" si="62"/>
        <v>1100.1912129933564</v>
      </c>
      <c r="W59" s="165">
        <v>0</v>
      </c>
      <c r="X59" s="166">
        <f t="shared" si="63"/>
        <v>0</v>
      </c>
      <c r="Y59" s="33">
        <f t="shared" si="64"/>
        <v>21303.667812872562</v>
      </c>
      <c r="Z59" s="167">
        <f t="shared" si="65"/>
        <v>1171.7017297079908</v>
      </c>
      <c r="AA59" s="165">
        <v>0</v>
      </c>
      <c r="AB59" s="166">
        <f t="shared" si="66"/>
        <v>0</v>
      </c>
      <c r="AC59" s="33">
        <f t="shared" si="67"/>
        <v>22675.369542580553</v>
      </c>
      <c r="AD59" s="167">
        <f t="shared" si="68"/>
        <v>1247.1453248419305</v>
      </c>
      <c r="AE59" s="165">
        <v>0</v>
      </c>
      <c r="AF59" s="166">
        <f t="shared" si="69"/>
        <v>0</v>
      </c>
      <c r="AG59" s="33">
        <f t="shared" si="70"/>
        <v>24122.514867422484</v>
      </c>
      <c r="AH59" s="167">
        <f t="shared" si="71"/>
        <v>1326.7383177082365</v>
      </c>
      <c r="AI59" s="165">
        <v>0</v>
      </c>
      <c r="AJ59" s="166">
        <f t="shared" si="72"/>
        <v>0</v>
      </c>
      <c r="AK59" s="33">
        <f t="shared" si="73"/>
        <v>25649.253185130721</v>
      </c>
      <c r="AL59" s="167">
        <f t="shared" si="74"/>
        <v>1410.7089251821897</v>
      </c>
      <c r="AM59" s="165">
        <v>0</v>
      </c>
      <c r="AN59" s="166">
        <f t="shared" si="75"/>
        <v>0</v>
      </c>
      <c r="AO59" s="33">
        <f t="shared" si="76"/>
        <v>27259.96211031291</v>
      </c>
      <c r="AP59" s="167">
        <f t="shared" si="77"/>
        <v>1499.2979160672101</v>
      </c>
      <c r="AQ59" s="165">
        <v>0</v>
      </c>
      <c r="AR59" s="166">
        <f t="shared" si="78"/>
        <v>0</v>
      </c>
      <c r="AS59" s="33">
        <f t="shared" si="79"/>
        <v>28959.260026380121</v>
      </c>
      <c r="AT59" s="167">
        <f t="shared" si="80"/>
        <v>2027.1482018466088</v>
      </c>
      <c r="AU59" s="165">
        <v>0</v>
      </c>
      <c r="AV59" s="166">
        <f t="shared" si="81"/>
        <v>0</v>
      </c>
      <c r="AW59" s="33">
        <f t="shared" si="82"/>
        <v>31186.40822822673</v>
      </c>
      <c r="AX59" s="167">
        <f t="shared" si="83"/>
        <v>2183.0485759758712</v>
      </c>
      <c r="AY59" s="165">
        <v>0</v>
      </c>
      <c r="AZ59" s="166">
        <f t="shared" si="84"/>
        <v>0</v>
      </c>
      <c r="BA59" s="33">
        <f t="shared" si="85"/>
        <v>33569.4568042026</v>
      </c>
      <c r="BB59" s="167">
        <f t="shared" si="86"/>
        <v>2349.8619762941821</v>
      </c>
      <c r="BC59" s="165">
        <v>0</v>
      </c>
      <c r="BD59" s="166">
        <f t="shared" si="87"/>
        <v>0</v>
      </c>
      <c r="BE59" s="33">
        <f t="shared" si="88"/>
        <v>36119.318780496782</v>
      </c>
      <c r="BF59" s="167">
        <f t="shared" si="89"/>
        <v>2528.3523146347748</v>
      </c>
      <c r="BG59" s="165">
        <v>0</v>
      </c>
      <c r="BH59" s="166">
        <f t="shared" si="90"/>
        <v>0</v>
      </c>
      <c r="BI59" s="33">
        <f t="shared" si="91"/>
        <v>38847.671095131554</v>
      </c>
      <c r="BJ59" s="167">
        <f t="shared" si="92"/>
        <v>2719.3369766592091</v>
      </c>
      <c r="BK59" s="87">
        <f t="shared" si="93"/>
        <v>0</v>
      </c>
      <c r="BL59" s="33">
        <f>'2022-2023'!BL59+'2023-2024'!BK59</f>
        <v>700</v>
      </c>
    </row>
    <row r="60" spans="1:64">
      <c r="A60" s="10" t="s">
        <v>631</v>
      </c>
      <c r="B60" s="10" t="s">
        <v>118</v>
      </c>
      <c r="C60" s="80">
        <v>0</v>
      </c>
      <c r="D60" s="79">
        <f t="shared" si="47"/>
        <v>2400</v>
      </c>
      <c r="E60" s="78">
        <f>'2022-2023'!I60</f>
        <v>3671.3512878667598</v>
      </c>
      <c r="F60" s="187">
        <f t="shared" si="48"/>
        <v>2400</v>
      </c>
      <c r="G60" s="33">
        <f t="shared" si="49"/>
        <v>2950</v>
      </c>
      <c r="H60" s="190">
        <f t="shared" si="50"/>
        <v>-550</v>
      </c>
      <c r="I60" s="78">
        <f t="shared" si="51"/>
        <v>6508.7244911907164</v>
      </c>
      <c r="J60" s="78">
        <f t="shared" si="52"/>
        <v>0</v>
      </c>
      <c r="K60" s="78">
        <f t="shared" si="53"/>
        <v>162.25</v>
      </c>
      <c r="L60" s="78">
        <f t="shared" si="54"/>
        <v>3387.3732033239562</v>
      </c>
      <c r="M60" s="194">
        <f t="shared" si="55"/>
        <v>3387.3732033239562</v>
      </c>
      <c r="N60" s="78">
        <f t="shared" si="56"/>
        <v>-275.1232033239562</v>
      </c>
      <c r="O60" s="165">
        <v>0</v>
      </c>
      <c r="P60" s="166">
        <f t="shared" si="57"/>
        <v>0</v>
      </c>
      <c r="Q60" s="119">
        <f t="shared" si="58"/>
        <v>3871.3512878667598</v>
      </c>
      <c r="R60" s="167">
        <f t="shared" si="59"/>
        <v>212.92432083267178</v>
      </c>
      <c r="S60" s="165">
        <v>0</v>
      </c>
      <c r="T60" s="166">
        <f t="shared" si="60"/>
        <v>0</v>
      </c>
      <c r="U60" s="33">
        <f t="shared" si="61"/>
        <v>4284.2756086994314</v>
      </c>
      <c r="V60" s="167">
        <f t="shared" si="62"/>
        <v>235.63515847846872</v>
      </c>
      <c r="W60" s="165">
        <f>250+250</f>
        <v>500</v>
      </c>
      <c r="X60" s="166">
        <f t="shared" si="63"/>
        <v>0</v>
      </c>
      <c r="Y60" s="33">
        <f t="shared" si="64"/>
        <v>4219.9107671779002</v>
      </c>
      <c r="Z60" s="167">
        <f t="shared" si="65"/>
        <v>204.59509219478451</v>
      </c>
      <c r="AA60" s="165">
        <f>200+250</f>
        <v>450</v>
      </c>
      <c r="AB60" s="166">
        <f t="shared" si="66"/>
        <v>0</v>
      </c>
      <c r="AC60" s="33">
        <f t="shared" si="67"/>
        <v>4174.5058593726844</v>
      </c>
      <c r="AD60" s="167">
        <f t="shared" si="68"/>
        <v>204.84782226549765</v>
      </c>
      <c r="AE60" s="165">
        <v>250</v>
      </c>
      <c r="AF60" s="166">
        <f t="shared" si="69"/>
        <v>0</v>
      </c>
      <c r="AG60" s="33">
        <f t="shared" si="70"/>
        <v>4329.353681638182</v>
      </c>
      <c r="AH60" s="167">
        <f t="shared" si="71"/>
        <v>224.36445249010001</v>
      </c>
      <c r="AI60" s="165">
        <v>250</v>
      </c>
      <c r="AJ60" s="166">
        <f t="shared" si="72"/>
        <v>0</v>
      </c>
      <c r="AK60" s="33">
        <f t="shared" si="73"/>
        <v>4503.7181341282821</v>
      </c>
      <c r="AL60" s="167">
        <f t="shared" si="74"/>
        <v>233.95449737705553</v>
      </c>
      <c r="AM60" s="165">
        <v>250</v>
      </c>
      <c r="AN60" s="166">
        <f t="shared" si="75"/>
        <v>0</v>
      </c>
      <c r="AO60" s="33">
        <f t="shared" si="76"/>
        <v>4687.6726315053374</v>
      </c>
      <c r="AP60" s="167">
        <f t="shared" si="77"/>
        <v>244.07199473279357</v>
      </c>
      <c r="AQ60" s="165">
        <v>250</v>
      </c>
      <c r="AR60" s="166">
        <f t="shared" si="78"/>
        <v>0</v>
      </c>
      <c r="AS60" s="33">
        <f t="shared" si="79"/>
        <v>4881.7446262381309</v>
      </c>
      <c r="AT60" s="167">
        <f t="shared" si="80"/>
        <v>324.2221238366692</v>
      </c>
      <c r="AU60" s="165">
        <v>250</v>
      </c>
      <c r="AV60" s="166">
        <f t="shared" si="81"/>
        <v>0</v>
      </c>
      <c r="AW60" s="33">
        <f t="shared" si="82"/>
        <v>5155.9667500748001</v>
      </c>
      <c r="AX60" s="167">
        <f t="shared" si="83"/>
        <v>343.41767250523606</v>
      </c>
      <c r="AY60" s="165">
        <v>250</v>
      </c>
      <c r="AZ60" s="166">
        <f t="shared" si="84"/>
        <v>0</v>
      </c>
      <c r="BA60" s="33">
        <f t="shared" si="85"/>
        <v>5449.3844225800358</v>
      </c>
      <c r="BB60" s="167">
        <f t="shared" si="86"/>
        <v>363.95690958060254</v>
      </c>
      <c r="BC60" s="165">
        <v>250</v>
      </c>
      <c r="BD60" s="166">
        <f t="shared" si="87"/>
        <v>0</v>
      </c>
      <c r="BE60" s="33">
        <f t="shared" si="88"/>
        <v>5763.3413321606386</v>
      </c>
      <c r="BF60" s="167">
        <f t="shared" si="89"/>
        <v>385.93389325124474</v>
      </c>
      <c r="BG60" s="165">
        <v>250</v>
      </c>
      <c r="BH60" s="166">
        <f t="shared" si="90"/>
        <v>0</v>
      </c>
      <c r="BI60" s="33">
        <f t="shared" si="91"/>
        <v>6099.2752254118832</v>
      </c>
      <c r="BJ60" s="167">
        <f t="shared" si="92"/>
        <v>409.44926577883189</v>
      </c>
      <c r="BK60" s="87">
        <f t="shared" si="93"/>
        <v>2950</v>
      </c>
      <c r="BL60" s="33">
        <f>'2022-2023'!BL60+'2023-2024'!BK60</f>
        <v>16700</v>
      </c>
    </row>
    <row r="61" spans="1:64">
      <c r="A61" s="10" t="s">
        <v>632</v>
      </c>
      <c r="B61" s="10" t="s">
        <v>157</v>
      </c>
      <c r="C61" s="80">
        <v>0</v>
      </c>
      <c r="D61" s="79">
        <f t="shared" si="47"/>
        <v>2400</v>
      </c>
      <c r="E61" s="78">
        <f>'2022-2023'!I61</f>
        <v>19387.172977208655</v>
      </c>
      <c r="F61" s="187">
        <f t="shared" si="48"/>
        <v>2400</v>
      </c>
      <c r="G61" s="33">
        <f t="shared" si="49"/>
        <v>0</v>
      </c>
      <c r="H61" s="190">
        <f t="shared" si="50"/>
        <v>2400</v>
      </c>
      <c r="I61" s="78">
        <f t="shared" si="51"/>
        <v>43232.076948311311</v>
      </c>
      <c r="J61" s="78">
        <f t="shared" si="52"/>
        <v>0</v>
      </c>
      <c r="K61" s="78">
        <f t="shared" si="53"/>
        <v>0</v>
      </c>
      <c r="L61" s="78">
        <f t="shared" si="54"/>
        <v>21444.90397110266</v>
      </c>
      <c r="M61" s="194">
        <f t="shared" si="55"/>
        <v>21444.90397110266</v>
      </c>
      <c r="N61" s="78">
        <f t="shared" si="56"/>
        <v>-21444.90397110266</v>
      </c>
      <c r="O61" s="165">
        <v>0</v>
      </c>
      <c r="P61" s="166">
        <f t="shared" si="57"/>
        <v>0</v>
      </c>
      <c r="Q61" s="119">
        <f t="shared" si="58"/>
        <v>19587.172977208655</v>
      </c>
      <c r="R61" s="167">
        <f t="shared" si="59"/>
        <v>1077.294513746476</v>
      </c>
      <c r="S61" s="165">
        <v>0</v>
      </c>
      <c r="T61" s="166">
        <f t="shared" si="60"/>
        <v>0</v>
      </c>
      <c r="U61" s="33">
        <f t="shared" si="61"/>
        <v>20864.467490955132</v>
      </c>
      <c r="V61" s="167">
        <f t="shared" si="62"/>
        <v>1147.5457120025324</v>
      </c>
      <c r="W61" s="165">
        <v>0</v>
      </c>
      <c r="X61" s="166">
        <f t="shared" si="63"/>
        <v>0</v>
      </c>
      <c r="Y61" s="33">
        <f t="shared" si="64"/>
        <v>22212.013202957663</v>
      </c>
      <c r="Z61" s="167">
        <f t="shared" si="65"/>
        <v>1221.6607261626716</v>
      </c>
      <c r="AA61" s="165">
        <v>0</v>
      </c>
      <c r="AB61" s="166">
        <f t="shared" si="66"/>
        <v>0</v>
      </c>
      <c r="AC61" s="33">
        <f t="shared" si="67"/>
        <v>23633.673929120334</v>
      </c>
      <c r="AD61" s="167">
        <f t="shared" si="68"/>
        <v>1299.8520661016184</v>
      </c>
      <c r="AE61" s="165">
        <v>0</v>
      </c>
      <c r="AF61" s="166">
        <f t="shared" si="69"/>
        <v>0</v>
      </c>
      <c r="AG61" s="33">
        <f t="shared" si="70"/>
        <v>25133.525995221953</v>
      </c>
      <c r="AH61" s="167">
        <f t="shared" si="71"/>
        <v>1382.3439297372074</v>
      </c>
      <c r="AI61" s="165">
        <v>0</v>
      </c>
      <c r="AJ61" s="166">
        <f t="shared" si="72"/>
        <v>0</v>
      </c>
      <c r="AK61" s="33">
        <f t="shared" si="73"/>
        <v>26715.869924959159</v>
      </c>
      <c r="AL61" s="167">
        <f t="shared" si="74"/>
        <v>1469.3728458727537</v>
      </c>
      <c r="AM61" s="165">
        <v>0</v>
      </c>
      <c r="AN61" s="166">
        <f t="shared" si="75"/>
        <v>0</v>
      </c>
      <c r="AO61" s="33">
        <f t="shared" si="76"/>
        <v>28385.242770831912</v>
      </c>
      <c r="AP61" s="167">
        <f t="shared" si="77"/>
        <v>1561.1883523957551</v>
      </c>
      <c r="AQ61" s="165">
        <v>0</v>
      </c>
      <c r="AR61" s="166">
        <f t="shared" si="78"/>
        <v>0</v>
      </c>
      <c r="AS61" s="33">
        <f t="shared" si="79"/>
        <v>30146.431123227667</v>
      </c>
      <c r="AT61" s="167">
        <f t="shared" si="80"/>
        <v>2110.2501786259368</v>
      </c>
      <c r="AU61" s="165">
        <v>0</v>
      </c>
      <c r="AV61" s="166">
        <f t="shared" si="81"/>
        <v>0</v>
      </c>
      <c r="AW61" s="33">
        <f t="shared" si="82"/>
        <v>32456.681301853605</v>
      </c>
      <c r="AX61" s="167">
        <f t="shared" si="83"/>
        <v>2271.9676911297524</v>
      </c>
      <c r="AY61" s="165">
        <v>0</v>
      </c>
      <c r="AZ61" s="166">
        <f t="shared" si="84"/>
        <v>0</v>
      </c>
      <c r="BA61" s="33">
        <f t="shared" si="85"/>
        <v>34928.648992983355</v>
      </c>
      <c r="BB61" s="167">
        <f t="shared" si="86"/>
        <v>2445.0054295088353</v>
      </c>
      <c r="BC61" s="165">
        <v>0</v>
      </c>
      <c r="BD61" s="166">
        <f t="shared" si="87"/>
        <v>0</v>
      </c>
      <c r="BE61" s="33">
        <f t="shared" si="88"/>
        <v>37573.654422492189</v>
      </c>
      <c r="BF61" s="167">
        <f t="shared" si="89"/>
        <v>2630.1558095744535</v>
      </c>
      <c r="BG61" s="165">
        <v>0</v>
      </c>
      <c r="BH61" s="166">
        <f t="shared" si="90"/>
        <v>0</v>
      </c>
      <c r="BI61" s="33">
        <f t="shared" si="91"/>
        <v>40403.810232066644</v>
      </c>
      <c r="BJ61" s="167">
        <f t="shared" si="92"/>
        <v>2828.2667162446655</v>
      </c>
      <c r="BK61" s="87">
        <f t="shared" si="93"/>
        <v>0</v>
      </c>
      <c r="BL61" s="33">
        <f>'2022-2023'!BL61+'2023-2024'!BK61</f>
        <v>300</v>
      </c>
    </row>
    <row r="62" spans="1:64">
      <c r="A62" s="10" t="s">
        <v>633</v>
      </c>
      <c r="B62" s="10" t="s">
        <v>127</v>
      </c>
      <c r="C62" s="80">
        <v>0</v>
      </c>
      <c r="D62" s="79">
        <f t="shared" si="47"/>
        <v>2400</v>
      </c>
      <c r="E62" s="78">
        <f>'2022-2023'!I62</f>
        <v>13878.463484542799</v>
      </c>
      <c r="F62" s="187">
        <f t="shared" si="48"/>
        <v>2400</v>
      </c>
      <c r="G62" s="33">
        <f t="shared" si="49"/>
        <v>0</v>
      </c>
      <c r="H62" s="190">
        <f t="shared" si="50"/>
        <v>2400</v>
      </c>
      <c r="I62" s="78">
        <f t="shared" si="51"/>
        <v>31992.862031797646</v>
      </c>
      <c r="J62" s="78">
        <f t="shared" si="52"/>
        <v>0</v>
      </c>
      <c r="K62" s="78">
        <f t="shared" si="53"/>
        <v>0</v>
      </c>
      <c r="L62" s="78">
        <f t="shared" si="54"/>
        <v>15714.398547254848</v>
      </c>
      <c r="M62" s="194">
        <f t="shared" si="55"/>
        <v>15714.398547254848</v>
      </c>
      <c r="N62" s="78">
        <f t="shared" si="56"/>
        <v>-15714.398547254848</v>
      </c>
      <c r="O62" s="165">
        <v>0</v>
      </c>
      <c r="P62" s="166">
        <f t="shared" si="57"/>
        <v>0</v>
      </c>
      <c r="Q62" s="119">
        <f t="shared" si="58"/>
        <v>14078.463484542799</v>
      </c>
      <c r="R62" s="167">
        <f t="shared" si="59"/>
        <v>774.31549164985393</v>
      </c>
      <c r="S62" s="165">
        <v>0</v>
      </c>
      <c r="T62" s="166">
        <f t="shared" si="60"/>
        <v>0</v>
      </c>
      <c r="U62" s="33">
        <f t="shared" si="61"/>
        <v>15052.778976192652</v>
      </c>
      <c r="V62" s="167">
        <f t="shared" si="62"/>
        <v>827.90284369059589</v>
      </c>
      <c r="W62" s="165">
        <v>0</v>
      </c>
      <c r="X62" s="166">
        <f t="shared" si="63"/>
        <v>0</v>
      </c>
      <c r="Y62" s="33">
        <f t="shared" si="64"/>
        <v>16080.681819883248</v>
      </c>
      <c r="Z62" s="167">
        <f t="shared" si="65"/>
        <v>884.43750009357859</v>
      </c>
      <c r="AA62" s="165">
        <v>0</v>
      </c>
      <c r="AB62" s="166">
        <f t="shared" si="66"/>
        <v>0</v>
      </c>
      <c r="AC62" s="33">
        <f t="shared" si="67"/>
        <v>17165.119319976828</v>
      </c>
      <c r="AD62" s="167">
        <f t="shared" si="68"/>
        <v>944.08156259872555</v>
      </c>
      <c r="AE62" s="165">
        <v>0</v>
      </c>
      <c r="AF62" s="166">
        <f t="shared" si="69"/>
        <v>0</v>
      </c>
      <c r="AG62" s="33">
        <f t="shared" si="70"/>
        <v>18309.200882575555</v>
      </c>
      <c r="AH62" s="167">
        <f t="shared" si="71"/>
        <v>1007.0060485416556</v>
      </c>
      <c r="AI62" s="165">
        <v>0</v>
      </c>
      <c r="AJ62" s="166">
        <f t="shared" si="72"/>
        <v>0</v>
      </c>
      <c r="AK62" s="33">
        <f t="shared" si="73"/>
        <v>19516.206931117209</v>
      </c>
      <c r="AL62" s="167">
        <f t="shared" si="74"/>
        <v>1073.3913812114465</v>
      </c>
      <c r="AM62" s="165">
        <v>0</v>
      </c>
      <c r="AN62" s="166">
        <f t="shared" si="75"/>
        <v>0</v>
      </c>
      <c r="AO62" s="33">
        <f t="shared" si="76"/>
        <v>20789.598312328657</v>
      </c>
      <c r="AP62" s="167">
        <f t="shared" si="77"/>
        <v>1143.4279071780761</v>
      </c>
      <c r="AQ62" s="165">
        <v>0</v>
      </c>
      <c r="AR62" s="166">
        <f t="shared" si="78"/>
        <v>0</v>
      </c>
      <c r="AS62" s="33">
        <f t="shared" si="79"/>
        <v>22133.026219506733</v>
      </c>
      <c r="AT62" s="167">
        <f t="shared" si="80"/>
        <v>1549.3118353654716</v>
      </c>
      <c r="AU62" s="165">
        <v>0</v>
      </c>
      <c r="AV62" s="166">
        <f t="shared" si="81"/>
        <v>0</v>
      </c>
      <c r="AW62" s="33">
        <f t="shared" si="82"/>
        <v>23882.338054872205</v>
      </c>
      <c r="AX62" s="167">
        <f t="shared" si="83"/>
        <v>1671.7636638410545</v>
      </c>
      <c r="AY62" s="165">
        <v>0</v>
      </c>
      <c r="AZ62" s="166">
        <f t="shared" si="84"/>
        <v>0</v>
      </c>
      <c r="BA62" s="33">
        <f t="shared" si="85"/>
        <v>25754.10171871326</v>
      </c>
      <c r="BB62" s="167">
        <f t="shared" si="86"/>
        <v>1802.7871203099285</v>
      </c>
      <c r="BC62" s="165">
        <v>0</v>
      </c>
      <c r="BD62" s="166">
        <f t="shared" si="87"/>
        <v>0</v>
      </c>
      <c r="BE62" s="33">
        <f t="shared" si="88"/>
        <v>27756.888839023188</v>
      </c>
      <c r="BF62" s="167">
        <f t="shared" si="89"/>
        <v>1942.9822187316233</v>
      </c>
      <c r="BG62" s="165">
        <v>0</v>
      </c>
      <c r="BH62" s="166">
        <f t="shared" si="90"/>
        <v>0</v>
      </c>
      <c r="BI62" s="33">
        <f t="shared" si="91"/>
        <v>29899.871057754812</v>
      </c>
      <c r="BJ62" s="167">
        <f t="shared" si="92"/>
        <v>2092.990974042837</v>
      </c>
      <c r="BK62" s="87">
        <f t="shared" si="93"/>
        <v>0</v>
      </c>
      <c r="BL62" s="33">
        <f>'2022-2023'!BL62+'2023-2024'!BK62</f>
        <v>3100</v>
      </c>
    </row>
    <row r="63" spans="1:64">
      <c r="A63" s="10" t="s">
        <v>634</v>
      </c>
      <c r="B63" s="10" t="s">
        <v>127</v>
      </c>
      <c r="C63" s="80">
        <v>0</v>
      </c>
      <c r="D63" s="79">
        <f t="shared" si="47"/>
        <v>2400</v>
      </c>
      <c r="E63" s="78">
        <f>'2022-2023'!I63</f>
        <v>12858.332097012084</v>
      </c>
      <c r="F63" s="187">
        <f t="shared" si="48"/>
        <v>2400</v>
      </c>
      <c r="G63" s="33">
        <f t="shared" si="49"/>
        <v>0</v>
      </c>
      <c r="H63" s="190">
        <f t="shared" si="50"/>
        <v>2400</v>
      </c>
      <c r="I63" s="78">
        <f t="shared" si="51"/>
        <v>29911.525936146965</v>
      </c>
      <c r="J63" s="78">
        <f t="shared" si="52"/>
        <v>0</v>
      </c>
      <c r="K63" s="78">
        <f t="shared" si="53"/>
        <v>0</v>
      </c>
      <c r="L63" s="78">
        <f t="shared" si="54"/>
        <v>14653.193839134879</v>
      </c>
      <c r="M63" s="194">
        <f t="shared" si="55"/>
        <v>14653.193839134879</v>
      </c>
      <c r="N63" s="78">
        <f t="shared" si="56"/>
        <v>-14653.193839134879</v>
      </c>
      <c r="O63" s="165">
        <v>0</v>
      </c>
      <c r="P63" s="166">
        <f t="shared" si="57"/>
        <v>0</v>
      </c>
      <c r="Q63" s="119">
        <f t="shared" si="58"/>
        <v>13058.332097012084</v>
      </c>
      <c r="R63" s="167">
        <f t="shared" si="59"/>
        <v>718.20826533566458</v>
      </c>
      <c r="S63" s="165">
        <v>0</v>
      </c>
      <c r="T63" s="166">
        <f t="shared" si="60"/>
        <v>0</v>
      </c>
      <c r="U63" s="33">
        <f t="shared" si="61"/>
        <v>13976.540362347749</v>
      </c>
      <c r="V63" s="167">
        <f t="shared" si="62"/>
        <v>768.70971992912621</v>
      </c>
      <c r="W63" s="165">
        <v>0</v>
      </c>
      <c r="X63" s="166">
        <f t="shared" si="63"/>
        <v>0</v>
      </c>
      <c r="Y63" s="33">
        <f t="shared" si="64"/>
        <v>14945.250082276874</v>
      </c>
      <c r="Z63" s="167">
        <f t="shared" si="65"/>
        <v>821.98875452522805</v>
      </c>
      <c r="AA63" s="165">
        <v>0</v>
      </c>
      <c r="AB63" s="166">
        <f t="shared" si="66"/>
        <v>0</v>
      </c>
      <c r="AC63" s="33">
        <f t="shared" si="67"/>
        <v>15967.238836802102</v>
      </c>
      <c r="AD63" s="167">
        <f t="shared" si="68"/>
        <v>878.19813602411557</v>
      </c>
      <c r="AE63" s="165">
        <v>0</v>
      </c>
      <c r="AF63" s="166">
        <f t="shared" si="69"/>
        <v>0</v>
      </c>
      <c r="AG63" s="33">
        <f t="shared" si="70"/>
        <v>17045.436972826217</v>
      </c>
      <c r="AH63" s="167">
        <f t="shared" si="71"/>
        <v>937.49903350544196</v>
      </c>
      <c r="AI63" s="165">
        <v>0</v>
      </c>
      <c r="AJ63" s="166">
        <f t="shared" si="72"/>
        <v>0</v>
      </c>
      <c r="AK63" s="33">
        <f t="shared" si="73"/>
        <v>18182.93600633166</v>
      </c>
      <c r="AL63" s="167">
        <f t="shared" si="74"/>
        <v>1000.0614803482413</v>
      </c>
      <c r="AM63" s="165">
        <v>0</v>
      </c>
      <c r="AN63" s="166">
        <f t="shared" si="75"/>
        <v>0</v>
      </c>
      <c r="AO63" s="33">
        <f t="shared" si="76"/>
        <v>19382.997486679902</v>
      </c>
      <c r="AP63" s="167">
        <f t="shared" si="77"/>
        <v>1066.0648617673946</v>
      </c>
      <c r="AQ63" s="165">
        <v>0</v>
      </c>
      <c r="AR63" s="166">
        <f t="shared" si="78"/>
        <v>0</v>
      </c>
      <c r="AS63" s="33">
        <f t="shared" si="79"/>
        <v>20649.062348447296</v>
      </c>
      <c r="AT63" s="167">
        <f t="shared" si="80"/>
        <v>1445.434364391311</v>
      </c>
      <c r="AU63" s="165">
        <v>0</v>
      </c>
      <c r="AV63" s="166">
        <f t="shared" si="81"/>
        <v>0</v>
      </c>
      <c r="AW63" s="33">
        <f t="shared" si="82"/>
        <v>22294.496712838609</v>
      </c>
      <c r="AX63" s="167">
        <f t="shared" si="83"/>
        <v>1560.6147698987027</v>
      </c>
      <c r="AY63" s="165">
        <v>0</v>
      </c>
      <c r="AZ63" s="166">
        <f t="shared" si="84"/>
        <v>0</v>
      </c>
      <c r="BA63" s="33">
        <f t="shared" si="85"/>
        <v>24055.111482737313</v>
      </c>
      <c r="BB63" s="167">
        <f t="shared" si="86"/>
        <v>1683.857803791612</v>
      </c>
      <c r="BC63" s="165">
        <v>0</v>
      </c>
      <c r="BD63" s="166">
        <f t="shared" si="87"/>
        <v>0</v>
      </c>
      <c r="BE63" s="33">
        <f t="shared" si="88"/>
        <v>25938.969286528925</v>
      </c>
      <c r="BF63" s="167">
        <f t="shared" si="89"/>
        <v>1815.7278500570249</v>
      </c>
      <c r="BG63" s="165">
        <v>0</v>
      </c>
      <c r="BH63" s="166">
        <f t="shared" si="90"/>
        <v>0</v>
      </c>
      <c r="BI63" s="33">
        <f t="shared" si="91"/>
        <v>27954.69713658595</v>
      </c>
      <c r="BJ63" s="167">
        <f t="shared" si="92"/>
        <v>1956.8287995610167</v>
      </c>
      <c r="BK63" s="87">
        <f t="shared" si="93"/>
        <v>0</v>
      </c>
      <c r="BL63" s="33">
        <f>'2022-2023'!BL63+'2023-2024'!BK63</f>
        <v>3600</v>
      </c>
    </row>
    <row r="64" spans="1:64">
      <c r="A64" s="10" t="s">
        <v>635</v>
      </c>
      <c r="B64" s="10" t="s">
        <v>128</v>
      </c>
      <c r="C64" s="80">
        <v>0</v>
      </c>
      <c r="D64" s="79">
        <f t="shared" si="47"/>
        <v>2400</v>
      </c>
      <c r="E64" s="78">
        <f>'2022-2023'!I64</f>
        <v>18550.665239433467</v>
      </c>
      <c r="F64" s="187">
        <f t="shared" si="48"/>
        <v>2400</v>
      </c>
      <c r="G64" s="33">
        <f t="shared" si="49"/>
        <v>0</v>
      </c>
      <c r="H64" s="190">
        <f t="shared" si="50"/>
        <v>2400</v>
      </c>
      <c r="I64" s="78">
        <f t="shared" si="51"/>
        <v>41525.381349877753</v>
      </c>
      <c r="J64" s="78">
        <f t="shared" si="52"/>
        <v>0</v>
      </c>
      <c r="K64" s="78">
        <f t="shared" si="53"/>
        <v>0</v>
      </c>
      <c r="L64" s="78">
        <f t="shared" si="54"/>
        <v>20574.716110444286</v>
      </c>
      <c r="M64" s="194">
        <f t="shared" si="55"/>
        <v>20574.716110444286</v>
      </c>
      <c r="N64" s="78">
        <f t="shared" si="56"/>
        <v>-20574.716110444286</v>
      </c>
      <c r="O64" s="165">
        <v>0</v>
      </c>
      <c r="P64" s="166">
        <f t="shared" si="57"/>
        <v>0</v>
      </c>
      <c r="Q64" s="119">
        <f t="shared" si="58"/>
        <v>18750.665239433467</v>
      </c>
      <c r="R64" s="167">
        <f t="shared" si="59"/>
        <v>1031.2865881688406</v>
      </c>
      <c r="S64" s="165">
        <v>0</v>
      </c>
      <c r="T64" s="166">
        <f t="shared" si="60"/>
        <v>0</v>
      </c>
      <c r="U64" s="33">
        <f t="shared" si="61"/>
        <v>19981.951827602308</v>
      </c>
      <c r="V64" s="167">
        <f t="shared" si="62"/>
        <v>1099.0073505181269</v>
      </c>
      <c r="W64" s="165">
        <v>0</v>
      </c>
      <c r="X64" s="166">
        <f t="shared" si="63"/>
        <v>0</v>
      </c>
      <c r="Y64" s="33">
        <f t="shared" si="64"/>
        <v>21280.959178120436</v>
      </c>
      <c r="Z64" s="167">
        <f t="shared" si="65"/>
        <v>1170.452754796624</v>
      </c>
      <c r="AA64" s="165">
        <v>0</v>
      </c>
      <c r="AB64" s="166">
        <f t="shared" si="66"/>
        <v>0</v>
      </c>
      <c r="AC64" s="33">
        <f t="shared" si="67"/>
        <v>22651.411932917061</v>
      </c>
      <c r="AD64" s="167">
        <f t="shared" si="68"/>
        <v>1245.8276563104384</v>
      </c>
      <c r="AE64" s="165">
        <v>0</v>
      </c>
      <c r="AF64" s="166">
        <f t="shared" si="69"/>
        <v>0</v>
      </c>
      <c r="AG64" s="33">
        <f t="shared" si="70"/>
        <v>24097.239589227498</v>
      </c>
      <c r="AH64" s="167">
        <f t="shared" si="71"/>
        <v>1325.3481774075124</v>
      </c>
      <c r="AI64" s="165">
        <v>0</v>
      </c>
      <c r="AJ64" s="166">
        <f t="shared" si="72"/>
        <v>0</v>
      </c>
      <c r="AK64" s="33">
        <f t="shared" si="73"/>
        <v>25622.58776663501</v>
      </c>
      <c r="AL64" s="167">
        <f t="shared" si="74"/>
        <v>1409.2423271649257</v>
      </c>
      <c r="AM64" s="165">
        <v>0</v>
      </c>
      <c r="AN64" s="166">
        <f t="shared" si="75"/>
        <v>0</v>
      </c>
      <c r="AO64" s="33">
        <f t="shared" si="76"/>
        <v>27231.830093799934</v>
      </c>
      <c r="AP64" s="167">
        <f t="shared" si="77"/>
        <v>1497.7506551589963</v>
      </c>
      <c r="AQ64" s="165">
        <v>0</v>
      </c>
      <c r="AR64" s="166">
        <f t="shared" si="78"/>
        <v>0</v>
      </c>
      <c r="AS64" s="33">
        <f t="shared" si="79"/>
        <v>28929.580748958932</v>
      </c>
      <c r="AT64" s="167">
        <f t="shared" si="80"/>
        <v>2025.0706524271254</v>
      </c>
      <c r="AU64" s="165">
        <v>0</v>
      </c>
      <c r="AV64" s="166">
        <f t="shared" si="81"/>
        <v>0</v>
      </c>
      <c r="AW64" s="33">
        <f t="shared" si="82"/>
        <v>31154.651401386058</v>
      </c>
      <c r="AX64" s="167">
        <f t="shared" si="83"/>
        <v>2180.8255980970243</v>
      </c>
      <c r="AY64" s="165">
        <v>0</v>
      </c>
      <c r="AZ64" s="166">
        <f t="shared" si="84"/>
        <v>0</v>
      </c>
      <c r="BA64" s="33">
        <f t="shared" si="85"/>
        <v>33535.476999483086</v>
      </c>
      <c r="BB64" s="167">
        <f t="shared" si="86"/>
        <v>2347.4833899638161</v>
      </c>
      <c r="BC64" s="165">
        <v>0</v>
      </c>
      <c r="BD64" s="166">
        <f t="shared" si="87"/>
        <v>0</v>
      </c>
      <c r="BE64" s="33">
        <f t="shared" si="88"/>
        <v>36082.960389446904</v>
      </c>
      <c r="BF64" s="167">
        <f t="shared" si="89"/>
        <v>2525.8072272612835</v>
      </c>
      <c r="BG64" s="165">
        <v>0</v>
      </c>
      <c r="BH64" s="166">
        <f t="shared" si="90"/>
        <v>0</v>
      </c>
      <c r="BI64" s="33">
        <f t="shared" si="91"/>
        <v>38808.767616708188</v>
      </c>
      <c r="BJ64" s="167">
        <f t="shared" si="92"/>
        <v>2716.6137331695736</v>
      </c>
      <c r="BK64" s="87">
        <f t="shared" si="93"/>
        <v>0</v>
      </c>
      <c r="BL64" s="33">
        <f>'2022-2023'!BL64+'2023-2024'!BK64</f>
        <v>710</v>
      </c>
    </row>
    <row r="65" spans="1:66">
      <c r="A65" s="10" t="s">
        <v>636</v>
      </c>
      <c r="B65" s="10" t="s">
        <v>128</v>
      </c>
      <c r="C65" s="80">
        <v>0</v>
      </c>
      <c r="D65" s="79">
        <f t="shared" si="47"/>
        <v>2400</v>
      </c>
      <c r="E65" s="78">
        <f>'2022-2023'!I65</f>
        <v>19387.172977208655</v>
      </c>
      <c r="F65" s="187">
        <f t="shared" si="48"/>
        <v>2400</v>
      </c>
      <c r="G65" s="33">
        <f t="shared" si="49"/>
        <v>0</v>
      </c>
      <c r="H65" s="190">
        <f t="shared" si="50"/>
        <v>2400</v>
      </c>
      <c r="I65" s="78">
        <f t="shared" si="51"/>
        <v>43232.076948311311</v>
      </c>
      <c r="J65" s="78">
        <f t="shared" si="52"/>
        <v>0</v>
      </c>
      <c r="K65" s="78">
        <f t="shared" si="53"/>
        <v>0</v>
      </c>
      <c r="L65" s="78">
        <f t="shared" si="54"/>
        <v>21444.90397110266</v>
      </c>
      <c r="M65" s="194">
        <f t="shared" si="55"/>
        <v>21444.90397110266</v>
      </c>
      <c r="N65" s="78">
        <f t="shared" si="56"/>
        <v>-21444.90397110266</v>
      </c>
      <c r="O65" s="165">
        <v>0</v>
      </c>
      <c r="P65" s="166">
        <f t="shared" si="57"/>
        <v>0</v>
      </c>
      <c r="Q65" s="119">
        <f t="shared" si="58"/>
        <v>19587.172977208655</v>
      </c>
      <c r="R65" s="167">
        <f t="shared" si="59"/>
        <v>1077.294513746476</v>
      </c>
      <c r="S65" s="165">
        <v>0</v>
      </c>
      <c r="T65" s="166">
        <f t="shared" si="60"/>
        <v>0</v>
      </c>
      <c r="U65" s="33">
        <f t="shared" si="61"/>
        <v>20864.467490955132</v>
      </c>
      <c r="V65" s="167">
        <f t="shared" si="62"/>
        <v>1147.5457120025324</v>
      </c>
      <c r="W65" s="165">
        <v>0</v>
      </c>
      <c r="X65" s="166">
        <f t="shared" si="63"/>
        <v>0</v>
      </c>
      <c r="Y65" s="33">
        <f t="shared" si="64"/>
        <v>22212.013202957663</v>
      </c>
      <c r="Z65" s="167">
        <f t="shared" si="65"/>
        <v>1221.6607261626716</v>
      </c>
      <c r="AA65" s="165">
        <v>0</v>
      </c>
      <c r="AB65" s="166">
        <f t="shared" si="66"/>
        <v>0</v>
      </c>
      <c r="AC65" s="33">
        <f t="shared" si="67"/>
        <v>23633.673929120334</v>
      </c>
      <c r="AD65" s="167">
        <f t="shared" si="68"/>
        <v>1299.8520661016184</v>
      </c>
      <c r="AE65" s="165">
        <v>0</v>
      </c>
      <c r="AF65" s="166">
        <f t="shared" si="69"/>
        <v>0</v>
      </c>
      <c r="AG65" s="33">
        <f t="shared" si="70"/>
        <v>25133.525995221953</v>
      </c>
      <c r="AH65" s="167">
        <f t="shared" si="71"/>
        <v>1382.3439297372074</v>
      </c>
      <c r="AI65" s="165">
        <v>0</v>
      </c>
      <c r="AJ65" s="166">
        <f t="shared" si="72"/>
        <v>0</v>
      </c>
      <c r="AK65" s="33">
        <f t="shared" si="73"/>
        <v>26715.869924959159</v>
      </c>
      <c r="AL65" s="167">
        <f t="shared" si="74"/>
        <v>1469.3728458727537</v>
      </c>
      <c r="AM65" s="165">
        <v>0</v>
      </c>
      <c r="AN65" s="166">
        <f t="shared" si="75"/>
        <v>0</v>
      </c>
      <c r="AO65" s="33">
        <f t="shared" si="76"/>
        <v>28385.242770831912</v>
      </c>
      <c r="AP65" s="167">
        <f t="shared" si="77"/>
        <v>1561.1883523957551</v>
      </c>
      <c r="AQ65" s="165">
        <v>0</v>
      </c>
      <c r="AR65" s="166">
        <f t="shared" si="78"/>
        <v>0</v>
      </c>
      <c r="AS65" s="33">
        <f t="shared" si="79"/>
        <v>30146.431123227667</v>
      </c>
      <c r="AT65" s="167">
        <f t="shared" si="80"/>
        <v>2110.2501786259368</v>
      </c>
      <c r="AU65" s="165">
        <v>0</v>
      </c>
      <c r="AV65" s="166">
        <f t="shared" si="81"/>
        <v>0</v>
      </c>
      <c r="AW65" s="33">
        <f t="shared" si="82"/>
        <v>32456.681301853605</v>
      </c>
      <c r="AX65" s="167">
        <f t="shared" si="83"/>
        <v>2271.9676911297524</v>
      </c>
      <c r="AY65" s="165">
        <v>0</v>
      </c>
      <c r="AZ65" s="166">
        <f t="shared" si="84"/>
        <v>0</v>
      </c>
      <c r="BA65" s="33">
        <f t="shared" si="85"/>
        <v>34928.648992983355</v>
      </c>
      <c r="BB65" s="167">
        <f t="shared" si="86"/>
        <v>2445.0054295088353</v>
      </c>
      <c r="BC65" s="165">
        <v>0</v>
      </c>
      <c r="BD65" s="166">
        <f t="shared" si="87"/>
        <v>0</v>
      </c>
      <c r="BE65" s="33">
        <f t="shared" si="88"/>
        <v>37573.654422492189</v>
      </c>
      <c r="BF65" s="167">
        <f t="shared" si="89"/>
        <v>2630.1558095744535</v>
      </c>
      <c r="BG65" s="165">
        <v>0</v>
      </c>
      <c r="BH65" s="166">
        <f t="shared" si="90"/>
        <v>0</v>
      </c>
      <c r="BI65" s="33">
        <f t="shared" si="91"/>
        <v>40403.810232066644</v>
      </c>
      <c r="BJ65" s="167">
        <f t="shared" si="92"/>
        <v>2828.2667162446655</v>
      </c>
      <c r="BK65" s="87">
        <f t="shared" si="93"/>
        <v>0</v>
      </c>
      <c r="BL65" s="33">
        <f>'2022-2023'!BL65+'2023-2024'!BK65</f>
        <v>300</v>
      </c>
    </row>
    <row r="66" spans="1:66">
      <c r="A66" s="10" t="s">
        <v>637</v>
      </c>
      <c r="B66" s="10" t="s">
        <v>155</v>
      </c>
      <c r="C66" s="80">
        <v>0</v>
      </c>
      <c r="D66" s="79">
        <f t="shared" si="47"/>
        <v>2400</v>
      </c>
      <c r="E66" s="78">
        <f>'2022-2023'!I66</f>
        <v>15102.621149579656</v>
      </c>
      <c r="F66" s="187">
        <f t="shared" si="48"/>
        <v>2400</v>
      </c>
      <c r="G66" s="33">
        <f t="shared" si="49"/>
        <v>0</v>
      </c>
      <c r="H66" s="190">
        <f t="shared" si="50"/>
        <v>2400</v>
      </c>
      <c r="I66" s="78">
        <f t="shared" si="51"/>
        <v>34490.465346578465</v>
      </c>
      <c r="J66" s="78">
        <f t="shared" si="52"/>
        <v>0</v>
      </c>
      <c r="K66" s="78">
        <f t="shared" si="53"/>
        <v>0</v>
      </c>
      <c r="L66" s="78">
        <f t="shared" si="54"/>
        <v>16987.844196998809</v>
      </c>
      <c r="M66" s="194">
        <f t="shared" si="55"/>
        <v>16987.844196998809</v>
      </c>
      <c r="N66" s="78">
        <f t="shared" si="56"/>
        <v>-16987.844196998809</v>
      </c>
      <c r="O66" s="165">
        <v>0</v>
      </c>
      <c r="P66" s="166">
        <f t="shared" si="57"/>
        <v>0</v>
      </c>
      <c r="Q66" s="119">
        <f t="shared" si="58"/>
        <v>15302.621149579656</v>
      </c>
      <c r="R66" s="167">
        <f t="shared" si="59"/>
        <v>841.64416322688112</v>
      </c>
      <c r="S66" s="165">
        <v>0</v>
      </c>
      <c r="T66" s="166">
        <f t="shared" si="60"/>
        <v>0</v>
      </c>
      <c r="U66" s="33">
        <f t="shared" si="61"/>
        <v>16344.265312806538</v>
      </c>
      <c r="V66" s="167">
        <f t="shared" si="62"/>
        <v>898.93459220435955</v>
      </c>
      <c r="W66" s="165">
        <v>0</v>
      </c>
      <c r="X66" s="166">
        <f t="shared" si="63"/>
        <v>0</v>
      </c>
      <c r="Y66" s="33">
        <f t="shared" si="64"/>
        <v>17443.199905010897</v>
      </c>
      <c r="Z66" s="167">
        <f t="shared" si="65"/>
        <v>959.37599477559934</v>
      </c>
      <c r="AA66" s="165">
        <v>0</v>
      </c>
      <c r="AB66" s="166">
        <f t="shared" si="66"/>
        <v>0</v>
      </c>
      <c r="AC66" s="33">
        <f t="shared" si="67"/>
        <v>18602.575899786498</v>
      </c>
      <c r="AD66" s="167">
        <f t="shared" si="68"/>
        <v>1023.1416744882574</v>
      </c>
      <c r="AE66" s="165">
        <v>0</v>
      </c>
      <c r="AF66" s="166">
        <f t="shared" si="69"/>
        <v>0</v>
      </c>
      <c r="AG66" s="33">
        <f t="shared" si="70"/>
        <v>19825.717574274757</v>
      </c>
      <c r="AH66" s="167">
        <f t="shared" si="71"/>
        <v>1090.4144665851115</v>
      </c>
      <c r="AI66" s="165">
        <v>0</v>
      </c>
      <c r="AJ66" s="166">
        <f t="shared" si="72"/>
        <v>0</v>
      </c>
      <c r="AK66" s="33">
        <f t="shared" si="73"/>
        <v>21116.132040859869</v>
      </c>
      <c r="AL66" s="167">
        <f t="shared" si="74"/>
        <v>1161.3872622472929</v>
      </c>
      <c r="AM66" s="165">
        <v>0</v>
      </c>
      <c r="AN66" s="166">
        <f t="shared" si="75"/>
        <v>0</v>
      </c>
      <c r="AO66" s="33">
        <f t="shared" si="76"/>
        <v>22477.519303107161</v>
      </c>
      <c r="AP66" s="167">
        <f t="shared" si="77"/>
        <v>1236.263561670894</v>
      </c>
      <c r="AQ66" s="165">
        <v>0</v>
      </c>
      <c r="AR66" s="166">
        <f t="shared" si="78"/>
        <v>0</v>
      </c>
      <c r="AS66" s="33">
        <f t="shared" si="79"/>
        <v>23913.782864778055</v>
      </c>
      <c r="AT66" s="167">
        <f t="shared" si="80"/>
        <v>1673.9648005344641</v>
      </c>
      <c r="AU66" s="165">
        <v>0</v>
      </c>
      <c r="AV66" s="166">
        <f t="shared" si="81"/>
        <v>0</v>
      </c>
      <c r="AW66" s="33">
        <f t="shared" si="82"/>
        <v>25787.74766531252</v>
      </c>
      <c r="AX66" s="167">
        <f t="shared" si="83"/>
        <v>1805.1423365718765</v>
      </c>
      <c r="AY66" s="165">
        <v>0</v>
      </c>
      <c r="AZ66" s="166">
        <f t="shared" si="84"/>
        <v>0</v>
      </c>
      <c r="BA66" s="33">
        <f t="shared" si="85"/>
        <v>27792.890001884396</v>
      </c>
      <c r="BB66" s="167">
        <f t="shared" si="86"/>
        <v>1945.502300131908</v>
      </c>
      <c r="BC66" s="165">
        <v>0</v>
      </c>
      <c r="BD66" s="166">
        <f t="shared" si="87"/>
        <v>0</v>
      </c>
      <c r="BE66" s="33">
        <f t="shared" si="88"/>
        <v>29938.392302016306</v>
      </c>
      <c r="BF66" s="167">
        <f t="shared" si="89"/>
        <v>2095.6874611411417</v>
      </c>
      <c r="BG66" s="165">
        <v>0</v>
      </c>
      <c r="BH66" s="166">
        <f t="shared" si="90"/>
        <v>0</v>
      </c>
      <c r="BI66" s="33">
        <f t="shared" si="91"/>
        <v>32234.079763157446</v>
      </c>
      <c r="BJ66" s="167">
        <f t="shared" si="92"/>
        <v>2256.3855834210212</v>
      </c>
      <c r="BK66" s="87">
        <f t="shared" si="93"/>
        <v>0</v>
      </c>
      <c r="BL66" s="33">
        <f>'2022-2023'!BL66+'2023-2024'!BK66</f>
        <v>2500</v>
      </c>
    </row>
    <row r="67" spans="1:66">
      <c r="A67" s="10" t="s">
        <v>638</v>
      </c>
      <c r="B67" s="10" t="s">
        <v>126</v>
      </c>
      <c r="C67" s="80">
        <v>0</v>
      </c>
      <c r="D67" s="79">
        <f t="shared" ref="D67:D89" si="94">200*12</f>
        <v>2400</v>
      </c>
      <c r="E67" s="78">
        <f>'2022-2023'!I67</f>
        <v>12819.755935814062</v>
      </c>
      <c r="F67" s="187">
        <f t="shared" ref="F67:F89" si="95">C67+D67</f>
        <v>2400</v>
      </c>
      <c r="G67" s="33">
        <f t="shared" ref="G67:G89" si="96">BK67</f>
        <v>0</v>
      </c>
      <c r="H67" s="190">
        <f t="shared" ref="H67:H89" si="97">F67-G67-C67</f>
        <v>2400</v>
      </c>
      <c r="I67" s="78">
        <f t="shared" ref="I67:I89" si="98">H67+L67+E67</f>
        <v>29832.820430449872</v>
      </c>
      <c r="J67" s="78">
        <f t="shared" ref="J67:J89" si="99">P67+T67+X67+AB67+AF67+AJ67+AN67+AR67+AV67+AZ67+BD67+BH67</f>
        <v>0</v>
      </c>
      <c r="K67" s="78">
        <f t="shared" ref="K67:K89" si="100">(G67-J67-C67)*5.5%</f>
        <v>0</v>
      </c>
      <c r="L67" s="78">
        <f t="shared" ref="L67:L89" si="101">R67+V67+Z67+AD67+AH67+AL67+AP67+AT67+AX67+BB67+BF67+BJ67</f>
        <v>14613.06449463581</v>
      </c>
      <c r="M67" s="194">
        <f t="shared" ref="M67:M89" si="102">L67</f>
        <v>14613.06449463581</v>
      </c>
      <c r="N67" s="78">
        <f t="shared" ref="N67:N89" si="103">G67-J67-L67+K67</f>
        <v>-14613.06449463581</v>
      </c>
      <c r="O67" s="165">
        <v>0</v>
      </c>
      <c r="P67" s="166">
        <f t="shared" ref="P67:P89" si="104">O67*0%</f>
        <v>0</v>
      </c>
      <c r="Q67" s="119">
        <f t="shared" ref="Q67:Q89" si="105">E67+200</f>
        <v>13019.755935814062</v>
      </c>
      <c r="R67" s="167">
        <f t="shared" ref="R67:R89" si="106">(Q67-O67)*0.055</f>
        <v>716.08657646977349</v>
      </c>
      <c r="S67" s="165">
        <v>0</v>
      </c>
      <c r="T67" s="166">
        <f t="shared" ref="T67:T89" si="107">S67*0%</f>
        <v>0</v>
      </c>
      <c r="U67" s="33">
        <f t="shared" ref="U67:U89" si="108">Q67-S67+200+R67</f>
        <v>13935.842512283836</v>
      </c>
      <c r="V67" s="167">
        <f t="shared" ref="V67:V89" si="109">(U67-S67)*0.055</f>
        <v>766.47133817561098</v>
      </c>
      <c r="W67" s="165">
        <v>0</v>
      </c>
      <c r="X67" s="166">
        <f t="shared" ref="X67:X89" si="110">W67*0%</f>
        <v>0</v>
      </c>
      <c r="Y67" s="33">
        <f t="shared" ref="Y67:Y89" si="111">U67-W67+200+V67</f>
        <v>14902.313850459446</v>
      </c>
      <c r="Z67" s="167">
        <f t="shared" ref="Z67:Z89" si="112">(Y67-W67)*0.055</f>
        <v>819.62726177526952</v>
      </c>
      <c r="AA67" s="165">
        <v>0</v>
      </c>
      <c r="AB67" s="166">
        <f t="shared" ref="AB67:AB89" si="113">AA67*0%</f>
        <v>0</v>
      </c>
      <c r="AC67" s="33">
        <f t="shared" ref="AC67:AC89" si="114">Y67-AA67+200+Z67</f>
        <v>15921.941112234716</v>
      </c>
      <c r="AD67" s="167">
        <f t="shared" ref="AD67:AD89" si="115">(AC67-AA67)*0.055</f>
        <v>875.70676117290941</v>
      </c>
      <c r="AE67" s="165">
        <v>0</v>
      </c>
      <c r="AF67" s="166">
        <f t="shared" ref="AF67:AF89" si="116">AE67*0%</f>
        <v>0</v>
      </c>
      <c r="AG67" s="33">
        <f t="shared" ref="AG67:AG89" si="117">AC67-AE67+200+AD67</f>
        <v>16997.647873407626</v>
      </c>
      <c r="AH67" s="167">
        <f t="shared" ref="AH67:AH89" si="118">(AG67-AE67)*0.055</f>
        <v>934.87063303741945</v>
      </c>
      <c r="AI67" s="165">
        <v>0</v>
      </c>
      <c r="AJ67" s="166">
        <f t="shared" ref="AJ67:AJ89" si="119">AI67*0%</f>
        <v>0</v>
      </c>
      <c r="AK67" s="33">
        <f t="shared" ref="AK67:AK89" si="120">AG67-AI67+200+AH67</f>
        <v>18132.518506445045</v>
      </c>
      <c r="AL67" s="167">
        <f t="shared" ref="AL67:AL89" si="121">(AK67-AI67)*0.055</f>
        <v>997.2885178544775</v>
      </c>
      <c r="AM67" s="165">
        <v>0</v>
      </c>
      <c r="AN67" s="166">
        <f t="shared" ref="AN67:AN89" si="122">AM67*0%</f>
        <v>0</v>
      </c>
      <c r="AO67" s="33">
        <f t="shared" ref="AO67:AO89" si="123">AK67-AM67+200+AL67</f>
        <v>19329.807024299524</v>
      </c>
      <c r="AP67" s="167">
        <f t="shared" ref="AP67:AP89" si="124">(AO67-AM67)*0.055</f>
        <v>1063.1393863364738</v>
      </c>
      <c r="AQ67" s="165">
        <v>0</v>
      </c>
      <c r="AR67" s="166">
        <f t="shared" ref="AR67:AR89" si="125">AQ67*0%</f>
        <v>0</v>
      </c>
      <c r="AS67" s="33">
        <f t="shared" ref="AS67:AS89" si="126">AO67-AQ67+200+AP67</f>
        <v>20592.946410635996</v>
      </c>
      <c r="AT67" s="167">
        <f t="shared" ref="AT67:AT89" si="127">(AS67-AQ67)*0.07</f>
        <v>1441.5062487445198</v>
      </c>
      <c r="AU67" s="165">
        <v>0</v>
      </c>
      <c r="AV67" s="166">
        <f t="shared" ref="AV67:AV89" si="128">AU67*0%</f>
        <v>0</v>
      </c>
      <c r="AW67" s="33">
        <f t="shared" ref="AW67:AW89" si="129">AS67-AU67+200+AT67</f>
        <v>22234.452659380517</v>
      </c>
      <c r="AX67" s="167">
        <f t="shared" ref="AX67:AX89" si="130">(AW67-AU67)*0.07</f>
        <v>1556.4116861566363</v>
      </c>
      <c r="AY67" s="165">
        <v>0</v>
      </c>
      <c r="AZ67" s="166">
        <f t="shared" ref="AZ67:AZ89" si="131">AY67*0%</f>
        <v>0</v>
      </c>
      <c r="BA67" s="33">
        <f t="shared" ref="BA67:BA89" si="132">AW67-AY67+200+AX67</f>
        <v>23990.864345537153</v>
      </c>
      <c r="BB67" s="167">
        <f t="shared" ref="BB67:BB89" si="133">(BA67-AY67)*0.07</f>
        <v>1679.3605041876008</v>
      </c>
      <c r="BC67" s="165">
        <v>0</v>
      </c>
      <c r="BD67" s="166">
        <f t="shared" ref="BD67:BD89" si="134">BC67*0%</f>
        <v>0</v>
      </c>
      <c r="BE67" s="33">
        <f t="shared" ref="BE67:BE89" si="135">BA67-BC67+200+BB67</f>
        <v>25870.224849724753</v>
      </c>
      <c r="BF67" s="167">
        <f t="shared" ref="BF67:BF89" si="136">(BE67-BC67)*0.07</f>
        <v>1810.9157394807328</v>
      </c>
      <c r="BG67" s="165">
        <v>0</v>
      </c>
      <c r="BH67" s="166">
        <f t="shared" ref="BH67:BH89" si="137">BG67*0%</f>
        <v>0</v>
      </c>
      <c r="BI67" s="33">
        <f t="shared" ref="BI67:BI89" si="138">BE67-BG67+200+BF67</f>
        <v>27881.140589205486</v>
      </c>
      <c r="BJ67" s="167">
        <f t="shared" ref="BJ67:BJ89" si="139">(BI67-BG67)*0.07</f>
        <v>1951.6798412443843</v>
      </c>
      <c r="BK67" s="87">
        <f t="shared" ref="BK67:BK89" si="140">O67+S67+W67+AA67+AE67+AI67+AQ67+AM67+AU67+AY67+BC67+BG67</f>
        <v>0</v>
      </c>
      <c r="BL67" s="33">
        <f>'2022-2023'!BL67+'2023-2024'!BK67</f>
        <v>5000</v>
      </c>
    </row>
    <row r="68" spans="1:66">
      <c r="A68" s="10" t="s">
        <v>639</v>
      </c>
      <c r="B68" s="10" t="s">
        <v>116</v>
      </c>
      <c r="C68" s="80">
        <v>0</v>
      </c>
      <c r="D68" s="79">
        <f t="shared" si="94"/>
        <v>2400</v>
      </c>
      <c r="E68" s="78">
        <f>'2022-2023'!I68</f>
        <v>4901.3072742725162</v>
      </c>
      <c r="F68" s="187">
        <f t="shared" si="95"/>
        <v>2400</v>
      </c>
      <c r="G68" s="33">
        <f t="shared" si="96"/>
        <v>0</v>
      </c>
      <c r="H68" s="190">
        <f t="shared" si="97"/>
        <v>2400</v>
      </c>
      <c r="I68" s="78">
        <f t="shared" si="98"/>
        <v>13677.104390071667</v>
      </c>
      <c r="J68" s="78">
        <f t="shared" si="99"/>
        <v>0</v>
      </c>
      <c r="K68" s="78">
        <f t="shared" si="100"/>
        <v>0</v>
      </c>
      <c r="L68" s="78">
        <f t="shared" si="101"/>
        <v>6375.7971157991506</v>
      </c>
      <c r="M68" s="194">
        <f t="shared" si="102"/>
        <v>6375.7971157991506</v>
      </c>
      <c r="N68" s="78">
        <f t="shared" si="103"/>
        <v>-6375.7971157991506</v>
      </c>
      <c r="O68" s="165">
        <v>0</v>
      </c>
      <c r="P68" s="166">
        <f t="shared" si="104"/>
        <v>0</v>
      </c>
      <c r="Q68" s="119">
        <f t="shared" si="105"/>
        <v>5101.3072742725162</v>
      </c>
      <c r="R68" s="167">
        <f t="shared" si="106"/>
        <v>280.57190008498839</v>
      </c>
      <c r="S68" s="165">
        <v>0</v>
      </c>
      <c r="T68" s="166">
        <f t="shared" si="107"/>
        <v>0</v>
      </c>
      <c r="U68" s="33">
        <f t="shared" si="108"/>
        <v>5581.8791743575048</v>
      </c>
      <c r="V68" s="167">
        <f t="shared" si="109"/>
        <v>307.00335458966276</v>
      </c>
      <c r="W68" s="165">
        <v>0</v>
      </c>
      <c r="X68" s="166">
        <f t="shared" si="110"/>
        <v>0</v>
      </c>
      <c r="Y68" s="33">
        <f t="shared" si="111"/>
        <v>6088.8825289471679</v>
      </c>
      <c r="Z68" s="167">
        <f t="shared" si="112"/>
        <v>334.88853909209422</v>
      </c>
      <c r="AA68" s="165">
        <v>0</v>
      </c>
      <c r="AB68" s="166">
        <f t="shared" si="113"/>
        <v>0</v>
      </c>
      <c r="AC68" s="33">
        <f t="shared" si="114"/>
        <v>6623.771068039262</v>
      </c>
      <c r="AD68" s="167">
        <f t="shared" si="115"/>
        <v>364.3074087421594</v>
      </c>
      <c r="AE68" s="165">
        <v>0</v>
      </c>
      <c r="AF68" s="166">
        <f t="shared" si="116"/>
        <v>0</v>
      </c>
      <c r="AG68" s="33">
        <f t="shared" si="117"/>
        <v>7188.0784767814212</v>
      </c>
      <c r="AH68" s="167">
        <f t="shared" si="118"/>
        <v>395.34431622297819</v>
      </c>
      <c r="AI68" s="165">
        <v>0</v>
      </c>
      <c r="AJ68" s="166">
        <f t="shared" si="119"/>
        <v>0</v>
      </c>
      <c r="AK68" s="33">
        <f t="shared" si="120"/>
        <v>7783.422793004399</v>
      </c>
      <c r="AL68" s="167">
        <f t="shared" si="121"/>
        <v>428.08825361524197</v>
      </c>
      <c r="AM68" s="165">
        <v>0</v>
      </c>
      <c r="AN68" s="166">
        <f t="shared" si="122"/>
        <v>0</v>
      </c>
      <c r="AO68" s="33">
        <f t="shared" si="123"/>
        <v>8411.5110466196402</v>
      </c>
      <c r="AP68" s="167">
        <f t="shared" si="124"/>
        <v>462.63310756408021</v>
      </c>
      <c r="AQ68" s="165">
        <v>0</v>
      </c>
      <c r="AR68" s="166">
        <f t="shared" si="125"/>
        <v>0</v>
      </c>
      <c r="AS68" s="33">
        <f t="shared" si="126"/>
        <v>9074.1441541837212</v>
      </c>
      <c r="AT68" s="167">
        <f t="shared" si="127"/>
        <v>635.19009079286059</v>
      </c>
      <c r="AU68" s="165">
        <v>0</v>
      </c>
      <c r="AV68" s="166">
        <f t="shared" si="128"/>
        <v>0</v>
      </c>
      <c r="AW68" s="33">
        <f t="shared" si="129"/>
        <v>9909.3342449765823</v>
      </c>
      <c r="AX68" s="167">
        <f t="shared" si="130"/>
        <v>693.6533971483608</v>
      </c>
      <c r="AY68" s="165">
        <v>0</v>
      </c>
      <c r="AZ68" s="166">
        <f t="shared" si="131"/>
        <v>0</v>
      </c>
      <c r="BA68" s="33">
        <f t="shared" si="132"/>
        <v>10802.987642124943</v>
      </c>
      <c r="BB68" s="167">
        <f t="shared" si="133"/>
        <v>756.20913494874605</v>
      </c>
      <c r="BC68" s="165">
        <v>0</v>
      </c>
      <c r="BD68" s="166">
        <f t="shared" si="134"/>
        <v>0</v>
      </c>
      <c r="BE68" s="33">
        <f t="shared" si="135"/>
        <v>11759.196777073688</v>
      </c>
      <c r="BF68" s="167">
        <f t="shared" si="136"/>
        <v>823.14377439515829</v>
      </c>
      <c r="BG68" s="165">
        <v>0</v>
      </c>
      <c r="BH68" s="166">
        <f t="shared" si="137"/>
        <v>0</v>
      </c>
      <c r="BI68" s="33">
        <f t="shared" si="138"/>
        <v>12782.340551468846</v>
      </c>
      <c r="BJ68" s="167">
        <f t="shared" si="139"/>
        <v>894.76383860281931</v>
      </c>
      <c r="BK68" s="87">
        <f t="shared" si="140"/>
        <v>0</v>
      </c>
      <c r="BL68" s="33">
        <f>'2022-2023'!BL68+'2023-2024'!BK68</f>
        <v>9100</v>
      </c>
    </row>
    <row r="69" spans="1:66">
      <c r="A69" s="10" t="s">
        <v>640</v>
      </c>
      <c r="B69" s="10" t="s">
        <v>154</v>
      </c>
      <c r="C69" s="80">
        <v>0</v>
      </c>
      <c r="D69" s="79">
        <f t="shared" si="94"/>
        <v>2400</v>
      </c>
      <c r="E69" s="78">
        <f>'2022-2023'!I69</f>
        <v>9797.9379344199442</v>
      </c>
      <c r="F69" s="187">
        <f t="shared" si="95"/>
        <v>2400</v>
      </c>
      <c r="G69" s="33">
        <f t="shared" si="96"/>
        <v>0</v>
      </c>
      <c r="H69" s="190">
        <f t="shared" si="97"/>
        <v>2400</v>
      </c>
      <c r="I69" s="78">
        <f t="shared" si="98"/>
        <v>23667.517649194931</v>
      </c>
      <c r="J69" s="78">
        <f t="shared" si="99"/>
        <v>0</v>
      </c>
      <c r="K69" s="78">
        <f t="shared" si="100"/>
        <v>0</v>
      </c>
      <c r="L69" s="78">
        <f t="shared" si="101"/>
        <v>11469.579714774985</v>
      </c>
      <c r="M69" s="194">
        <f t="shared" si="102"/>
        <v>11469.579714774985</v>
      </c>
      <c r="N69" s="78">
        <f t="shared" si="103"/>
        <v>-11469.579714774985</v>
      </c>
      <c r="O69" s="165">
        <v>0</v>
      </c>
      <c r="P69" s="166">
        <f t="shared" si="104"/>
        <v>0</v>
      </c>
      <c r="Q69" s="119">
        <f t="shared" si="105"/>
        <v>9997.9379344199442</v>
      </c>
      <c r="R69" s="167">
        <f t="shared" si="106"/>
        <v>549.88658639309699</v>
      </c>
      <c r="S69" s="165">
        <v>0</v>
      </c>
      <c r="T69" s="166">
        <f t="shared" si="107"/>
        <v>0</v>
      </c>
      <c r="U69" s="33">
        <f t="shared" si="108"/>
        <v>10747.824520813041</v>
      </c>
      <c r="V69" s="167">
        <f t="shared" si="109"/>
        <v>591.13034864471729</v>
      </c>
      <c r="W69" s="165">
        <v>0</v>
      </c>
      <c r="X69" s="166">
        <f t="shared" si="110"/>
        <v>0</v>
      </c>
      <c r="Y69" s="33">
        <f t="shared" si="111"/>
        <v>11538.954869457759</v>
      </c>
      <c r="Z69" s="167">
        <f t="shared" si="112"/>
        <v>634.64251782017675</v>
      </c>
      <c r="AA69" s="165">
        <v>0</v>
      </c>
      <c r="AB69" s="166">
        <f t="shared" si="113"/>
        <v>0</v>
      </c>
      <c r="AC69" s="33">
        <f t="shared" si="114"/>
        <v>12373.597387277936</v>
      </c>
      <c r="AD69" s="167">
        <f t="shared" si="115"/>
        <v>680.54785630028653</v>
      </c>
      <c r="AE69" s="165">
        <v>0</v>
      </c>
      <c r="AF69" s="166">
        <f t="shared" si="116"/>
        <v>0</v>
      </c>
      <c r="AG69" s="33">
        <f t="shared" si="117"/>
        <v>13254.145243578223</v>
      </c>
      <c r="AH69" s="167">
        <f t="shared" si="118"/>
        <v>728.97798839680229</v>
      </c>
      <c r="AI69" s="165">
        <v>0</v>
      </c>
      <c r="AJ69" s="166">
        <f t="shared" si="119"/>
        <v>0</v>
      </c>
      <c r="AK69" s="33">
        <f t="shared" si="120"/>
        <v>14183.123231975025</v>
      </c>
      <c r="AL69" s="167">
        <f t="shared" si="121"/>
        <v>780.07177775862635</v>
      </c>
      <c r="AM69" s="165">
        <v>0</v>
      </c>
      <c r="AN69" s="166">
        <f t="shared" si="122"/>
        <v>0</v>
      </c>
      <c r="AO69" s="33">
        <f t="shared" si="123"/>
        <v>15163.195009733652</v>
      </c>
      <c r="AP69" s="167">
        <f t="shared" si="124"/>
        <v>833.97572553535088</v>
      </c>
      <c r="AQ69" s="165">
        <v>0</v>
      </c>
      <c r="AR69" s="166">
        <f t="shared" si="125"/>
        <v>0</v>
      </c>
      <c r="AS69" s="33">
        <f t="shared" si="126"/>
        <v>16197.170735269003</v>
      </c>
      <c r="AT69" s="167">
        <f t="shared" si="127"/>
        <v>1133.8019514688303</v>
      </c>
      <c r="AU69" s="165">
        <v>0</v>
      </c>
      <c r="AV69" s="166">
        <f t="shared" si="128"/>
        <v>0</v>
      </c>
      <c r="AW69" s="33">
        <f t="shared" si="129"/>
        <v>17530.972686737834</v>
      </c>
      <c r="AX69" s="167">
        <f t="shared" si="130"/>
        <v>1227.1680880716485</v>
      </c>
      <c r="AY69" s="165">
        <v>0</v>
      </c>
      <c r="AZ69" s="166">
        <f t="shared" si="131"/>
        <v>0</v>
      </c>
      <c r="BA69" s="33">
        <f t="shared" si="132"/>
        <v>18958.140774809483</v>
      </c>
      <c r="BB69" s="167">
        <f t="shared" si="133"/>
        <v>1327.069854236664</v>
      </c>
      <c r="BC69" s="165">
        <v>0</v>
      </c>
      <c r="BD69" s="166">
        <f t="shared" si="134"/>
        <v>0</v>
      </c>
      <c r="BE69" s="33">
        <f t="shared" si="135"/>
        <v>20485.210629046145</v>
      </c>
      <c r="BF69" s="167">
        <f t="shared" si="136"/>
        <v>1433.9647440332303</v>
      </c>
      <c r="BG69" s="165">
        <v>0</v>
      </c>
      <c r="BH69" s="166">
        <f t="shared" si="137"/>
        <v>0</v>
      </c>
      <c r="BI69" s="33">
        <f t="shared" si="138"/>
        <v>22119.175373079375</v>
      </c>
      <c r="BJ69" s="167">
        <f t="shared" si="139"/>
        <v>1548.3422761155564</v>
      </c>
      <c r="BK69" s="87">
        <f t="shared" si="140"/>
        <v>0</v>
      </c>
      <c r="BL69" s="33">
        <f>'2022-2023'!BL69+'2023-2024'!BK69</f>
        <v>5100</v>
      </c>
    </row>
    <row r="70" spans="1:66">
      <c r="A70" s="10" t="s">
        <v>641</v>
      </c>
      <c r="B70" s="10" t="s">
        <v>115</v>
      </c>
      <c r="C70" s="80">
        <v>0</v>
      </c>
      <c r="D70" s="79">
        <f t="shared" si="94"/>
        <v>2400</v>
      </c>
      <c r="E70" s="78">
        <f>'2022-2023'!I70</f>
        <v>1679.6847072302176</v>
      </c>
      <c r="F70" s="187">
        <f t="shared" si="95"/>
        <v>2400</v>
      </c>
      <c r="G70" s="33">
        <f t="shared" si="96"/>
        <v>1700</v>
      </c>
      <c r="H70" s="190">
        <f t="shared" si="97"/>
        <v>700</v>
      </c>
      <c r="I70" s="78">
        <f t="shared" si="98"/>
        <v>5103.73614519285</v>
      </c>
      <c r="J70" s="78">
        <f t="shared" si="99"/>
        <v>0</v>
      </c>
      <c r="K70" s="78">
        <f t="shared" si="100"/>
        <v>93.5</v>
      </c>
      <c r="L70" s="78">
        <f t="shared" si="101"/>
        <v>2724.051437962632</v>
      </c>
      <c r="M70" s="194">
        <f t="shared" si="102"/>
        <v>2724.051437962632</v>
      </c>
      <c r="N70" s="78">
        <f t="shared" si="103"/>
        <v>-930.55143796263201</v>
      </c>
      <c r="O70" s="165">
        <v>600</v>
      </c>
      <c r="P70" s="166">
        <f t="shared" si="104"/>
        <v>0</v>
      </c>
      <c r="Q70" s="119">
        <f t="shared" si="105"/>
        <v>1879.6847072302176</v>
      </c>
      <c r="R70" s="167">
        <f t="shared" si="106"/>
        <v>70.382658897661969</v>
      </c>
      <c r="S70" s="165">
        <v>0</v>
      </c>
      <c r="T70" s="166">
        <f t="shared" si="107"/>
        <v>0</v>
      </c>
      <c r="U70" s="33">
        <f t="shared" si="108"/>
        <v>2150.0673661278797</v>
      </c>
      <c r="V70" s="167">
        <f t="shared" si="109"/>
        <v>118.25370513703338</v>
      </c>
      <c r="W70" s="165">
        <v>0</v>
      </c>
      <c r="X70" s="166">
        <f t="shared" si="110"/>
        <v>0</v>
      </c>
      <c r="Y70" s="33">
        <f t="shared" si="111"/>
        <v>2468.3210712649129</v>
      </c>
      <c r="Z70" s="167">
        <f t="shared" si="112"/>
        <v>135.75765891957022</v>
      </c>
      <c r="AA70" s="165">
        <v>0</v>
      </c>
      <c r="AB70" s="166">
        <f t="shared" si="113"/>
        <v>0</v>
      </c>
      <c r="AC70" s="33">
        <f t="shared" si="114"/>
        <v>2804.078730184483</v>
      </c>
      <c r="AD70" s="167">
        <f t="shared" si="115"/>
        <v>154.22433016014656</v>
      </c>
      <c r="AE70" s="165">
        <v>0</v>
      </c>
      <c r="AF70" s="166">
        <f t="shared" si="116"/>
        <v>0</v>
      </c>
      <c r="AG70" s="33">
        <f t="shared" si="117"/>
        <v>3158.3030603446296</v>
      </c>
      <c r="AH70" s="167">
        <f t="shared" si="118"/>
        <v>173.70666831895463</v>
      </c>
      <c r="AI70" s="165">
        <v>0</v>
      </c>
      <c r="AJ70" s="166">
        <f t="shared" si="119"/>
        <v>0</v>
      </c>
      <c r="AK70" s="33">
        <f t="shared" si="120"/>
        <v>3532.0097286635842</v>
      </c>
      <c r="AL70" s="167">
        <f t="shared" si="121"/>
        <v>194.26053507649712</v>
      </c>
      <c r="AM70" s="165">
        <v>0</v>
      </c>
      <c r="AN70" s="166">
        <f t="shared" si="122"/>
        <v>0</v>
      </c>
      <c r="AO70" s="33">
        <f t="shared" si="123"/>
        <v>3926.2702637400812</v>
      </c>
      <c r="AP70" s="167">
        <f t="shared" si="124"/>
        <v>215.94486450570446</v>
      </c>
      <c r="AQ70" s="165">
        <v>0</v>
      </c>
      <c r="AR70" s="166">
        <f t="shared" si="125"/>
        <v>0</v>
      </c>
      <c r="AS70" s="33">
        <f t="shared" si="126"/>
        <v>4342.2151282457862</v>
      </c>
      <c r="AT70" s="167">
        <f t="shared" si="127"/>
        <v>303.95505897720506</v>
      </c>
      <c r="AU70" s="165">
        <v>0</v>
      </c>
      <c r="AV70" s="166">
        <f t="shared" si="128"/>
        <v>0</v>
      </c>
      <c r="AW70" s="33">
        <f t="shared" si="129"/>
        <v>4846.1701872229914</v>
      </c>
      <c r="AX70" s="167">
        <f t="shared" si="130"/>
        <v>339.23191310560941</v>
      </c>
      <c r="AY70" s="165">
        <v>500</v>
      </c>
      <c r="AZ70" s="166">
        <f t="shared" si="131"/>
        <v>0</v>
      </c>
      <c r="BA70" s="33">
        <f t="shared" si="132"/>
        <v>4885.4021003286007</v>
      </c>
      <c r="BB70" s="167">
        <f t="shared" si="133"/>
        <v>306.97814702300207</v>
      </c>
      <c r="BC70" s="165">
        <v>0</v>
      </c>
      <c r="BD70" s="166">
        <f t="shared" si="134"/>
        <v>0</v>
      </c>
      <c r="BE70" s="33">
        <f t="shared" si="135"/>
        <v>5392.3802473516025</v>
      </c>
      <c r="BF70" s="167">
        <f t="shared" si="136"/>
        <v>377.46661731461222</v>
      </c>
      <c r="BG70" s="165">
        <v>600</v>
      </c>
      <c r="BH70" s="166">
        <f t="shared" si="137"/>
        <v>0</v>
      </c>
      <c r="BI70" s="33">
        <f t="shared" si="138"/>
        <v>5369.846864666215</v>
      </c>
      <c r="BJ70" s="167">
        <f t="shared" si="139"/>
        <v>333.8892805266351</v>
      </c>
      <c r="BK70" s="87">
        <f t="shared" si="140"/>
        <v>1700</v>
      </c>
      <c r="BL70" s="33">
        <f>'2022-2023'!BL70+'2023-2024'!BK70</f>
        <v>14150</v>
      </c>
    </row>
    <row r="71" spans="1:66">
      <c r="A71" s="10" t="s">
        <v>642</v>
      </c>
      <c r="B71" s="10" t="s">
        <v>153</v>
      </c>
      <c r="C71" s="80">
        <v>0</v>
      </c>
      <c r="D71" s="79">
        <f t="shared" si="94"/>
        <v>2400</v>
      </c>
      <c r="E71" s="78">
        <f>'2022-2023'!I71</f>
        <v>12042.226986987514</v>
      </c>
      <c r="F71" s="187">
        <f t="shared" si="95"/>
        <v>2400</v>
      </c>
      <c r="G71" s="33">
        <f t="shared" si="96"/>
        <v>0</v>
      </c>
      <c r="H71" s="190">
        <f t="shared" si="97"/>
        <v>2400</v>
      </c>
      <c r="I71" s="78">
        <f t="shared" si="98"/>
        <v>28246.457059626424</v>
      </c>
      <c r="J71" s="78">
        <f t="shared" si="99"/>
        <v>0</v>
      </c>
      <c r="K71" s="78">
        <f t="shared" si="100"/>
        <v>0</v>
      </c>
      <c r="L71" s="78">
        <f t="shared" si="101"/>
        <v>13804.230072638908</v>
      </c>
      <c r="M71" s="194">
        <f t="shared" si="102"/>
        <v>13804.230072638908</v>
      </c>
      <c r="N71" s="78">
        <f t="shared" si="103"/>
        <v>-13804.230072638908</v>
      </c>
      <c r="O71" s="165">
        <v>0</v>
      </c>
      <c r="P71" s="166">
        <f t="shared" si="104"/>
        <v>0</v>
      </c>
      <c r="Q71" s="119">
        <f t="shared" si="105"/>
        <v>12242.226986987514</v>
      </c>
      <c r="R71" s="167">
        <f t="shared" si="106"/>
        <v>673.3224842843133</v>
      </c>
      <c r="S71" s="165">
        <v>0</v>
      </c>
      <c r="T71" s="166">
        <f t="shared" si="107"/>
        <v>0</v>
      </c>
      <c r="U71" s="33">
        <f t="shared" si="108"/>
        <v>13115.549471271828</v>
      </c>
      <c r="V71" s="167">
        <f t="shared" si="109"/>
        <v>721.35522091995051</v>
      </c>
      <c r="W71" s="165">
        <v>0</v>
      </c>
      <c r="X71" s="166">
        <f t="shared" si="110"/>
        <v>0</v>
      </c>
      <c r="Y71" s="33">
        <f t="shared" si="111"/>
        <v>14036.904692191778</v>
      </c>
      <c r="Z71" s="167">
        <f t="shared" si="112"/>
        <v>772.02975807054781</v>
      </c>
      <c r="AA71" s="165">
        <v>0</v>
      </c>
      <c r="AB71" s="166">
        <f t="shared" si="113"/>
        <v>0</v>
      </c>
      <c r="AC71" s="33">
        <f t="shared" si="114"/>
        <v>15008.934450262326</v>
      </c>
      <c r="AD71" s="167">
        <f t="shared" si="115"/>
        <v>825.49139476442792</v>
      </c>
      <c r="AE71" s="165">
        <v>0</v>
      </c>
      <c r="AF71" s="166">
        <f t="shared" si="116"/>
        <v>0</v>
      </c>
      <c r="AG71" s="33">
        <f t="shared" si="117"/>
        <v>16034.425845026753</v>
      </c>
      <c r="AH71" s="167">
        <f t="shared" si="118"/>
        <v>881.89342147647142</v>
      </c>
      <c r="AI71" s="165">
        <v>0</v>
      </c>
      <c r="AJ71" s="166">
        <f t="shared" si="119"/>
        <v>0</v>
      </c>
      <c r="AK71" s="33">
        <f t="shared" si="120"/>
        <v>17116.319266503226</v>
      </c>
      <c r="AL71" s="167">
        <f t="shared" si="121"/>
        <v>941.39755965767745</v>
      </c>
      <c r="AM71" s="165">
        <v>0</v>
      </c>
      <c r="AN71" s="166">
        <f t="shared" si="122"/>
        <v>0</v>
      </c>
      <c r="AO71" s="33">
        <f t="shared" si="123"/>
        <v>18257.716826160904</v>
      </c>
      <c r="AP71" s="167">
        <f t="shared" si="124"/>
        <v>1004.1744254388498</v>
      </c>
      <c r="AQ71" s="165">
        <v>0</v>
      </c>
      <c r="AR71" s="166">
        <f t="shared" si="125"/>
        <v>0</v>
      </c>
      <c r="AS71" s="33">
        <f t="shared" si="126"/>
        <v>19461.891251599754</v>
      </c>
      <c r="AT71" s="167">
        <f t="shared" si="127"/>
        <v>1362.332387611983</v>
      </c>
      <c r="AU71" s="165">
        <v>0</v>
      </c>
      <c r="AV71" s="166">
        <f t="shared" si="128"/>
        <v>0</v>
      </c>
      <c r="AW71" s="33">
        <f t="shared" si="129"/>
        <v>21024.223639211737</v>
      </c>
      <c r="AX71" s="167">
        <f t="shared" si="130"/>
        <v>1471.6956547448217</v>
      </c>
      <c r="AY71" s="165">
        <v>0</v>
      </c>
      <c r="AZ71" s="166">
        <f t="shared" si="131"/>
        <v>0</v>
      </c>
      <c r="BA71" s="33">
        <f t="shared" si="132"/>
        <v>22695.919293956558</v>
      </c>
      <c r="BB71" s="167">
        <f t="shared" si="133"/>
        <v>1588.7143505769593</v>
      </c>
      <c r="BC71" s="165">
        <v>0</v>
      </c>
      <c r="BD71" s="166">
        <f t="shared" si="134"/>
        <v>0</v>
      </c>
      <c r="BE71" s="33">
        <f t="shared" si="135"/>
        <v>24484.633644533518</v>
      </c>
      <c r="BF71" s="167">
        <f t="shared" si="136"/>
        <v>1713.9243551173465</v>
      </c>
      <c r="BG71" s="165">
        <v>0</v>
      </c>
      <c r="BH71" s="166">
        <f t="shared" si="137"/>
        <v>0</v>
      </c>
      <c r="BI71" s="33">
        <f t="shared" si="138"/>
        <v>26398.557999650864</v>
      </c>
      <c r="BJ71" s="167">
        <f t="shared" si="139"/>
        <v>1847.8990599755607</v>
      </c>
      <c r="BK71" s="87">
        <f t="shared" si="140"/>
        <v>0</v>
      </c>
      <c r="BL71" s="33">
        <f>'2022-2023'!BL71+'2023-2024'!BK71</f>
        <v>4000</v>
      </c>
    </row>
    <row r="72" spans="1:66">
      <c r="A72" s="10" t="s">
        <v>643</v>
      </c>
      <c r="B72" s="10" t="s">
        <v>122</v>
      </c>
      <c r="C72" s="80">
        <v>0</v>
      </c>
      <c r="D72" s="79">
        <f t="shared" si="94"/>
        <v>2400</v>
      </c>
      <c r="E72" s="78">
        <f>'2022-2023'!I72</f>
        <v>18163.015312171799</v>
      </c>
      <c r="F72" s="187">
        <f t="shared" si="95"/>
        <v>2400</v>
      </c>
      <c r="G72" s="33">
        <f t="shared" si="96"/>
        <v>0</v>
      </c>
      <c r="H72" s="190">
        <f t="shared" si="97"/>
        <v>2400</v>
      </c>
      <c r="I72" s="78">
        <f t="shared" si="98"/>
        <v>40734.473633530506</v>
      </c>
      <c r="J72" s="78">
        <f t="shared" si="99"/>
        <v>0</v>
      </c>
      <c r="K72" s="78">
        <f t="shared" si="100"/>
        <v>0</v>
      </c>
      <c r="L72" s="78">
        <f t="shared" si="101"/>
        <v>20171.458321358703</v>
      </c>
      <c r="M72" s="194">
        <f t="shared" si="102"/>
        <v>20171.458321358703</v>
      </c>
      <c r="N72" s="78">
        <f t="shared" si="103"/>
        <v>-20171.458321358703</v>
      </c>
      <c r="O72" s="165">
        <v>0</v>
      </c>
      <c r="P72" s="166">
        <f t="shared" si="104"/>
        <v>0</v>
      </c>
      <c r="Q72" s="119">
        <f t="shared" si="105"/>
        <v>18363.015312171799</v>
      </c>
      <c r="R72" s="167">
        <f t="shared" si="106"/>
        <v>1009.9658421694489</v>
      </c>
      <c r="S72" s="165">
        <v>0</v>
      </c>
      <c r="T72" s="166">
        <f t="shared" si="107"/>
        <v>0</v>
      </c>
      <c r="U72" s="33">
        <f t="shared" si="108"/>
        <v>19572.981154341247</v>
      </c>
      <c r="V72" s="167">
        <f t="shared" si="109"/>
        <v>1076.5139634887687</v>
      </c>
      <c r="W72" s="165">
        <v>0</v>
      </c>
      <c r="X72" s="166">
        <f t="shared" si="110"/>
        <v>0</v>
      </c>
      <c r="Y72" s="33">
        <f t="shared" si="111"/>
        <v>20849.495117830014</v>
      </c>
      <c r="Z72" s="167">
        <f t="shared" si="112"/>
        <v>1146.7222314806509</v>
      </c>
      <c r="AA72" s="165">
        <v>0</v>
      </c>
      <c r="AB72" s="166">
        <f t="shared" si="113"/>
        <v>0</v>
      </c>
      <c r="AC72" s="33">
        <f t="shared" si="114"/>
        <v>22196.217349310664</v>
      </c>
      <c r="AD72" s="167">
        <f t="shared" si="115"/>
        <v>1220.7919542120865</v>
      </c>
      <c r="AE72" s="165">
        <v>0</v>
      </c>
      <c r="AF72" s="166">
        <f t="shared" si="116"/>
        <v>0</v>
      </c>
      <c r="AG72" s="33">
        <f t="shared" si="117"/>
        <v>23617.009303522751</v>
      </c>
      <c r="AH72" s="167">
        <f t="shared" si="118"/>
        <v>1298.9355116937513</v>
      </c>
      <c r="AI72" s="165">
        <v>0</v>
      </c>
      <c r="AJ72" s="166">
        <f t="shared" si="119"/>
        <v>0</v>
      </c>
      <c r="AK72" s="33">
        <f t="shared" si="120"/>
        <v>25115.944815216502</v>
      </c>
      <c r="AL72" s="167">
        <f t="shared" si="121"/>
        <v>1381.3769648369077</v>
      </c>
      <c r="AM72" s="165">
        <v>0</v>
      </c>
      <c r="AN72" s="166">
        <f t="shared" si="122"/>
        <v>0</v>
      </c>
      <c r="AO72" s="33">
        <f t="shared" si="123"/>
        <v>26697.321780053411</v>
      </c>
      <c r="AP72" s="167">
        <f t="shared" si="124"/>
        <v>1468.3526979029377</v>
      </c>
      <c r="AQ72" s="165">
        <v>0</v>
      </c>
      <c r="AR72" s="166">
        <f t="shared" si="125"/>
        <v>0</v>
      </c>
      <c r="AS72" s="33">
        <f t="shared" si="126"/>
        <v>28365.674477956349</v>
      </c>
      <c r="AT72" s="167">
        <f t="shared" si="127"/>
        <v>1985.5972134569447</v>
      </c>
      <c r="AU72" s="165">
        <v>0</v>
      </c>
      <c r="AV72" s="166">
        <f t="shared" si="128"/>
        <v>0</v>
      </c>
      <c r="AW72" s="33">
        <f t="shared" si="129"/>
        <v>30551.271691413294</v>
      </c>
      <c r="AX72" s="167">
        <f t="shared" si="130"/>
        <v>2138.5890183989309</v>
      </c>
      <c r="AY72" s="165">
        <v>0</v>
      </c>
      <c r="AZ72" s="166">
        <f t="shared" si="131"/>
        <v>0</v>
      </c>
      <c r="BA72" s="33">
        <f t="shared" si="132"/>
        <v>32889.860709812223</v>
      </c>
      <c r="BB72" s="167">
        <f t="shared" si="133"/>
        <v>2302.290249686856</v>
      </c>
      <c r="BC72" s="165">
        <v>0</v>
      </c>
      <c r="BD72" s="166">
        <f t="shared" si="134"/>
        <v>0</v>
      </c>
      <c r="BE72" s="33">
        <f t="shared" si="135"/>
        <v>35392.150959499078</v>
      </c>
      <c r="BF72" s="167">
        <f t="shared" si="136"/>
        <v>2477.4505671649358</v>
      </c>
      <c r="BG72" s="165">
        <v>0</v>
      </c>
      <c r="BH72" s="166">
        <f t="shared" si="137"/>
        <v>0</v>
      </c>
      <c r="BI72" s="33">
        <f t="shared" si="138"/>
        <v>38069.601526664017</v>
      </c>
      <c r="BJ72" s="167">
        <f t="shared" si="139"/>
        <v>2664.8721068664813</v>
      </c>
      <c r="BK72" s="87">
        <f t="shared" si="140"/>
        <v>0</v>
      </c>
      <c r="BL72" s="33">
        <f>'2022-2023'!BL72+'2023-2024'!BK72</f>
        <v>1000</v>
      </c>
    </row>
    <row r="73" spans="1:66">
      <c r="A73" s="10" t="s">
        <v>644</v>
      </c>
      <c r="B73" s="10" t="s">
        <v>129</v>
      </c>
      <c r="C73" s="80">
        <v>0</v>
      </c>
      <c r="D73" s="79">
        <f t="shared" si="94"/>
        <v>2400</v>
      </c>
      <c r="E73" s="78">
        <f>'2022-2023'!I73</f>
        <v>3071.2572640027856</v>
      </c>
      <c r="F73" s="187">
        <f t="shared" si="95"/>
        <v>2400</v>
      </c>
      <c r="G73" s="33">
        <f t="shared" si="96"/>
        <v>0</v>
      </c>
      <c r="H73" s="190">
        <f t="shared" si="97"/>
        <v>2400</v>
      </c>
      <c r="I73" s="78">
        <f t="shared" si="98"/>
        <v>9943.3214776175519</v>
      </c>
      <c r="J73" s="78">
        <f t="shared" si="99"/>
        <v>0</v>
      </c>
      <c r="K73" s="78">
        <f t="shared" si="100"/>
        <v>0</v>
      </c>
      <c r="L73" s="78">
        <f t="shared" si="101"/>
        <v>4472.0642136147653</v>
      </c>
      <c r="M73" s="194">
        <f t="shared" si="102"/>
        <v>4472.0642136147653</v>
      </c>
      <c r="N73" s="78">
        <f t="shared" si="103"/>
        <v>-4472.0642136147653</v>
      </c>
      <c r="O73" s="165">
        <v>0</v>
      </c>
      <c r="P73" s="166">
        <f t="shared" si="104"/>
        <v>0</v>
      </c>
      <c r="Q73" s="119">
        <f t="shared" si="105"/>
        <v>3271.2572640027856</v>
      </c>
      <c r="R73" s="167">
        <f t="shared" si="106"/>
        <v>179.91914952015321</v>
      </c>
      <c r="S73" s="165">
        <v>0</v>
      </c>
      <c r="T73" s="166">
        <f t="shared" si="107"/>
        <v>0</v>
      </c>
      <c r="U73" s="33">
        <f t="shared" si="108"/>
        <v>3651.1764135229387</v>
      </c>
      <c r="V73" s="167">
        <f t="shared" si="109"/>
        <v>200.81470274376161</v>
      </c>
      <c r="W73" s="165">
        <v>0</v>
      </c>
      <c r="X73" s="166">
        <f t="shared" si="110"/>
        <v>0</v>
      </c>
      <c r="Y73" s="33">
        <f t="shared" si="111"/>
        <v>4051.9911162667004</v>
      </c>
      <c r="Z73" s="167">
        <f t="shared" si="112"/>
        <v>222.85951139466852</v>
      </c>
      <c r="AA73" s="165">
        <v>0</v>
      </c>
      <c r="AB73" s="166">
        <f t="shared" si="113"/>
        <v>0</v>
      </c>
      <c r="AC73" s="33">
        <f t="shared" si="114"/>
        <v>4474.8506276613689</v>
      </c>
      <c r="AD73" s="167">
        <f t="shared" si="115"/>
        <v>246.11678452137528</v>
      </c>
      <c r="AE73" s="165">
        <v>0</v>
      </c>
      <c r="AF73" s="166">
        <f t="shared" si="116"/>
        <v>0</v>
      </c>
      <c r="AG73" s="33">
        <f t="shared" si="117"/>
        <v>4920.9674121827438</v>
      </c>
      <c r="AH73" s="167">
        <f t="shared" si="118"/>
        <v>270.6532076700509</v>
      </c>
      <c r="AI73" s="165">
        <v>0</v>
      </c>
      <c r="AJ73" s="166">
        <f t="shared" si="119"/>
        <v>0</v>
      </c>
      <c r="AK73" s="33">
        <f t="shared" si="120"/>
        <v>5391.6206198527943</v>
      </c>
      <c r="AL73" s="167">
        <f t="shared" si="121"/>
        <v>296.53913409190369</v>
      </c>
      <c r="AM73" s="165">
        <v>0</v>
      </c>
      <c r="AN73" s="166">
        <f t="shared" si="122"/>
        <v>0</v>
      </c>
      <c r="AO73" s="33">
        <f t="shared" si="123"/>
        <v>5888.1597539446984</v>
      </c>
      <c r="AP73" s="167">
        <f t="shared" si="124"/>
        <v>323.84878646695842</v>
      </c>
      <c r="AQ73" s="165">
        <v>0</v>
      </c>
      <c r="AR73" s="166">
        <f t="shared" si="125"/>
        <v>0</v>
      </c>
      <c r="AS73" s="33">
        <f t="shared" si="126"/>
        <v>6412.0085404116571</v>
      </c>
      <c r="AT73" s="167">
        <f t="shared" si="127"/>
        <v>448.84059782881604</v>
      </c>
      <c r="AU73" s="165">
        <v>0</v>
      </c>
      <c r="AV73" s="166">
        <f t="shared" si="128"/>
        <v>0</v>
      </c>
      <c r="AW73" s="33">
        <f t="shared" si="129"/>
        <v>7060.8491382404736</v>
      </c>
      <c r="AX73" s="167">
        <f t="shared" si="130"/>
        <v>494.25943967683321</v>
      </c>
      <c r="AY73" s="165">
        <v>0</v>
      </c>
      <c r="AZ73" s="166">
        <f t="shared" si="131"/>
        <v>0</v>
      </c>
      <c r="BA73" s="33">
        <f t="shared" si="132"/>
        <v>7755.1085779173072</v>
      </c>
      <c r="BB73" s="167">
        <f t="shared" si="133"/>
        <v>542.85760045421159</v>
      </c>
      <c r="BC73" s="165">
        <v>0</v>
      </c>
      <c r="BD73" s="166">
        <f t="shared" si="134"/>
        <v>0</v>
      </c>
      <c r="BE73" s="33">
        <f t="shared" si="135"/>
        <v>8497.9661783715183</v>
      </c>
      <c r="BF73" s="167">
        <f t="shared" si="136"/>
        <v>594.85763248600631</v>
      </c>
      <c r="BG73" s="165">
        <v>0</v>
      </c>
      <c r="BH73" s="166">
        <f t="shared" si="137"/>
        <v>0</v>
      </c>
      <c r="BI73" s="33">
        <f t="shared" si="138"/>
        <v>9292.8238108575242</v>
      </c>
      <c r="BJ73" s="167">
        <f t="shared" si="139"/>
        <v>650.49766676002673</v>
      </c>
      <c r="BK73" s="87">
        <f t="shared" si="140"/>
        <v>0</v>
      </c>
      <c r="BL73" s="33">
        <f>'2022-2023'!BL73+'2023-2024'!BK73</f>
        <v>10100</v>
      </c>
      <c r="BN73">
        <f>5*12</f>
        <v>60</v>
      </c>
    </row>
    <row r="74" spans="1:66">
      <c r="A74" s="10" t="s">
        <v>645</v>
      </c>
      <c r="B74" s="10" t="s">
        <v>130</v>
      </c>
      <c r="C74" s="80">
        <v>0</v>
      </c>
      <c r="D74" s="79">
        <f t="shared" si="94"/>
        <v>2400</v>
      </c>
      <c r="E74" s="78">
        <f>'2022-2023'!I74</f>
        <v>8950.9228433531916</v>
      </c>
      <c r="F74" s="187">
        <f t="shared" si="95"/>
        <v>2400</v>
      </c>
      <c r="G74" s="33">
        <f t="shared" si="96"/>
        <v>0</v>
      </c>
      <c r="H74" s="190">
        <f t="shared" si="97"/>
        <v>2400</v>
      </c>
      <c r="I74" s="78">
        <f t="shared" si="98"/>
        <v>21939.384288976165</v>
      </c>
      <c r="J74" s="78">
        <f t="shared" si="99"/>
        <v>0</v>
      </c>
      <c r="K74" s="78">
        <f t="shared" si="100"/>
        <v>0</v>
      </c>
      <c r="L74" s="78">
        <f t="shared" si="101"/>
        <v>10588.461445622976</v>
      </c>
      <c r="M74" s="194">
        <f t="shared" si="102"/>
        <v>10588.461445622976</v>
      </c>
      <c r="N74" s="78">
        <f t="shared" si="103"/>
        <v>-10588.461445622976</v>
      </c>
      <c r="O74" s="165">
        <v>0</v>
      </c>
      <c r="P74" s="166">
        <f t="shared" si="104"/>
        <v>0</v>
      </c>
      <c r="Q74" s="119">
        <f t="shared" si="105"/>
        <v>9150.9228433531916</v>
      </c>
      <c r="R74" s="167">
        <f t="shared" si="106"/>
        <v>503.30075638442554</v>
      </c>
      <c r="S74" s="165">
        <v>0</v>
      </c>
      <c r="T74" s="166">
        <f t="shared" si="107"/>
        <v>0</v>
      </c>
      <c r="U74" s="33">
        <f t="shared" si="108"/>
        <v>9854.2235997376174</v>
      </c>
      <c r="V74" s="167">
        <f t="shared" si="109"/>
        <v>541.98229798556895</v>
      </c>
      <c r="W74" s="165">
        <v>0</v>
      </c>
      <c r="X74" s="166">
        <f t="shared" si="110"/>
        <v>0</v>
      </c>
      <c r="Y74" s="33">
        <f t="shared" si="111"/>
        <v>10596.205897723186</v>
      </c>
      <c r="Z74" s="167">
        <f t="shared" si="112"/>
        <v>582.79132437477529</v>
      </c>
      <c r="AA74" s="165">
        <v>0</v>
      </c>
      <c r="AB74" s="166">
        <f t="shared" si="113"/>
        <v>0</v>
      </c>
      <c r="AC74" s="33">
        <f t="shared" si="114"/>
        <v>11378.997222097962</v>
      </c>
      <c r="AD74" s="167">
        <f t="shared" si="115"/>
        <v>625.84484721538786</v>
      </c>
      <c r="AE74" s="165">
        <v>0</v>
      </c>
      <c r="AF74" s="166">
        <f t="shared" si="116"/>
        <v>0</v>
      </c>
      <c r="AG74" s="33">
        <f t="shared" si="117"/>
        <v>12204.84206931335</v>
      </c>
      <c r="AH74" s="167">
        <f t="shared" si="118"/>
        <v>671.26631381223422</v>
      </c>
      <c r="AI74" s="165">
        <v>0</v>
      </c>
      <c r="AJ74" s="166">
        <f t="shared" si="119"/>
        <v>0</v>
      </c>
      <c r="AK74" s="33">
        <f t="shared" si="120"/>
        <v>13076.108383125584</v>
      </c>
      <c r="AL74" s="167">
        <f t="shared" si="121"/>
        <v>719.18596107190706</v>
      </c>
      <c r="AM74" s="165">
        <v>0</v>
      </c>
      <c r="AN74" s="166">
        <f t="shared" si="122"/>
        <v>0</v>
      </c>
      <c r="AO74" s="33">
        <f t="shared" si="123"/>
        <v>13995.294344197491</v>
      </c>
      <c r="AP74" s="167">
        <f t="shared" si="124"/>
        <v>769.74118893086199</v>
      </c>
      <c r="AQ74" s="165">
        <v>0</v>
      </c>
      <c r="AR74" s="166">
        <f t="shared" si="125"/>
        <v>0</v>
      </c>
      <c r="AS74" s="33">
        <f t="shared" si="126"/>
        <v>14965.035533128354</v>
      </c>
      <c r="AT74" s="167">
        <f t="shared" si="127"/>
        <v>1047.552487318985</v>
      </c>
      <c r="AU74" s="165">
        <v>0</v>
      </c>
      <c r="AV74" s="166">
        <f t="shared" si="128"/>
        <v>0</v>
      </c>
      <c r="AW74" s="33">
        <f t="shared" si="129"/>
        <v>16212.588020447338</v>
      </c>
      <c r="AX74" s="167">
        <f t="shared" si="130"/>
        <v>1134.8811614313138</v>
      </c>
      <c r="AY74" s="165">
        <v>0</v>
      </c>
      <c r="AZ74" s="166">
        <f t="shared" si="131"/>
        <v>0</v>
      </c>
      <c r="BA74" s="33">
        <f t="shared" si="132"/>
        <v>17547.469181878649</v>
      </c>
      <c r="BB74" s="167">
        <f t="shared" si="133"/>
        <v>1228.3228427315055</v>
      </c>
      <c r="BC74" s="165">
        <v>0</v>
      </c>
      <c r="BD74" s="166">
        <f t="shared" si="134"/>
        <v>0</v>
      </c>
      <c r="BE74" s="33">
        <f t="shared" si="135"/>
        <v>18975.792024610153</v>
      </c>
      <c r="BF74" s="167">
        <f t="shared" si="136"/>
        <v>1328.3054417227108</v>
      </c>
      <c r="BG74" s="165">
        <v>0</v>
      </c>
      <c r="BH74" s="166">
        <f t="shared" si="137"/>
        <v>0</v>
      </c>
      <c r="BI74" s="33">
        <f t="shared" si="138"/>
        <v>20504.097466332863</v>
      </c>
      <c r="BJ74" s="167">
        <f t="shared" si="139"/>
        <v>1435.2868226433006</v>
      </c>
      <c r="BK74" s="87">
        <f t="shared" si="140"/>
        <v>0</v>
      </c>
      <c r="BL74" s="33">
        <f>'2022-2023'!BL74+'2023-2024'!BK74</f>
        <v>5515.15</v>
      </c>
      <c r="BN74">
        <v>9</v>
      </c>
    </row>
    <row r="75" spans="1:66">
      <c r="A75" s="10" t="s">
        <v>646</v>
      </c>
      <c r="B75" s="10" t="s">
        <v>125</v>
      </c>
      <c r="C75" s="80">
        <v>0</v>
      </c>
      <c r="D75" s="79">
        <f t="shared" si="94"/>
        <v>2400</v>
      </c>
      <c r="E75" s="78">
        <f>'2022-2023'!I75</f>
        <v>7110.427279450214</v>
      </c>
      <c r="F75" s="187">
        <f t="shared" si="95"/>
        <v>2400</v>
      </c>
      <c r="G75" s="33">
        <f t="shared" si="96"/>
        <v>200</v>
      </c>
      <c r="H75" s="190">
        <f t="shared" si="97"/>
        <v>2200</v>
      </c>
      <c r="I75" s="78">
        <f t="shared" si="98"/>
        <v>17923.252502279232</v>
      </c>
      <c r="J75" s="78">
        <f t="shared" si="99"/>
        <v>0</v>
      </c>
      <c r="K75" s="78">
        <f t="shared" si="100"/>
        <v>11</v>
      </c>
      <c r="L75" s="78">
        <f t="shared" si="101"/>
        <v>8612.8252228290185</v>
      </c>
      <c r="M75" s="194">
        <f t="shared" si="102"/>
        <v>8612.8252228290185</v>
      </c>
      <c r="N75" s="78">
        <f t="shared" si="103"/>
        <v>-8401.8252228290185</v>
      </c>
      <c r="O75" s="165">
        <v>0</v>
      </c>
      <c r="P75" s="166">
        <f t="shared" si="104"/>
        <v>0</v>
      </c>
      <c r="Q75" s="119">
        <f t="shared" si="105"/>
        <v>7310.427279450214</v>
      </c>
      <c r="R75" s="167">
        <f t="shared" si="106"/>
        <v>402.07350036976175</v>
      </c>
      <c r="S75" s="165">
        <v>0</v>
      </c>
      <c r="T75" s="166">
        <f t="shared" si="107"/>
        <v>0</v>
      </c>
      <c r="U75" s="33">
        <f t="shared" si="108"/>
        <v>7912.5007798199758</v>
      </c>
      <c r="V75" s="167">
        <f t="shared" si="109"/>
        <v>435.18754289009865</v>
      </c>
      <c r="W75" s="165">
        <v>0</v>
      </c>
      <c r="X75" s="166">
        <f t="shared" si="110"/>
        <v>0</v>
      </c>
      <c r="Y75" s="33">
        <f t="shared" si="111"/>
        <v>8547.6883227100752</v>
      </c>
      <c r="Z75" s="167">
        <f t="shared" si="112"/>
        <v>470.12285774905416</v>
      </c>
      <c r="AA75" s="165">
        <v>0</v>
      </c>
      <c r="AB75" s="166">
        <f t="shared" si="113"/>
        <v>0</v>
      </c>
      <c r="AC75" s="33">
        <f t="shared" si="114"/>
        <v>9217.8111804591299</v>
      </c>
      <c r="AD75" s="167">
        <f t="shared" si="115"/>
        <v>506.97961492525212</v>
      </c>
      <c r="AE75" s="165">
        <v>0</v>
      </c>
      <c r="AF75" s="166">
        <f t="shared" si="116"/>
        <v>0</v>
      </c>
      <c r="AG75" s="33">
        <f t="shared" si="117"/>
        <v>9924.7907953843824</v>
      </c>
      <c r="AH75" s="167">
        <f t="shared" si="118"/>
        <v>545.86349374614099</v>
      </c>
      <c r="AI75" s="165">
        <v>0</v>
      </c>
      <c r="AJ75" s="166">
        <f t="shared" si="119"/>
        <v>0</v>
      </c>
      <c r="AK75" s="33">
        <f t="shared" si="120"/>
        <v>10670.654289130523</v>
      </c>
      <c r="AL75" s="167">
        <f t="shared" si="121"/>
        <v>586.88598590217885</v>
      </c>
      <c r="AM75" s="165">
        <v>0</v>
      </c>
      <c r="AN75" s="166">
        <f t="shared" si="122"/>
        <v>0</v>
      </c>
      <c r="AO75" s="33">
        <f t="shared" si="123"/>
        <v>11457.540275032703</v>
      </c>
      <c r="AP75" s="167">
        <f t="shared" si="124"/>
        <v>630.16471512679868</v>
      </c>
      <c r="AQ75" s="165">
        <v>0</v>
      </c>
      <c r="AR75" s="166">
        <f t="shared" si="125"/>
        <v>0</v>
      </c>
      <c r="AS75" s="33">
        <f t="shared" si="126"/>
        <v>12287.704990159502</v>
      </c>
      <c r="AT75" s="167">
        <f t="shared" si="127"/>
        <v>860.13934931116523</v>
      </c>
      <c r="AU75" s="165">
        <v>0</v>
      </c>
      <c r="AV75" s="166">
        <f t="shared" si="128"/>
        <v>0</v>
      </c>
      <c r="AW75" s="33">
        <f t="shared" si="129"/>
        <v>13347.844339470666</v>
      </c>
      <c r="AX75" s="167">
        <f t="shared" si="130"/>
        <v>934.3491037629467</v>
      </c>
      <c r="AY75" s="165">
        <v>200</v>
      </c>
      <c r="AZ75" s="166">
        <f t="shared" si="131"/>
        <v>0</v>
      </c>
      <c r="BA75" s="33">
        <f t="shared" si="132"/>
        <v>14282.193443233613</v>
      </c>
      <c r="BB75" s="167">
        <f t="shared" si="133"/>
        <v>985.75354102635299</v>
      </c>
      <c r="BC75" s="165">
        <v>0</v>
      </c>
      <c r="BD75" s="166">
        <f t="shared" si="134"/>
        <v>0</v>
      </c>
      <c r="BE75" s="33">
        <f t="shared" si="135"/>
        <v>15467.946984259966</v>
      </c>
      <c r="BF75" s="167">
        <f t="shared" si="136"/>
        <v>1082.7562888981977</v>
      </c>
      <c r="BG75" s="165">
        <v>0</v>
      </c>
      <c r="BH75" s="166">
        <f t="shared" si="137"/>
        <v>0</v>
      </c>
      <c r="BI75" s="33">
        <f t="shared" si="138"/>
        <v>16750.703273158164</v>
      </c>
      <c r="BJ75" s="167">
        <f t="shared" si="139"/>
        <v>1172.5492291210717</v>
      </c>
      <c r="BK75" s="87">
        <f t="shared" si="140"/>
        <v>200</v>
      </c>
      <c r="BL75" s="33">
        <f>'2022-2023'!BL75+'2023-2024'!BK75</f>
        <v>6900</v>
      </c>
      <c r="BN75">
        <f>200*69</f>
        <v>13800</v>
      </c>
    </row>
    <row r="76" spans="1:66">
      <c r="A76" s="10" t="s">
        <v>647</v>
      </c>
      <c r="B76" s="10" t="s">
        <v>131</v>
      </c>
      <c r="C76" s="80">
        <v>0</v>
      </c>
      <c r="D76" s="79">
        <f t="shared" si="94"/>
        <v>2400</v>
      </c>
      <c r="E76" s="78">
        <f>'2022-2023'!I76</f>
        <v>15510.67370459194</v>
      </c>
      <c r="F76" s="187">
        <f t="shared" si="95"/>
        <v>2400</v>
      </c>
      <c r="G76" s="33">
        <f t="shared" si="96"/>
        <v>0</v>
      </c>
      <c r="H76" s="190">
        <f t="shared" si="97"/>
        <v>2400</v>
      </c>
      <c r="I76" s="78">
        <f t="shared" si="98"/>
        <v>35322.999784838728</v>
      </c>
      <c r="J76" s="78">
        <f t="shared" si="99"/>
        <v>0</v>
      </c>
      <c r="K76" s="78">
        <f t="shared" si="100"/>
        <v>0</v>
      </c>
      <c r="L76" s="78">
        <f t="shared" si="101"/>
        <v>17412.326080246785</v>
      </c>
      <c r="M76" s="194">
        <f t="shared" si="102"/>
        <v>17412.326080246785</v>
      </c>
      <c r="N76" s="78">
        <f t="shared" si="103"/>
        <v>-17412.326080246785</v>
      </c>
      <c r="O76" s="165">
        <v>0</v>
      </c>
      <c r="P76" s="166">
        <f t="shared" si="104"/>
        <v>0</v>
      </c>
      <c r="Q76" s="119">
        <f t="shared" si="105"/>
        <v>15710.67370459194</v>
      </c>
      <c r="R76" s="167">
        <f t="shared" si="106"/>
        <v>864.0870537525567</v>
      </c>
      <c r="S76" s="165">
        <v>0</v>
      </c>
      <c r="T76" s="166">
        <f t="shared" si="107"/>
        <v>0</v>
      </c>
      <c r="U76" s="33">
        <f t="shared" si="108"/>
        <v>16774.760758344495</v>
      </c>
      <c r="V76" s="167">
        <f t="shared" si="109"/>
        <v>922.61184170894728</v>
      </c>
      <c r="W76" s="165">
        <v>0</v>
      </c>
      <c r="X76" s="166">
        <f t="shared" si="110"/>
        <v>0</v>
      </c>
      <c r="Y76" s="33">
        <f t="shared" si="111"/>
        <v>17897.372600053441</v>
      </c>
      <c r="Z76" s="167">
        <f t="shared" si="112"/>
        <v>984.35549300293928</v>
      </c>
      <c r="AA76" s="165">
        <v>0</v>
      </c>
      <c r="AB76" s="166">
        <f t="shared" si="113"/>
        <v>0</v>
      </c>
      <c r="AC76" s="33">
        <f t="shared" si="114"/>
        <v>19081.728093056379</v>
      </c>
      <c r="AD76" s="167">
        <f t="shared" si="115"/>
        <v>1049.495045118101</v>
      </c>
      <c r="AE76" s="165">
        <v>0</v>
      </c>
      <c r="AF76" s="166">
        <f t="shared" si="116"/>
        <v>0</v>
      </c>
      <c r="AG76" s="33">
        <f t="shared" si="117"/>
        <v>20331.223138174479</v>
      </c>
      <c r="AH76" s="167">
        <f t="shared" si="118"/>
        <v>1118.2172725995963</v>
      </c>
      <c r="AI76" s="165">
        <v>0</v>
      </c>
      <c r="AJ76" s="166">
        <f t="shared" si="119"/>
        <v>0</v>
      </c>
      <c r="AK76" s="33">
        <f t="shared" si="120"/>
        <v>21649.440410774074</v>
      </c>
      <c r="AL76" s="167">
        <f t="shared" si="121"/>
        <v>1190.7192225925742</v>
      </c>
      <c r="AM76" s="165">
        <v>0</v>
      </c>
      <c r="AN76" s="166">
        <f t="shared" si="122"/>
        <v>0</v>
      </c>
      <c r="AO76" s="33">
        <f t="shared" si="123"/>
        <v>23040.159633366649</v>
      </c>
      <c r="AP76" s="167">
        <f t="shared" si="124"/>
        <v>1267.2087798351656</v>
      </c>
      <c r="AQ76" s="165">
        <v>0</v>
      </c>
      <c r="AR76" s="166">
        <f t="shared" si="125"/>
        <v>0</v>
      </c>
      <c r="AS76" s="33">
        <f t="shared" si="126"/>
        <v>24507.368413201813</v>
      </c>
      <c r="AT76" s="167">
        <f t="shared" si="127"/>
        <v>1715.515788924127</v>
      </c>
      <c r="AU76" s="165">
        <v>0</v>
      </c>
      <c r="AV76" s="166">
        <f t="shared" si="128"/>
        <v>0</v>
      </c>
      <c r="AW76" s="33">
        <f t="shared" si="129"/>
        <v>26422.884202125941</v>
      </c>
      <c r="AX76" s="167">
        <f t="shared" si="130"/>
        <v>1849.601894148816</v>
      </c>
      <c r="AY76" s="165">
        <v>0</v>
      </c>
      <c r="AZ76" s="166">
        <f t="shared" si="131"/>
        <v>0</v>
      </c>
      <c r="BA76" s="33">
        <f t="shared" si="132"/>
        <v>28472.486096274755</v>
      </c>
      <c r="BB76" s="167">
        <f t="shared" si="133"/>
        <v>1993.074026739233</v>
      </c>
      <c r="BC76" s="165">
        <v>0</v>
      </c>
      <c r="BD76" s="166">
        <f t="shared" si="134"/>
        <v>0</v>
      </c>
      <c r="BE76" s="33">
        <f t="shared" si="135"/>
        <v>30665.560123013987</v>
      </c>
      <c r="BF76" s="167">
        <f t="shared" si="136"/>
        <v>2146.5892086109793</v>
      </c>
      <c r="BG76" s="165">
        <v>0</v>
      </c>
      <c r="BH76" s="166">
        <f t="shared" si="137"/>
        <v>0</v>
      </c>
      <c r="BI76" s="33">
        <f t="shared" si="138"/>
        <v>33012.149331624969</v>
      </c>
      <c r="BJ76" s="167">
        <f t="shared" si="139"/>
        <v>2310.8504532137481</v>
      </c>
      <c r="BK76" s="87">
        <f t="shared" si="140"/>
        <v>0</v>
      </c>
      <c r="BL76" s="33">
        <f>'2022-2023'!BL76+'2023-2024'!BK76</f>
        <v>2300</v>
      </c>
    </row>
    <row r="77" spans="1:66">
      <c r="A77" s="10" t="s">
        <v>648</v>
      </c>
      <c r="B77" s="10" t="s">
        <v>116</v>
      </c>
      <c r="C77" s="80">
        <v>0</v>
      </c>
      <c r="D77" s="79">
        <f t="shared" si="94"/>
        <v>2400</v>
      </c>
      <c r="E77" s="78">
        <f>'2022-2023'!I77</f>
        <v>19387.172977208655</v>
      </c>
      <c r="F77" s="187">
        <f t="shared" si="95"/>
        <v>2400</v>
      </c>
      <c r="G77" s="33">
        <f t="shared" si="96"/>
        <v>0</v>
      </c>
      <c r="H77" s="190">
        <f t="shared" si="97"/>
        <v>2400</v>
      </c>
      <c r="I77" s="78">
        <f t="shared" si="98"/>
        <v>43232.076948311311</v>
      </c>
      <c r="J77" s="78">
        <f t="shared" si="99"/>
        <v>0</v>
      </c>
      <c r="K77" s="78">
        <f t="shared" si="100"/>
        <v>0</v>
      </c>
      <c r="L77" s="78">
        <f t="shared" si="101"/>
        <v>21444.90397110266</v>
      </c>
      <c r="M77" s="194">
        <f t="shared" si="102"/>
        <v>21444.90397110266</v>
      </c>
      <c r="N77" s="78">
        <f t="shared" si="103"/>
        <v>-21444.90397110266</v>
      </c>
      <c r="O77" s="165">
        <v>0</v>
      </c>
      <c r="P77" s="166">
        <f t="shared" si="104"/>
        <v>0</v>
      </c>
      <c r="Q77" s="119">
        <f t="shared" si="105"/>
        <v>19587.172977208655</v>
      </c>
      <c r="R77" s="167">
        <f t="shared" si="106"/>
        <v>1077.294513746476</v>
      </c>
      <c r="S77" s="165">
        <v>0</v>
      </c>
      <c r="T77" s="166">
        <f t="shared" si="107"/>
        <v>0</v>
      </c>
      <c r="U77" s="33">
        <f t="shared" si="108"/>
        <v>20864.467490955132</v>
      </c>
      <c r="V77" s="167">
        <f t="shared" si="109"/>
        <v>1147.5457120025324</v>
      </c>
      <c r="W77" s="165">
        <v>0</v>
      </c>
      <c r="X77" s="166">
        <f t="shared" si="110"/>
        <v>0</v>
      </c>
      <c r="Y77" s="33">
        <f t="shared" si="111"/>
        <v>22212.013202957663</v>
      </c>
      <c r="Z77" s="167">
        <f t="shared" si="112"/>
        <v>1221.6607261626716</v>
      </c>
      <c r="AA77" s="165">
        <v>0</v>
      </c>
      <c r="AB77" s="166">
        <f t="shared" si="113"/>
        <v>0</v>
      </c>
      <c r="AC77" s="33">
        <f t="shared" si="114"/>
        <v>23633.673929120334</v>
      </c>
      <c r="AD77" s="167">
        <f t="shared" si="115"/>
        <v>1299.8520661016184</v>
      </c>
      <c r="AE77" s="165">
        <v>0</v>
      </c>
      <c r="AF77" s="166">
        <f t="shared" si="116"/>
        <v>0</v>
      </c>
      <c r="AG77" s="33">
        <f t="shared" si="117"/>
        <v>25133.525995221953</v>
      </c>
      <c r="AH77" s="167">
        <f t="shared" si="118"/>
        <v>1382.3439297372074</v>
      </c>
      <c r="AI77" s="165">
        <v>0</v>
      </c>
      <c r="AJ77" s="166">
        <f t="shared" si="119"/>
        <v>0</v>
      </c>
      <c r="AK77" s="33">
        <f t="shared" si="120"/>
        <v>26715.869924959159</v>
      </c>
      <c r="AL77" s="167">
        <f t="shared" si="121"/>
        <v>1469.3728458727537</v>
      </c>
      <c r="AM77" s="165">
        <v>0</v>
      </c>
      <c r="AN77" s="166">
        <f t="shared" si="122"/>
        <v>0</v>
      </c>
      <c r="AO77" s="33">
        <f t="shared" si="123"/>
        <v>28385.242770831912</v>
      </c>
      <c r="AP77" s="167">
        <f t="shared" si="124"/>
        <v>1561.1883523957551</v>
      </c>
      <c r="AQ77" s="165">
        <v>0</v>
      </c>
      <c r="AR77" s="166">
        <f t="shared" si="125"/>
        <v>0</v>
      </c>
      <c r="AS77" s="33">
        <f t="shared" si="126"/>
        <v>30146.431123227667</v>
      </c>
      <c r="AT77" s="167">
        <f t="shared" si="127"/>
        <v>2110.2501786259368</v>
      </c>
      <c r="AU77" s="165">
        <v>0</v>
      </c>
      <c r="AV77" s="166">
        <f t="shared" si="128"/>
        <v>0</v>
      </c>
      <c r="AW77" s="33">
        <f t="shared" si="129"/>
        <v>32456.681301853605</v>
      </c>
      <c r="AX77" s="167">
        <f t="shared" si="130"/>
        <v>2271.9676911297524</v>
      </c>
      <c r="AY77" s="165">
        <v>0</v>
      </c>
      <c r="AZ77" s="166">
        <f t="shared" si="131"/>
        <v>0</v>
      </c>
      <c r="BA77" s="33">
        <f t="shared" si="132"/>
        <v>34928.648992983355</v>
      </c>
      <c r="BB77" s="167">
        <f t="shared" si="133"/>
        <v>2445.0054295088353</v>
      </c>
      <c r="BC77" s="165">
        <v>0</v>
      </c>
      <c r="BD77" s="166">
        <f t="shared" si="134"/>
        <v>0</v>
      </c>
      <c r="BE77" s="33">
        <f t="shared" si="135"/>
        <v>37573.654422492189</v>
      </c>
      <c r="BF77" s="167">
        <f t="shared" si="136"/>
        <v>2630.1558095744535</v>
      </c>
      <c r="BG77" s="165">
        <v>0</v>
      </c>
      <c r="BH77" s="166">
        <f t="shared" si="137"/>
        <v>0</v>
      </c>
      <c r="BI77" s="33">
        <f t="shared" si="138"/>
        <v>40403.810232066644</v>
      </c>
      <c r="BJ77" s="167">
        <f t="shared" si="139"/>
        <v>2828.2667162446655</v>
      </c>
      <c r="BK77" s="87">
        <f t="shared" si="140"/>
        <v>0</v>
      </c>
      <c r="BL77" s="33">
        <f>'2022-2023'!BL77+'2023-2024'!BK77</f>
        <v>300</v>
      </c>
      <c r="BN77">
        <f>BN75/2</f>
        <v>6900</v>
      </c>
    </row>
    <row r="78" spans="1:66">
      <c r="A78" s="10" t="s">
        <v>649</v>
      </c>
      <c r="B78" s="10" t="s">
        <v>132</v>
      </c>
      <c r="C78" s="80">
        <v>0</v>
      </c>
      <c r="D78" s="79">
        <f t="shared" si="94"/>
        <v>2400</v>
      </c>
      <c r="E78" s="78">
        <f>'2022-2023'!I78</f>
        <v>10818.069321950657</v>
      </c>
      <c r="F78" s="187">
        <f t="shared" si="95"/>
        <v>2400</v>
      </c>
      <c r="G78" s="33">
        <f t="shared" si="96"/>
        <v>0</v>
      </c>
      <c r="H78" s="190">
        <f t="shared" si="97"/>
        <v>2400</v>
      </c>
      <c r="I78" s="78">
        <f t="shared" si="98"/>
        <v>25748.853744845605</v>
      </c>
      <c r="J78" s="78">
        <f t="shared" si="99"/>
        <v>0</v>
      </c>
      <c r="K78" s="78">
        <f t="shared" si="100"/>
        <v>0</v>
      </c>
      <c r="L78" s="78">
        <f t="shared" si="101"/>
        <v>12530.784422894949</v>
      </c>
      <c r="M78" s="194">
        <f t="shared" si="102"/>
        <v>12530.784422894949</v>
      </c>
      <c r="N78" s="78">
        <f t="shared" si="103"/>
        <v>-12530.784422894949</v>
      </c>
      <c r="O78" s="165">
        <v>0</v>
      </c>
      <c r="P78" s="166">
        <f t="shared" si="104"/>
        <v>0</v>
      </c>
      <c r="Q78" s="119">
        <f t="shared" si="105"/>
        <v>11018.069321950657</v>
      </c>
      <c r="R78" s="167">
        <f t="shared" si="106"/>
        <v>605.99381270728611</v>
      </c>
      <c r="S78" s="165">
        <v>0</v>
      </c>
      <c r="T78" s="166">
        <f t="shared" si="107"/>
        <v>0</v>
      </c>
      <c r="U78" s="33">
        <f t="shared" si="108"/>
        <v>11824.063134657943</v>
      </c>
      <c r="V78" s="167">
        <f t="shared" si="109"/>
        <v>650.32347240618685</v>
      </c>
      <c r="W78" s="165">
        <v>0</v>
      </c>
      <c r="X78" s="166">
        <f t="shared" si="110"/>
        <v>0</v>
      </c>
      <c r="Y78" s="33">
        <f t="shared" si="111"/>
        <v>12674.386607064131</v>
      </c>
      <c r="Z78" s="167">
        <f t="shared" si="112"/>
        <v>697.09126338852718</v>
      </c>
      <c r="AA78" s="165">
        <v>0</v>
      </c>
      <c r="AB78" s="166">
        <f t="shared" si="113"/>
        <v>0</v>
      </c>
      <c r="AC78" s="33">
        <f t="shared" si="114"/>
        <v>13571.477870452658</v>
      </c>
      <c r="AD78" s="167">
        <f t="shared" si="115"/>
        <v>746.43128287489617</v>
      </c>
      <c r="AE78" s="165">
        <v>0</v>
      </c>
      <c r="AF78" s="166">
        <f t="shared" si="116"/>
        <v>0</v>
      </c>
      <c r="AG78" s="33">
        <f t="shared" si="117"/>
        <v>14517.909153327553</v>
      </c>
      <c r="AH78" s="167">
        <f t="shared" si="118"/>
        <v>798.48500343301544</v>
      </c>
      <c r="AI78" s="165">
        <v>0</v>
      </c>
      <c r="AJ78" s="166">
        <f t="shared" si="119"/>
        <v>0</v>
      </c>
      <c r="AK78" s="33">
        <f t="shared" si="120"/>
        <v>15516.394156760569</v>
      </c>
      <c r="AL78" s="167">
        <f t="shared" si="121"/>
        <v>853.40167862183125</v>
      </c>
      <c r="AM78" s="165">
        <v>0</v>
      </c>
      <c r="AN78" s="166">
        <f t="shared" si="122"/>
        <v>0</v>
      </c>
      <c r="AO78" s="33">
        <f t="shared" si="123"/>
        <v>16569.7958353824</v>
      </c>
      <c r="AP78" s="167">
        <f t="shared" si="124"/>
        <v>911.33877094603201</v>
      </c>
      <c r="AQ78" s="165">
        <v>0</v>
      </c>
      <c r="AR78" s="166">
        <f t="shared" si="125"/>
        <v>0</v>
      </c>
      <c r="AS78" s="33">
        <f t="shared" si="126"/>
        <v>17681.134606328433</v>
      </c>
      <c r="AT78" s="167">
        <f t="shared" si="127"/>
        <v>1237.6794224429905</v>
      </c>
      <c r="AU78" s="165">
        <v>0</v>
      </c>
      <c r="AV78" s="166">
        <f t="shared" si="128"/>
        <v>0</v>
      </c>
      <c r="AW78" s="33">
        <f t="shared" si="129"/>
        <v>19118.814028771423</v>
      </c>
      <c r="AX78" s="167">
        <f t="shared" si="130"/>
        <v>1338.3169820139997</v>
      </c>
      <c r="AY78" s="165">
        <v>0</v>
      </c>
      <c r="AZ78" s="166">
        <f t="shared" si="131"/>
        <v>0</v>
      </c>
      <c r="BA78" s="33">
        <f t="shared" si="132"/>
        <v>20657.131010785422</v>
      </c>
      <c r="BB78" s="167">
        <f t="shared" si="133"/>
        <v>1445.9991707549798</v>
      </c>
      <c r="BC78" s="165">
        <v>0</v>
      </c>
      <c r="BD78" s="166">
        <f t="shared" si="134"/>
        <v>0</v>
      </c>
      <c r="BE78" s="33">
        <f t="shared" si="135"/>
        <v>22303.1301815404</v>
      </c>
      <c r="BF78" s="167">
        <f t="shared" si="136"/>
        <v>1561.2191127078281</v>
      </c>
      <c r="BG78" s="165">
        <v>0</v>
      </c>
      <c r="BH78" s="166">
        <f t="shared" si="137"/>
        <v>0</v>
      </c>
      <c r="BI78" s="33">
        <f t="shared" si="138"/>
        <v>24064.34929424823</v>
      </c>
      <c r="BJ78" s="167">
        <f t="shared" si="139"/>
        <v>1684.5044505973763</v>
      </c>
      <c r="BK78" s="87">
        <f t="shared" si="140"/>
        <v>0</v>
      </c>
      <c r="BL78" s="33">
        <f>'2022-2023'!BL78+'2023-2024'!BK78</f>
        <v>4500</v>
      </c>
    </row>
    <row r="79" spans="1:66">
      <c r="A79" s="10" t="s">
        <v>650</v>
      </c>
      <c r="B79" s="10" t="s">
        <v>113</v>
      </c>
      <c r="C79" s="80">
        <v>0</v>
      </c>
      <c r="D79" s="79">
        <f t="shared" si="94"/>
        <v>2400</v>
      </c>
      <c r="E79" s="78">
        <f>'2022-2023'!I79</f>
        <v>18571.067867184083</v>
      </c>
      <c r="F79" s="187">
        <f t="shared" si="95"/>
        <v>2400</v>
      </c>
      <c r="G79" s="33">
        <f t="shared" si="96"/>
        <v>0</v>
      </c>
      <c r="H79" s="190">
        <f t="shared" si="97"/>
        <v>2400</v>
      </c>
      <c r="I79" s="78">
        <f t="shared" si="98"/>
        <v>41567.008071790769</v>
      </c>
      <c r="J79" s="78">
        <f t="shared" si="99"/>
        <v>0</v>
      </c>
      <c r="K79" s="78">
        <f t="shared" si="100"/>
        <v>0</v>
      </c>
      <c r="L79" s="78">
        <f t="shared" si="101"/>
        <v>20595.940204606683</v>
      </c>
      <c r="M79" s="194">
        <f t="shared" si="102"/>
        <v>20595.940204606683</v>
      </c>
      <c r="N79" s="78">
        <f t="shared" si="103"/>
        <v>-20595.940204606683</v>
      </c>
      <c r="O79" s="165">
        <v>0</v>
      </c>
      <c r="P79" s="166">
        <f t="shared" si="104"/>
        <v>0</v>
      </c>
      <c r="Q79" s="119">
        <f t="shared" si="105"/>
        <v>18771.067867184083</v>
      </c>
      <c r="R79" s="167">
        <f t="shared" si="106"/>
        <v>1032.4087326951246</v>
      </c>
      <c r="S79" s="165">
        <v>0</v>
      </c>
      <c r="T79" s="166">
        <f t="shared" si="107"/>
        <v>0</v>
      </c>
      <c r="U79" s="33">
        <f t="shared" si="108"/>
        <v>20003.476599879206</v>
      </c>
      <c r="V79" s="167">
        <f t="shared" si="109"/>
        <v>1100.1912129933564</v>
      </c>
      <c r="W79" s="165">
        <v>0</v>
      </c>
      <c r="X79" s="166">
        <f t="shared" si="110"/>
        <v>0</v>
      </c>
      <c r="Y79" s="33">
        <f t="shared" si="111"/>
        <v>21303.667812872562</v>
      </c>
      <c r="Z79" s="167">
        <f t="shared" si="112"/>
        <v>1171.7017297079908</v>
      </c>
      <c r="AA79" s="165">
        <v>0</v>
      </c>
      <c r="AB79" s="166">
        <f t="shared" si="113"/>
        <v>0</v>
      </c>
      <c r="AC79" s="33">
        <f t="shared" si="114"/>
        <v>22675.369542580553</v>
      </c>
      <c r="AD79" s="167">
        <f t="shared" si="115"/>
        <v>1247.1453248419305</v>
      </c>
      <c r="AE79" s="165">
        <v>0</v>
      </c>
      <c r="AF79" s="166">
        <f t="shared" si="116"/>
        <v>0</v>
      </c>
      <c r="AG79" s="33">
        <f t="shared" si="117"/>
        <v>24122.514867422484</v>
      </c>
      <c r="AH79" s="167">
        <f t="shared" si="118"/>
        <v>1326.7383177082365</v>
      </c>
      <c r="AI79" s="165">
        <v>0</v>
      </c>
      <c r="AJ79" s="166">
        <f t="shared" si="119"/>
        <v>0</v>
      </c>
      <c r="AK79" s="33">
        <f t="shared" si="120"/>
        <v>25649.253185130721</v>
      </c>
      <c r="AL79" s="167">
        <f t="shared" si="121"/>
        <v>1410.7089251821897</v>
      </c>
      <c r="AM79" s="165">
        <v>0</v>
      </c>
      <c r="AN79" s="166">
        <f t="shared" si="122"/>
        <v>0</v>
      </c>
      <c r="AO79" s="33">
        <f t="shared" si="123"/>
        <v>27259.96211031291</v>
      </c>
      <c r="AP79" s="167">
        <f t="shared" si="124"/>
        <v>1499.2979160672101</v>
      </c>
      <c r="AQ79" s="165">
        <v>0</v>
      </c>
      <c r="AR79" s="166">
        <f t="shared" si="125"/>
        <v>0</v>
      </c>
      <c r="AS79" s="33">
        <f t="shared" si="126"/>
        <v>28959.260026380121</v>
      </c>
      <c r="AT79" s="167">
        <f t="shared" si="127"/>
        <v>2027.1482018466088</v>
      </c>
      <c r="AU79" s="165">
        <v>0</v>
      </c>
      <c r="AV79" s="166">
        <f t="shared" si="128"/>
        <v>0</v>
      </c>
      <c r="AW79" s="33">
        <f t="shared" si="129"/>
        <v>31186.40822822673</v>
      </c>
      <c r="AX79" s="167">
        <f t="shared" si="130"/>
        <v>2183.0485759758712</v>
      </c>
      <c r="AY79" s="165">
        <v>0</v>
      </c>
      <c r="AZ79" s="166">
        <f t="shared" si="131"/>
        <v>0</v>
      </c>
      <c r="BA79" s="33">
        <f t="shared" si="132"/>
        <v>33569.4568042026</v>
      </c>
      <c r="BB79" s="167">
        <f t="shared" si="133"/>
        <v>2349.8619762941821</v>
      </c>
      <c r="BC79" s="165">
        <v>0</v>
      </c>
      <c r="BD79" s="166">
        <f t="shared" si="134"/>
        <v>0</v>
      </c>
      <c r="BE79" s="33">
        <f t="shared" si="135"/>
        <v>36119.318780496782</v>
      </c>
      <c r="BF79" s="167">
        <f t="shared" si="136"/>
        <v>2528.3523146347748</v>
      </c>
      <c r="BG79" s="165">
        <v>0</v>
      </c>
      <c r="BH79" s="166">
        <f t="shared" si="137"/>
        <v>0</v>
      </c>
      <c r="BI79" s="33">
        <f t="shared" si="138"/>
        <v>38847.671095131554</v>
      </c>
      <c r="BJ79" s="167">
        <f t="shared" si="139"/>
        <v>2719.3369766592091</v>
      </c>
      <c r="BK79" s="87">
        <f t="shared" si="140"/>
        <v>0</v>
      </c>
      <c r="BL79" s="33">
        <f>'2022-2023'!BL79+'2023-2024'!BK79</f>
        <v>800</v>
      </c>
    </row>
    <row r="80" spans="1:66">
      <c r="A80" s="10" t="s">
        <v>651</v>
      </c>
      <c r="B80" s="10" t="s">
        <v>124</v>
      </c>
      <c r="C80" s="80">
        <v>0</v>
      </c>
      <c r="D80" s="79">
        <f t="shared" si="94"/>
        <v>2400</v>
      </c>
      <c r="E80" s="78">
        <f>'2022-2023'!I80</f>
        <v>16122.752537110369</v>
      </c>
      <c r="F80" s="187">
        <f t="shared" si="95"/>
        <v>2400</v>
      </c>
      <c r="G80" s="33">
        <f t="shared" si="96"/>
        <v>0</v>
      </c>
      <c r="H80" s="190">
        <f t="shared" si="97"/>
        <v>2400</v>
      </c>
      <c r="I80" s="78">
        <f t="shared" si="98"/>
        <v>36571.801442229131</v>
      </c>
      <c r="J80" s="78">
        <f t="shared" si="99"/>
        <v>0</v>
      </c>
      <c r="K80" s="78">
        <f t="shared" si="100"/>
        <v>0</v>
      </c>
      <c r="L80" s="78">
        <f t="shared" si="101"/>
        <v>18049.048905118765</v>
      </c>
      <c r="M80" s="194">
        <f t="shared" si="102"/>
        <v>18049.048905118765</v>
      </c>
      <c r="N80" s="78">
        <f t="shared" si="103"/>
        <v>-18049.048905118765</v>
      </c>
      <c r="O80" s="165">
        <v>0</v>
      </c>
      <c r="P80" s="166">
        <f t="shared" si="104"/>
        <v>0</v>
      </c>
      <c r="Q80" s="119">
        <f t="shared" si="105"/>
        <v>16322.752537110369</v>
      </c>
      <c r="R80" s="167">
        <f t="shared" si="106"/>
        <v>897.75138954107035</v>
      </c>
      <c r="S80" s="165">
        <v>0</v>
      </c>
      <c r="T80" s="166">
        <f t="shared" si="107"/>
        <v>0</v>
      </c>
      <c r="U80" s="33">
        <f t="shared" si="108"/>
        <v>17420.50392665144</v>
      </c>
      <c r="V80" s="167">
        <f t="shared" si="109"/>
        <v>958.12771596582922</v>
      </c>
      <c r="W80" s="165">
        <v>0</v>
      </c>
      <c r="X80" s="166">
        <f t="shared" si="110"/>
        <v>0</v>
      </c>
      <c r="Y80" s="33">
        <f t="shared" si="111"/>
        <v>18578.631642617267</v>
      </c>
      <c r="Z80" s="167">
        <f t="shared" si="112"/>
        <v>1021.8247403439497</v>
      </c>
      <c r="AA80" s="165">
        <v>0</v>
      </c>
      <c r="AB80" s="166">
        <f t="shared" si="113"/>
        <v>0</v>
      </c>
      <c r="AC80" s="33">
        <f t="shared" si="114"/>
        <v>19800.456382961216</v>
      </c>
      <c r="AD80" s="167">
        <f t="shared" si="115"/>
        <v>1089.025101062867</v>
      </c>
      <c r="AE80" s="165">
        <v>0</v>
      </c>
      <c r="AF80" s="166">
        <f t="shared" si="116"/>
        <v>0</v>
      </c>
      <c r="AG80" s="33">
        <f t="shared" si="117"/>
        <v>21089.481484024083</v>
      </c>
      <c r="AH80" s="167">
        <f t="shared" si="118"/>
        <v>1159.9214816213246</v>
      </c>
      <c r="AI80" s="165">
        <v>0</v>
      </c>
      <c r="AJ80" s="166">
        <f t="shared" si="119"/>
        <v>0</v>
      </c>
      <c r="AK80" s="33">
        <f t="shared" si="120"/>
        <v>22449.402965645408</v>
      </c>
      <c r="AL80" s="167">
        <f t="shared" si="121"/>
        <v>1234.7171631104975</v>
      </c>
      <c r="AM80" s="165">
        <v>0</v>
      </c>
      <c r="AN80" s="166">
        <f t="shared" si="122"/>
        <v>0</v>
      </c>
      <c r="AO80" s="33">
        <f t="shared" si="123"/>
        <v>23884.120128755905</v>
      </c>
      <c r="AP80" s="167">
        <f t="shared" si="124"/>
        <v>1313.6266070815748</v>
      </c>
      <c r="AQ80" s="165">
        <v>0</v>
      </c>
      <c r="AR80" s="166">
        <f t="shared" si="125"/>
        <v>0</v>
      </c>
      <c r="AS80" s="33">
        <f t="shared" si="126"/>
        <v>25397.746735837482</v>
      </c>
      <c r="AT80" s="167">
        <f t="shared" si="127"/>
        <v>1777.842271508624</v>
      </c>
      <c r="AU80" s="165">
        <v>0</v>
      </c>
      <c r="AV80" s="166">
        <f t="shared" si="128"/>
        <v>0</v>
      </c>
      <c r="AW80" s="33">
        <f t="shared" si="129"/>
        <v>27375.589007346105</v>
      </c>
      <c r="AX80" s="167">
        <f t="shared" si="130"/>
        <v>1916.2912305142274</v>
      </c>
      <c r="AY80" s="165">
        <v>0</v>
      </c>
      <c r="AZ80" s="166">
        <f t="shared" si="131"/>
        <v>0</v>
      </c>
      <c r="BA80" s="33">
        <f t="shared" si="132"/>
        <v>29491.880237860332</v>
      </c>
      <c r="BB80" s="167">
        <f t="shared" si="133"/>
        <v>2064.4316166502235</v>
      </c>
      <c r="BC80" s="165">
        <v>0</v>
      </c>
      <c r="BD80" s="166">
        <f t="shared" si="134"/>
        <v>0</v>
      </c>
      <c r="BE80" s="33">
        <f t="shared" si="135"/>
        <v>31756.311854510557</v>
      </c>
      <c r="BF80" s="167">
        <f t="shared" si="136"/>
        <v>2222.9418298157393</v>
      </c>
      <c r="BG80" s="165">
        <v>0</v>
      </c>
      <c r="BH80" s="166">
        <f t="shared" si="137"/>
        <v>0</v>
      </c>
      <c r="BI80" s="33">
        <f t="shared" si="138"/>
        <v>34179.253684326293</v>
      </c>
      <c r="BJ80" s="167">
        <f t="shared" si="139"/>
        <v>2392.5477579028407</v>
      </c>
      <c r="BK80" s="87">
        <f t="shared" si="140"/>
        <v>0</v>
      </c>
      <c r="BL80" s="33">
        <f>'2022-2023'!BL80+'2023-2024'!BK80</f>
        <v>1900</v>
      </c>
    </row>
    <row r="81" spans="1:64">
      <c r="A81" s="10" t="s">
        <v>652</v>
      </c>
      <c r="B81" s="10" t="s">
        <v>149</v>
      </c>
      <c r="C81" s="80">
        <v>0</v>
      </c>
      <c r="D81" s="79">
        <f t="shared" si="94"/>
        <v>2400</v>
      </c>
      <c r="E81" s="78">
        <f>'2022-2023'!I81</f>
        <v>8431.9180795949105</v>
      </c>
      <c r="F81" s="187">
        <f t="shared" si="95"/>
        <v>2400</v>
      </c>
      <c r="G81" s="33">
        <f t="shared" si="96"/>
        <v>1950</v>
      </c>
      <c r="H81" s="190">
        <f t="shared" si="97"/>
        <v>450</v>
      </c>
      <c r="I81" s="78">
        <f t="shared" si="98"/>
        <v>18210.0246100121</v>
      </c>
      <c r="J81" s="78">
        <f t="shared" si="99"/>
        <v>0</v>
      </c>
      <c r="K81" s="78">
        <f t="shared" si="100"/>
        <v>107.25</v>
      </c>
      <c r="L81" s="78">
        <f t="shared" si="101"/>
        <v>9328.106530417188</v>
      </c>
      <c r="M81" s="194">
        <f t="shared" si="102"/>
        <v>9328.106530417188</v>
      </c>
      <c r="N81" s="78">
        <f t="shared" si="103"/>
        <v>-7270.856530417188</v>
      </c>
      <c r="O81" s="165">
        <v>0</v>
      </c>
      <c r="P81" s="166">
        <f t="shared" si="104"/>
        <v>0</v>
      </c>
      <c r="Q81" s="119">
        <f t="shared" si="105"/>
        <v>8631.9180795949105</v>
      </c>
      <c r="R81" s="167">
        <f t="shared" si="106"/>
        <v>474.75549437772008</v>
      </c>
      <c r="S81" s="165">
        <v>0</v>
      </c>
      <c r="T81" s="166">
        <f t="shared" si="107"/>
        <v>0</v>
      </c>
      <c r="U81" s="33">
        <f t="shared" si="108"/>
        <v>9306.67357397263</v>
      </c>
      <c r="V81" s="167">
        <f t="shared" si="109"/>
        <v>511.86704656849463</v>
      </c>
      <c r="W81" s="165">
        <v>0</v>
      </c>
      <c r="X81" s="166">
        <f t="shared" si="110"/>
        <v>0</v>
      </c>
      <c r="Y81" s="33">
        <f t="shared" si="111"/>
        <v>10018.540620541125</v>
      </c>
      <c r="Z81" s="167">
        <f t="shared" si="112"/>
        <v>551.0197341297619</v>
      </c>
      <c r="AA81" s="165">
        <v>0</v>
      </c>
      <c r="AB81" s="166">
        <f t="shared" si="113"/>
        <v>0</v>
      </c>
      <c r="AC81" s="33">
        <f t="shared" si="114"/>
        <v>10769.560354670888</v>
      </c>
      <c r="AD81" s="167">
        <f t="shared" si="115"/>
        <v>592.32581950689882</v>
      </c>
      <c r="AE81" s="165">
        <v>0</v>
      </c>
      <c r="AF81" s="166">
        <f t="shared" si="116"/>
        <v>0</v>
      </c>
      <c r="AG81" s="33">
        <f t="shared" si="117"/>
        <v>11561.886174177787</v>
      </c>
      <c r="AH81" s="167">
        <f t="shared" si="118"/>
        <v>635.90373957977829</v>
      </c>
      <c r="AI81" s="165">
        <v>0</v>
      </c>
      <c r="AJ81" s="166">
        <f t="shared" si="119"/>
        <v>0</v>
      </c>
      <c r="AK81" s="33">
        <f t="shared" si="120"/>
        <v>12397.789913757566</v>
      </c>
      <c r="AL81" s="167">
        <f t="shared" si="121"/>
        <v>681.87844525666617</v>
      </c>
      <c r="AM81" s="165">
        <v>500</v>
      </c>
      <c r="AN81" s="166">
        <f t="shared" si="122"/>
        <v>0</v>
      </c>
      <c r="AO81" s="33">
        <f t="shared" si="123"/>
        <v>12779.668359014233</v>
      </c>
      <c r="AP81" s="167">
        <f t="shared" si="124"/>
        <v>675.3817597457828</v>
      </c>
      <c r="AQ81" s="165">
        <v>250</v>
      </c>
      <c r="AR81" s="166">
        <f t="shared" si="125"/>
        <v>0</v>
      </c>
      <c r="AS81" s="33">
        <f t="shared" si="126"/>
        <v>13405.050118760017</v>
      </c>
      <c r="AT81" s="167">
        <f t="shared" si="127"/>
        <v>920.85350831320125</v>
      </c>
      <c r="AU81" s="165">
        <v>300</v>
      </c>
      <c r="AV81" s="166">
        <f t="shared" si="128"/>
        <v>0</v>
      </c>
      <c r="AW81" s="33">
        <f t="shared" si="129"/>
        <v>14225.903627073218</v>
      </c>
      <c r="AX81" s="167">
        <f t="shared" si="130"/>
        <v>974.81325389512529</v>
      </c>
      <c r="AY81" s="165">
        <v>300</v>
      </c>
      <c r="AZ81" s="166">
        <f t="shared" si="131"/>
        <v>0</v>
      </c>
      <c r="BA81" s="33">
        <f t="shared" si="132"/>
        <v>15100.716880968343</v>
      </c>
      <c r="BB81" s="167">
        <f t="shared" si="133"/>
        <v>1036.050181667784</v>
      </c>
      <c r="BC81" s="165">
        <v>300</v>
      </c>
      <c r="BD81" s="166">
        <f t="shared" si="134"/>
        <v>0</v>
      </c>
      <c r="BE81" s="33">
        <f t="shared" si="135"/>
        <v>16036.767062636127</v>
      </c>
      <c r="BF81" s="167">
        <f t="shared" si="136"/>
        <v>1101.5736943845291</v>
      </c>
      <c r="BG81" s="165">
        <v>300</v>
      </c>
      <c r="BH81" s="166">
        <f t="shared" si="137"/>
        <v>0</v>
      </c>
      <c r="BI81" s="33">
        <f t="shared" si="138"/>
        <v>17038.340757020655</v>
      </c>
      <c r="BJ81" s="167">
        <f t="shared" si="139"/>
        <v>1171.683852991446</v>
      </c>
      <c r="BK81" s="87">
        <f t="shared" si="140"/>
        <v>1950</v>
      </c>
      <c r="BL81" s="33">
        <f>'2022-2023'!BL81+'2023-2024'!BK81</f>
        <v>8900</v>
      </c>
    </row>
    <row r="82" spans="1:64">
      <c r="A82" s="10" t="s">
        <v>653</v>
      </c>
      <c r="B82" s="10" t="s">
        <v>148</v>
      </c>
      <c r="C82" s="80">
        <v>0</v>
      </c>
      <c r="D82" s="79">
        <f t="shared" si="94"/>
        <v>2400</v>
      </c>
      <c r="E82" s="78">
        <f>'2022-2023'!I82</f>
        <v>-856.00027527758175</v>
      </c>
      <c r="F82" s="187">
        <f t="shared" si="95"/>
        <v>2400</v>
      </c>
      <c r="G82" s="33">
        <f t="shared" si="96"/>
        <v>0</v>
      </c>
      <c r="H82" s="190">
        <f t="shared" si="97"/>
        <v>2400</v>
      </c>
      <c r="I82" s="78">
        <f t="shared" si="98"/>
        <v>1930.6841121444745</v>
      </c>
      <c r="J82" s="78">
        <f t="shared" si="99"/>
        <v>0</v>
      </c>
      <c r="K82" s="78">
        <f t="shared" si="100"/>
        <v>0</v>
      </c>
      <c r="L82" s="78">
        <f t="shared" si="101"/>
        <v>386.68438742205615</v>
      </c>
      <c r="M82" s="194">
        <f t="shared" si="102"/>
        <v>386.68438742205615</v>
      </c>
      <c r="N82" s="78">
        <f t="shared" si="103"/>
        <v>-386.68438742205615</v>
      </c>
      <c r="O82" s="165">
        <v>0</v>
      </c>
      <c r="P82" s="166">
        <f t="shared" si="104"/>
        <v>0</v>
      </c>
      <c r="Q82" s="119">
        <f t="shared" si="105"/>
        <v>-656.00027527758175</v>
      </c>
      <c r="R82" s="167">
        <f t="shared" si="106"/>
        <v>-36.080015140266994</v>
      </c>
      <c r="S82" s="165">
        <v>0</v>
      </c>
      <c r="T82" s="166">
        <f t="shared" si="107"/>
        <v>0</v>
      </c>
      <c r="U82" s="33">
        <f t="shared" si="108"/>
        <v>-492.08029041784874</v>
      </c>
      <c r="V82" s="167">
        <f t="shared" si="109"/>
        <v>-27.064415972981681</v>
      </c>
      <c r="W82" s="165">
        <v>0</v>
      </c>
      <c r="X82" s="166">
        <f t="shared" si="110"/>
        <v>0</v>
      </c>
      <c r="Y82" s="33">
        <f t="shared" si="111"/>
        <v>-319.14470639083044</v>
      </c>
      <c r="Z82" s="167">
        <f t="shared" si="112"/>
        <v>-17.552958851495674</v>
      </c>
      <c r="AA82" s="165">
        <v>0</v>
      </c>
      <c r="AB82" s="166">
        <f t="shared" si="113"/>
        <v>0</v>
      </c>
      <c r="AC82" s="33">
        <f t="shared" si="114"/>
        <v>-136.69766524232611</v>
      </c>
      <c r="AD82" s="167">
        <f t="shared" si="115"/>
        <v>-7.5183715883279358</v>
      </c>
      <c r="AE82" s="165">
        <v>0</v>
      </c>
      <c r="AF82" s="166">
        <f t="shared" si="116"/>
        <v>0</v>
      </c>
      <c r="AG82" s="33">
        <f t="shared" si="117"/>
        <v>55.783963169345952</v>
      </c>
      <c r="AH82" s="167">
        <f t="shared" si="118"/>
        <v>3.0681179743140272</v>
      </c>
      <c r="AI82" s="165">
        <v>0</v>
      </c>
      <c r="AJ82" s="166">
        <f t="shared" si="119"/>
        <v>0</v>
      </c>
      <c r="AK82" s="33">
        <f t="shared" si="120"/>
        <v>258.85208114365997</v>
      </c>
      <c r="AL82" s="167">
        <f t="shared" si="121"/>
        <v>14.236864462901298</v>
      </c>
      <c r="AM82" s="165">
        <v>0</v>
      </c>
      <c r="AN82" s="166">
        <f t="shared" si="122"/>
        <v>0</v>
      </c>
      <c r="AO82" s="33">
        <f t="shared" si="123"/>
        <v>473.08894560656125</v>
      </c>
      <c r="AP82" s="167">
        <f t="shared" si="124"/>
        <v>26.01989200836087</v>
      </c>
      <c r="AQ82" s="165">
        <v>0</v>
      </c>
      <c r="AR82" s="166">
        <f t="shared" si="125"/>
        <v>0</v>
      </c>
      <c r="AS82" s="33">
        <f t="shared" si="126"/>
        <v>699.10883761492221</v>
      </c>
      <c r="AT82" s="167">
        <f t="shared" si="127"/>
        <v>48.937618633044558</v>
      </c>
      <c r="AU82" s="165">
        <v>0</v>
      </c>
      <c r="AV82" s="166">
        <f t="shared" si="128"/>
        <v>0</v>
      </c>
      <c r="AW82" s="33">
        <f t="shared" si="129"/>
        <v>948.04645624796672</v>
      </c>
      <c r="AX82" s="167">
        <f t="shared" si="130"/>
        <v>66.363251937357674</v>
      </c>
      <c r="AY82" s="165">
        <v>0</v>
      </c>
      <c r="AZ82" s="166">
        <f t="shared" si="131"/>
        <v>0</v>
      </c>
      <c r="BA82" s="33">
        <f t="shared" si="132"/>
        <v>1214.4097081853245</v>
      </c>
      <c r="BB82" s="167">
        <f t="shared" si="133"/>
        <v>85.008679572972724</v>
      </c>
      <c r="BC82" s="165">
        <v>0</v>
      </c>
      <c r="BD82" s="166">
        <f t="shared" si="134"/>
        <v>0</v>
      </c>
      <c r="BE82" s="33">
        <f t="shared" si="135"/>
        <v>1499.4183877582973</v>
      </c>
      <c r="BF82" s="167">
        <f t="shared" si="136"/>
        <v>104.95928714308081</v>
      </c>
      <c r="BG82" s="165">
        <v>0</v>
      </c>
      <c r="BH82" s="166">
        <f t="shared" si="137"/>
        <v>0</v>
      </c>
      <c r="BI82" s="33">
        <f t="shared" si="138"/>
        <v>1804.3776749013782</v>
      </c>
      <c r="BJ82" s="167">
        <f t="shared" si="139"/>
        <v>126.30643724309648</v>
      </c>
      <c r="BK82" s="87">
        <f t="shared" si="140"/>
        <v>0</v>
      </c>
      <c r="BL82" s="33">
        <f>'2022-2023'!BL82+'2023-2024'!BK82</f>
        <v>11000</v>
      </c>
    </row>
    <row r="83" spans="1:64">
      <c r="A83" s="10" t="s">
        <v>654</v>
      </c>
      <c r="B83" s="10" t="s">
        <v>127</v>
      </c>
      <c r="C83" s="80">
        <v>0</v>
      </c>
      <c r="D83" s="79">
        <f t="shared" si="94"/>
        <v>2400</v>
      </c>
      <c r="E83" s="78">
        <f>'2022-2023'!I83</f>
        <v>6737.5437718278008</v>
      </c>
      <c r="F83" s="187">
        <f t="shared" si="95"/>
        <v>2400</v>
      </c>
      <c r="G83" s="33">
        <f t="shared" si="96"/>
        <v>0</v>
      </c>
      <c r="H83" s="190">
        <f t="shared" si="97"/>
        <v>2400</v>
      </c>
      <c r="I83" s="78">
        <f t="shared" si="98"/>
        <v>17423.50936224289</v>
      </c>
      <c r="J83" s="78">
        <f t="shared" si="99"/>
        <v>0</v>
      </c>
      <c r="K83" s="78">
        <f t="shared" si="100"/>
        <v>0</v>
      </c>
      <c r="L83" s="78">
        <f t="shared" si="101"/>
        <v>8285.9655904150877</v>
      </c>
      <c r="M83" s="194">
        <f t="shared" si="102"/>
        <v>8285.9655904150877</v>
      </c>
      <c r="N83" s="78">
        <f t="shared" si="103"/>
        <v>-8285.9655904150877</v>
      </c>
      <c r="O83" s="165">
        <v>0</v>
      </c>
      <c r="P83" s="166">
        <f t="shared" si="104"/>
        <v>0</v>
      </c>
      <c r="Q83" s="119">
        <f t="shared" si="105"/>
        <v>6937.5437718278008</v>
      </c>
      <c r="R83" s="167">
        <f t="shared" si="106"/>
        <v>381.56490745052906</v>
      </c>
      <c r="S83" s="165">
        <v>0</v>
      </c>
      <c r="T83" s="166">
        <f t="shared" si="107"/>
        <v>0</v>
      </c>
      <c r="U83" s="33">
        <f t="shared" si="108"/>
        <v>7519.1086792783299</v>
      </c>
      <c r="V83" s="167">
        <f t="shared" si="109"/>
        <v>413.55097736030814</v>
      </c>
      <c r="W83" s="165">
        <v>0</v>
      </c>
      <c r="X83" s="166">
        <f t="shared" si="110"/>
        <v>0</v>
      </c>
      <c r="Y83" s="33">
        <f t="shared" si="111"/>
        <v>8132.6596566386379</v>
      </c>
      <c r="Z83" s="167">
        <f t="shared" si="112"/>
        <v>447.29628111512511</v>
      </c>
      <c r="AA83" s="165">
        <v>0</v>
      </c>
      <c r="AB83" s="166">
        <f t="shared" si="113"/>
        <v>0</v>
      </c>
      <c r="AC83" s="33">
        <f t="shared" si="114"/>
        <v>8779.9559377537626</v>
      </c>
      <c r="AD83" s="167">
        <f t="shared" si="115"/>
        <v>482.89757657645697</v>
      </c>
      <c r="AE83" s="165">
        <v>0</v>
      </c>
      <c r="AF83" s="166">
        <f t="shared" si="116"/>
        <v>0</v>
      </c>
      <c r="AG83" s="33">
        <f t="shared" si="117"/>
        <v>9462.8535143302197</v>
      </c>
      <c r="AH83" s="167">
        <f t="shared" si="118"/>
        <v>520.45694328816205</v>
      </c>
      <c r="AI83" s="165">
        <v>0</v>
      </c>
      <c r="AJ83" s="166">
        <f t="shared" si="119"/>
        <v>0</v>
      </c>
      <c r="AK83" s="33">
        <f t="shared" si="120"/>
        <v>10183.310457618381</v>
      </c>
      <c r="AL83" s="167">
        <f t="shared" si="121"/>
        <v>560.08207516901098</v>
      </c>
      <c r="AM83" s="165">
        <v>0</v>
      </c>
      <c r="AN83" s="166">
        <f t="shared" si="122"/>
        <v>0</v>
      </c>
      <c r="AO83" s="33">
        <f t="shared" si="123"/>
        <v>10943.392532787393</v>
      </c>
      <c r="AP83" s="167">
        <f t="shared" si="124"/>
        <v>601.88658930330666</v>
      </c>
      <c r="AQ83" s="165">
        <v>0</v>
      </c>
      <c r="AR83" s="166">
        <f t="shared" si="125"/>
        <v>0</v>
      </c>
      <c r="AS83" s="33">
        <f t="shared" si="126"/>
        <v>11745.2791220907</v>
      </c>
      <c r="AT83" s="167">
        <f t="shared" si="127"/>
        <v>822.16953854634914</v>
      </c>
      <c r="AU83" s="165">
        <v>0</v>
      </c>
      <c r="AV83" s="166">
        <f t="shared" si="128"/>
        <v>0</v>
      </c>
      <c r="AW83" s="33">
        <f t="shared" si="129"/>
        <v>12767.44866063705</v>
      </c>
      <c r="AX83" s="167">
        <f t="shared" si="130"/>
        <v>893.7214062445936</v>
      </c>
      <c r="AY83" s="165">
        <v>0</v>
      </c>
      <c r="AZ83" s="166">
        <f t="shared" si="131"/>
        <v>0</v>
      </c>
      <c r="BA83" s="33">
        <f t="shared" si="132"/>
        <v>13861.170066881643</v>
      </c>
      <c r="BB83" s="167">
        <f t="shared" si="133"/>
        <v>970.2819046817151</v>
      </c>
      <c r="BC83" s="165">
        <v>0</v>
      </c>
      <c r="BD83" s="166">
        <f t="shared" si="134"/>
        <v>0</v>
      </c>
      <c r="BE83" s="33">
        <f t="shared" si="135"/>
        <v>15031.451971563358</v>
      </c>
      <c r="BF83" s="167">
        <f t="shared" si="136"/>
        <v>1052.2016380094351</v>
      </c>
      <c r="BG83" s="165">
        <v>0</v>
      </c>
      <c r="BH83" s="166">
        <f t="shared" si="137"/>
        <v>0</v>
      </c>
      <c r="BI83" s="33">
        <f t="shared" si="138"/>
        <v>16283.653609572793</v>
      </c>
      <c r="BJ83" s="167">
        <f t="shared" si="139"/>
        <v>1139.8557526700956</v>
      </c>
      <c r="BK83" s="87">
        <f t="shared" si="140"/>
        <v>0</v>
      </c>
      <c r="BL83" s="33">
        <f>'2022-2023'!BL83+'2023-2024'!BK83</f>
        <v>6600</v>
      </c>
    </row>
    <row r="84" spans="1:64">
      <c r="A84" s="10" t="s">
        <v>655</v>
      </c>
      <c r="B84" s="10" t="s">
        <v>147</v>
      </c>
      <c r="C84" s="80">
        <v>0</v>
      </c>
      <c r="D84" s="79">
        <f t="shared" si="94"/>
        <v>2400</v>
      </c>
      <c r="E84" s="78">
        <f>'2022-2023'!I84</f>
        <v>15102.621149579656</v>
      </c>
      <c r="F84" s="187">
        <f t="shared" si="95"/>
        <v>2400</v>
      </c>
      <c r="G84" s="33">
        <f t="shared" si="96"/>
        <v>0</v>
      </c>
      <c r="H84" s="190">
        <f t="shared" si="97"/>
        <v>2400</v>
      </c>
      <c r="I84" s="78">
        <f t="shared" si="98"/>
        <v>34490.465346578465</v>
      </c>
      <c r="J84" s="78">
        <f t="shared" si="99"/>
        <v>0</v>
      </c>
      <c r="K84" s="78">
        <f t="shared" si="100"/>
        <v>0</v>
      </c>
      <c r="L84" s="78">
        <f t="shared" si="101"/>
        <v>16987.844196998809</v>
      </c>
      <c r="M84" s="194">
        <f t="shared" si="102"/>
        <v>16987.844196998809</v>
      </c>
      <c r="N84" s="78">
        <f t="shared" si="103"/>
        <v>-16987.844196998809</v>
      </c>
      <c r="O84" s="165">
        <v>0</v>
      </c>
      <c r="P84" s="166">
        <f t="shared" si="104"/>
        <v>0</v>
      </c>
      <c r="Q84" s="119">
        <f t="shared" si="105"/>
        <v>15302.621149579656</v>
      </c>
      <c r="R84" s="167">
        <f t="shared" si="106"/>
        <v>841.64416322688112</v>
      </c>
      <c r="S84" s="165">
        <v>0</v>
      </c>
      <c r="T84" s="166">
        <f t="shared" si="107"/>
        <v>0</v>
      </c>
      <c r="U84" s="33">
        <f t="shared" si="108"/>
        <v>16344.265312806538</v>
      </c>
      <c r="V84" s="167">
        <f t="shared" si="109"/>
        <v>898.93459220435955</v>
      </c>
      <c r="W84" s="165">
        <v>0</v>
      </c>
      <c r="X84" s="166">
        <f t="shared" si="110"/>
        <v>0</v>
      </c>
      <c r="Y84" s="33">
        <f t="shared" si="111"/>
        <v>17443.199905010897</v>
      </c>
      <c r="Z84" s="167">
        <f t="shared" si="112"/>
        <v>959.37599477559934</v>
      </c>
      <c r="AA84" s="165">
        <v>0</v>
      </c>
      <c r="AB84" s="166">
        <f t="shared" si="113"/>
        <v>0</v>
      </c>
      <c r="AC84" s="33">
        <f t="shared" si="114"/>
        <v>18602.575899786498</v>
      </c>
      <c r="AD84" s="167">
        <f t="shared" si="115"/>
        <v>1023.1416744882574</v>
      </c>
      <c r="AE84" s="165">
        <v>0</v>
      </c>
      <c r="AF84" s="166">
        <f t="shared" si="116"/>
        <v>0</v>
      </c>
      <c r="AG84" s="33">
        <f t="shared" si="117"/>
        <v>19825.717574274757</v>
      </c>
      <c r="AH84" s="167">
        <f t="shared" si="118"/>
        <v>1090.4144665851115</v>
      </c>
      <c r="AI84" s="165">
        <v>0</v>
      </c>
      <c r="AJ84" s="166">
        <f t="shared" si="119"/>
        <v>0</v>
      </c>
      <c r="AK84" s="33">
        <f t="shared" si="120"/>
        <v>21116.132040859869</v>
      </c>
      <c r="AL84" s="167">
        <f t="shared" si="121"/>
        <v>1161.3872622472929</v>
      </c>
      <c r="AM84" s="165">
        <v>0</v>
      </c>
      <c r="AN84" s="166">
        <f t="shared" si="122"/>
        <v>0</v>
      </c>
      <c r="AO84" s="33">
        <f t="shared" si="123"/>
        <v>22477.519303107161</v>
      </c>
      <c r="AP84" s="167">
        <f t="shared" si="124"/>
        <v>1236.263561670894</v>
      </c>
      <c r="AQ84" s="165">
        <v>0</v>
      </c>
      <c r="AR84" s="166">
        <f t="shared" si="125"/>
        <v>0</v>
      </c>
      <c r="AS84" s="33">
        <f t="shared" si="126"/>
        <v>23913.782864778055</v>
      </c>
      <c r="AT84" s="167">
        <f t="shared" si="127"/>
        <v>1673.9648005344641</v>
      </c>
      <c r="AU84" s="165">
        <v>0</v>
      </c>
      <c r="AV84" s="166">
        <f t="shared" si="128"/>
        <v>0</v>
      </c>
      <c r="AW84" s="33">
        <f t="shared" si="129"/>
        <v>25787.74766531252</v>
      </c>
      <c r="AX84" s="167">
        <f t="shared" si="130"/>
        <v>1805.1423365718765</v>
      </c>
      <c r="AY84" s="165">
        <v>0</v>
      </c>
      <c r="AZ84" s="166">
        <f t="shared" si="131"/>
        <v>0</v>
      </c>
      <c r="BA84" s="33">
        <f t="shared" si="132"/>
        <v>27792.890001884396</v>
      </c>
      <c r="BB84" s="167">
        <f t="shared" si="133"/>
        <v>1945.502300131908</v>
      </c>
      <c r="BC84" s="165">
        <v>0</v>
      </c>
      <c r="BD84" s="166">
        <f t="shared" si="134"/>
        <v>0</v>
      </c>
      <c r="BE84" s="33">
        <f t="shared" si="135"/>
        <v>29938.392302016306</v>
      </c>
      <c r="BF84" s="167">
        <f t="shared" si="136"/>
        <v>2095.6874611411417</v>
      </c>
      <c r="BG84" s="165">
        <v>0</v>
      </c>
      <c r="BH84" s="166">
        <f t="shared" si="137"/>
        <v>0</v>
      </c>
      <c r="BI84" s="33">
        <f t="shared" si="138"/>
        <v>32234.079763157446</v>
      </c>
      <c r="BJ84" s="167">
        <f t="shared" si="139"/>
        <v>2256.3855834210212</v>
      </c>
      <c r="BK84" s="87">
        <f t="shared" si="140"/>
        <v>0</v>
      </c>
      <c r="BL84" s="33">
        <f>'2022-2023'!BL84+'2023-2024'!BK84</f>
        <v>2500</v>
      </c>
    </row>
    <row r="85" spans="1:64">
      <c r="A85" s="10" t="s">
        <v>656</v>
      </c>
      <c r="B85" s="10" t="s">
        <v>121</v>
      </c>
      <c r="C85" s="80">
        <v>0</v>
      </c>
      <c r="D85" s="79">
        <f t="shared" si="94"/>
        <v>2400</v>
      </c>
      <c r="E85" s="78">
        <f>'2022-2023'!I85</f>
        <v>10103.977350679157</v>
      </c>
      <c r="F85" s="187">
        <f t="shared" si="95"/>
        <v>2400</v>
      </c>
      <c r="G85" s="33">
        <f t="shared" si="96"/>
        <v>0</v>
      </c>
      <c r="H85" s="190">
        <f t="shared" si="97"/>
        <v>2400</v>
      </c>
      <c r="I85" s="78">
        <f t="shared" si="98"/>
        <v>24291.918477890133</v>
      </c>
      <c r="J85" s="78">
        <f t="shared" si="99"/>
        <v>0</v>
      </c>
      <c r="K85" s="78">
        <f t="shared" si="100"/>
        <v>0</v>
      </c>
      <c r="L85" s="78">
        <f t="shared" si="101"/>
        <v>11787.941127210976</v>
      </c>
      <c r="M85" s="194">
        <f t="shared" si="102"/>
        <v>11787.941127210976</v>
      </c>
      <c r="N85" s="78">
        <f t="shared" si="103"/>
        <v>-11787.941127210976</v>
      </c>
      <c r="O85" s="165">
        <v>0</v>
      </c>
      <c r="P85" s="166">
        <f t="shared" si="104"/>
        <v>0</v>
      </c>
      <c r="Q85" s="119">
        <f t="shared" si="105"/>
        <v>10303.977350679157</v>
      </c>
      <c r="R85" s="167">
        <f t="shared" si="106"/>
        <v>566.71875428735359</v>
      </c>
      <c r="S85" s="165">
        <v>0</v>
      </c>
      <c r="T85" s="166">
        <f t="shared" si="107"/>
        <v>0</v>
      </c>
      <c r="U85" s="33">
        <f t="shared" si="108"/>
        <v>11070.696104966511</v>
      </c>
      <c r="V85" s="167">
        <f t="shared" si="109"/>
        <v>608.88828577315815</v>
      </c>
      <c r="W85" s="165">
        <v>0</v>
      </c>
      <c r="X85" s="166">
        <f t="shared" si="110"/>
        <v>0</v>
      </c>
      <c r="Y85" s="33">
        <f t="shared" si="111"/>
        <v>11879.58439073967</v>
      </c>
      <c r="Z85" s="167">
        <f t="shared" si="112"/>
        <v>653.37714149068188</v>
      </c>
      <c r="AA85" s="165">
        <v>0</v>
      </c>
      <c r="AB85" s="166">
        <f t="shared" si="113"/>
        <v>0</v>
      </c>
      <c r="AC85" s="33">
        <f t="shared" si="114"/>
        <v>12732.961532230353</v>
      </c>
      <c r="AD85" s="167">
        <f t="shared" si="115"/>
        <v>700.31288427266941</v>
      </c>
      <c r="AE85" s="165">
        <v>0</v>
      </c>
      <c r="AF85" s="166">
        <f t="shared" si="116"/>
        <v>0</v>
      </c>
      <c r="AG85" s="33">
        <f t="shared" si="117"/>
        <v>13633.274416503022</v>
      </c>
      <c r="AH85" s="167">
        <f t="shared" si="118"/>
        <v>749.8300929076662</v>
      </c>
      <c r="AI85" s="165">
        <v>0</v>
      </c>
      <c r="AJ85" s="166">
        <f t="shared" si="119"/>
        <v>0</v>
      </c>
      <c r="AK85" s="33">
        <f t="shared" si="120"/>
        <v>14583.104509410688</v>
      </c>
      <c r="AL85" s="167">
        <f t="shared" si="121"/>
        <v>802.0707480175879</v>
      </c>
      <c r="AM85" s="165">
        <v>0</v>
      </c>
      <c r="AN85" s="166">
        <f t="shared" si="122"/>
        <v>0</v>
      </c>
      <c r="AO85" s="33">
        <f t="shared" si="123"/>
        <v>15585.175257428276</v>
      </c>
      <c r="AP85" s="167">
        <f t="shared" si="124"/>
        <v>857.18463915855523</v>
      </c>
      <c r="AQ85" s="165">
        <v>0</v>
      </c>
      <c r="AR85" s="166">
        <f t="shared" si="125"/>
        <v>0</v>
      </c>
      <c r="AS85" s="33">
        <f t="shared" si="126"/>
        <v>16642.359896586833</v>
      </c>
      <c r="AT85" s="167">
        <f t="shared" si="127"/>
        <v>1164.9651927610785</v>
      </c>
      <c r="AU85" s="165">
        <v>0</v>
      </c>
      <c r="AV85" s="166">
        <f t="shared" si="128"/>
        <v>0</v>
      </c>
      <c r="AW85" s="33">
        <f t="shared" si="129"/>
        <v>18007.325089347913</v>
      </c>
      <c r="AX85" s="167">
        <f t="shared" si="130"/>
        <v>1260.5127562543539</v>
      </c>
      <c r="AY85" s="165">
        <v>0</v>
      </c>
      <c r="AZ85" s="166">
        <f t="shared" si="131"/>
        <v>0</v>
      </c>
      <c r="BA85" s="33">
        <f t="shared" si="132"/>
        <v>19467.837845602266</v>
      </c>
      <c r="BB85" s="167">
        <f t="shared" si="133"/>
        <v>1362.7486491921586</v>
      </c>
      <c r="BC85" s="165">
        <v>0</v>
      </c>
      <c r="BD85" s="166">
        <f t="shared" si="134"/>
        <v>0</v>
      </c>
      <c r="BE85" s="33">
        <f t="shared" si="135"/>
        <v>21030.586494794425</v>
      </c>
      <c r="BF85" s="167">
        <f t="shared" si="136"/>
        <v>1472.1410546356099</v>
      </c>
      <c r="BG85" s="165">
        <v>0</v>
      </c>
      <c r="BH85" s="166">
        <f t="shared" si="137"/>
        <v>0</v>
      </c>
      <c r="BI85" s="33">
        <f t="shared" si="138"/>
        <v>22702.727549430034</v>
      </c>
      <c r="BJ85" s="167">
        <f t="shared" si="139"/>
        <v>1589.1909284601024</v>
      </c>
      <c r="BK85" s="87">
        <f t="shared" si="140"/>
        <v>0</v>
      </c>
      <c r="BL85" s="33">
        <f>'2022-2023'!BL85+'2023-2024'!BK85</f>
        <v>4850</v>
      </c>
    </row>
    <row r="86" spans="1:64">
      <c r="A86" s="10" t="s">
        <v>657</v>
      </c>
      <c r="B86" s="10" t="s">
        <v>145</v>
      </c>
      <c r="C86" s="80">
        <v>0</v>
      </c>
      <c r="D86" s="79">
        <f t="shared" si="94"/>
        <v>2400</v>
      </c>
      <c r="E86" s="78">
        <f>'2022-2023'!I86</f>
        <v>7750.6602381708799</v>
      </c>
      <c r="F86" s="187">
        <f t="shared" si="95"/>
        <v>2400</v>
      </c>
      <c r="G86" s="33">
        <f t="shared" si="96"/>
        <v>3600</v>
      </c>
      <c r="H86" s="190">
        <f t="shared" si="97"/>
        <v>-1200</v>
      </c>
      <c r="I86" s="78">
        <f t="shared" si="98"/>
        <v>13974.808761470958</v>
      </c>
      <c r="J86" s="78">
        <f t="shared" si="99"/>
        <v>0</v>
      </c>
      <c r="K86" s="78">
        <f t="shared" si="100"/>
        <v>198</v>
      </c>
      <c r="L86" s="78">
        <f t="shared" si="101"/>
        <v>7424.1485233000785</v>
      </c>
      <c r="M86" s="194">
        <f t="shared" si="102"/>
        <v>7424.1485233000785</v>
      </c>
      <c r="N86" s="78">
        <f t="shared" si="103"/>
        <v>-3626.1485233000785</v>
      </c>
      <c r="O86" s="165">
        <v>300</v>
      </c>
      <c r="P86" s="166">
        <f t="shared" si="104"/>
        <v>0</v>
      </c>
      <c r="Q86" s="119">
        <f t="shared" si="105"/>
        <v>7950.6602381708799</v>
      </c>
      <c r="R86" s="167">
        <f t="shared" si="106"/>
        <v>420.7863130993984</v>
      </c>
      <c r="S86" s="165">
        <v>300</v>
      </c>
      <c r="T86" s="166">
        <f t="shared" si="107"/>
        <v>0</v>
      </c>
      <c r="U86" s="33">
        <f t="shared" si="108"/>
        <v>8271.4465512702791</v>
      </c>
      <c r="V86" s="167">
        <f t="shared" si="109"/>
        <v>438.42956031986535</v>
      </c>
      <c r="W86" s="165">
        <v>300</v>
      </c>
      <c r="X86" s="166">
        <f t="shared" si="110"/>
        <v>0</v>
      </c>
      <c r="Y86" s="33">
        <f t="shared" si="111"/>
        <v>8609.8761115901452</v>
      </c>
      <c r="Z86" s="167">
        <f t="shared" si="112"/>
        <v>457.04318613745801</v>
      </c>
      <c r="AA86" s="165">
        <v>300</v>
      </c>
      <c r="AB86" s="166">
        <f t="shared" si="113"/>
        <v>0</v>
      </c>
      <c r="AC86" s="33">
        <f t="shared" si="114"/>
        <v>8966.9192977276034</v>
      </c>
      <c r="AD86" s="167">
        <f t="shared" si="115"/>
        <v>476.68056137501821</v>
      </c>
      <c r="AE86" s="165">
        <v>300</v>
      </c>
      <c r="AF86" s="166">
        <f t="shared" si="116"/>
        <v>0</v>
      </c>
      <c r="AG86" s="33">
        <f t="shared" si="117"/>
        <v>9343.5998591026218</v>
      </c>
      <c r="AH86" s="167">
        <f t="shared" si="118"/>
        <v>497.39799225064422</v>
      </c>
      <c r="AI86" s="165">
        <v>300</v>
      </c>
      <c r="AJ86" s="166">
        <f t="shared" si="119"/>
        <v>0</v>
      </c>
      <c r="AK86" s="33">
        <f t="shared" si="120"/>
        <v>9740.997851353266</v>
      </c>
      <c r="AL86" s="167">
        <f t="shared" si="121"/>
        <v>519.25488182442962</v>
      </c>
      <c r="AM86" s="165">
        <v>300</v>
      </c>
      <c r="AN86" s="166">
        <f t="shared" si="122"/>
        <v>0</v>
      </c>
      <c r="AO86" s="33">
        <f t="shared" si="123"/>
        <v>10160.252733177696</v>
      </c>
      <c r="AP86" s="167">
        <f t="shared" si="124"/>
        <v>542.31390032477327</v>
      </c>
      <c r="AQ86" s="165">
        <v>300</v>
      </c>
      <c r="AR86" s="166">
        <f t="shared" si="125"/>
        <v>0</v>
      </c>
      <c r="AS86" s="33">
        <f t="shared" si="126"/>
        <v>10602.566633502469</v>
      </c>
      <c r="AT86" s="167">
        <f t="shared" si="127"/>
        <v>721.17966434517291</v>
      </c>
      <c r="AU86" s="165">
        <v>300</v>
      </c>
      <c r="AV86" s="166">
        <f t="shared" si="128"/>
        <v>0</v>
      </c>
      <c r="AW86" s="33">
        <f t="shared" si="129"/>
        <v>11223.746297847641</v>
      </c>
      <c r="AX86" s="167">
        <f t="shared" si="130"/>
        <v>764.66224084933492</v>
      </c>
      <c r="AY86" s="165">
        <v>300</v>
      </c>
      <c r="AZ86" s="166">
        <f t="shared" si="131"/>
        <v>0</v>
      </c>
      <c r="BA86" s="33">
        <f t="shared" si="132"/>
        <v>11888.408538696976</v>
      </c>
      <c r="BB86" s="167">
        <f t="shared" si="133"/>
        <v>811.18859770878839</v>
      </c>
      <c r="BC86" s="165">
        <v>300</v>
      </c>
      <c r="BD86" s="166">
        <f t="shared" si="134"/>
        <v>0</v>
      </c>
      <c r="BE86" s="33">
        <f t="shared" si="135"/>
        <v>12599.597136405764</v>
      </c>
      <c r="BF86" s="167">
        <f t="shared" si="136"/>
        <v>860.97179954840362</v>
      </c>
      <c r="BG86" s="165">
        <v>300</v>
      </c>
      <c r="BH86" s="166">
        <f t="shared" si="137"/>
        <v>0</v>
      </c>
      <c r="BI86" s="33">
        <f t="shared" si="138"/>
        <v>13360.568935954168</v>
      </c>
      <c r="BJ86" s="167">
        <f t="shared" si="139"/>
        <v>914.23982551679183</v>
      </c>
      <c r="BK86" s="87">
        <f t="shared" si="140"/>
        <v>3600</v>
      </c>
      <c r="BL86" s="33">
        <f>'2022-2023'!BL86+'2023-2024'!BK86</f>
        <v>12900</v>
      </c>
    </row>
    <row r="87" spans="1:64">
      <c r="A87" s="10" t="s">
        <v>658</v>
      </c>
      <c r="B87" s="10" t="s">
        <v>146</v>
      </c>
      <c r="C87" s="80">
        <v>0</v>
      </c>
      <c r="D87" s="79">
        <f t="shared" si="94"/>
        <v>2400</v>
      </c>
      <c r="E87" s="78">
        <f>'2022-2023'!I87</f>
        <v>19795.225532220942</v>
      </c>
      <c r="F87" s="78">
        <f t="shared" si="95"/>
        <v>2400</v>
      </c>
      <c r="G87" s="33">
        <f t="shared" si="96"/>
        <v>0</v>
      </c>
      <c r="H87" s="78">
        <f t="shared" si="97"/>
        <v>2400</v>
      </c>
      <c r="I87" s="78">
        <f t="shared" si="98"/>
        <v>44064.611386571589</v>
      </c>
      <c r="J87" s="78">
        <f t="shared" si="99"/>
        <v>0</v>
      </c>
      <c r="K87" s="78">
        <f t="shared" si="100"/>
        <v>0</v>
      </c>
      <c r="L87" s="78">
        <f t="shared" si="101"/>
        <v>21869.385854350647</v>
      </c>
      <c r="M87" s="194">
        <f t="shared" si="102"/>
        <v>21869.385854350647</v>
      </c>
      <c r="N87" s="78">
        <f t="shared" si="103"/>
        <v>-21869.385854350647</v>
      </c>
      <c r="O87" s="165">
        <v>0</v>
      </c>
      <c r="P87" s="166">
        <f t="shared" si="104"/>
        <v>0</v>
      </c>
      <c r="Q87" s="119">
        <f t="shared" si="105"/>
        <v>19995.225532220942</v>
      </c>
      <c r="R87" s="167">
        <f t="shared" si="106"/>
        <v>1099.7374042721519</v>
      </c>
      <c r="S87" s="165">
        <v>0</v>
      </c>
      <c r="T87" s="166">
        <f t="shared" si="107"/>
        <v>0</v>
      </c>
      <c r="U87" s="33">
        <f t="shared" si="108"/>
        <v>21294.962936493095</v>
      </c>
      <c r="V87" s="167">
        <f t="shared" si="109"/>
        <v>1171.2229615071203</v>
      </c>
      <c r="W87" s="165">
        <v>0</v>
      </c>
      <c r="X87" s="166">
        <f t="shared" si="110"/>
        <v>0</v>
      </c>
      <c r="Y87" s="33">
        <f t="shared" si="111"/>
        <v>22666.185898000214</v>
      </c>
      <c r="Z87" s="167">
        <f t="shared" si="112"/>
        <v>1246.6402243900118</v>
      </c>
      <c r="AA87" s="165">
        <v>0</v>
      </c>
      <c r="AB87" s="166">
        <f t="shared" si="113"/>
        <v>0</v>
      </c>
      <c r="AC87" s="33">
        <f t="shared" si="114"/>
        <v>24112.826122390226</v>
      </c>
      <c r="AD87" s="167">
        <f t="shared" si="115"/>
        <v>1326.2054367314624</v>
      </c>
      <c r="AE87" s="165">
        <v>0</v>
      </c>
      <c r="AF87" s="166">
        <f t="shared" si="116"/>
        <v>0</v>
      </c>
      <c r="AG87" s="33">
        <f t="shared" si="117"/>
        <v>25639.031559121689</v>
      </c>
      <c r="AH87" s="167">
        <f t="shared" si="118"/>
        <v>1410.1467357516929</v>
      </c>
      <c r="AI87" s="165">
        <v>0</v>
      </c>
      <c r="AJ87" s="166">
        <f t="shared" si="119"/>
        <v>0</v>
      </c>
      <c r="AK87" s="33">
        <f t="shared" si="120"/>
        <v>27249.178294873382</v>
      </c>
      <c r="AL87" s="167">
        <f t="shared" si="121"/>
        <v>1498.7048062180361</v>
      </c>
      <c r="AM87" s="165">
        <v>0</v>
      </c>
      <c r="AN87" s="166">
        <f t="shared" si="122"/>
        <v>0</v>
      </c>
      <c r="AO87" s="33">
        <f t="shared" si="123"/>
        <v>28947.883101091418</v>
      </c>
      <c r="AP87" s="167">
        <f t="shared" si="124"/>
        <v>1592.1335705600279</v>
      </c>
      <c r="AQ87" s="165">
        <v>0</v>
      </c>
      <c r="AR87" s="166">
        <f t="shared" si="125"/>
        <v>0</v>
      </c>
      <c r="AS87" s="33">
        <f t="shared" si="126"/>
        <v>30740.016671651447</v>
      </c>
      <c r="AT87" s="167">
        <f t="shared" si="127"/>
        <v>2151.8011670156015</v>
      </c>
      <c r="AU87" s="165">
        <v>0</v>
      </c>
      <c r="AV87" s="166">
        <f t="shared" si="128"/>
        <v>0</v>
      </c>
      <c r="AW87" s="33">
        <f t="shared" si="129"/>
        <v>33091.817838667048</v>
      </c>
      <c r="AX87" s="167">
        <f t="shared" si="130"/>
        <v>2316.4272487066937</v>
      </c>
      <c r="AY87" s="165">
        <v>0</v>
      </c>
      <c r="AZ87" s="166">
        <f t="shared" si="131"/>
        <v>0</v>
      </c>
      <c r="BA87" s="33">
        <f t="shared" si="132"/>
        <v>35608.24508737374</v>
      </c>
      <c r="BB87" s="167">
        <f t="shared" si="133"/>
        <v>2492.5771561161619</v>
      </c>
      <c r="BC87" s="165">
        <v>0</v>
      </c>
      <c r="BD87" s="166">
        <f t="shared" si="134"/>
        <v>0</v>
      </c>
      <c r="BE87" s="33">
        <f t="shared" si="135"/>
        <v>38300.8222434899</v>
      </c>
      <c r="BF87" s="167">
        <f t="shared" si="136"/>
        <v>2681.0575570442934</v>
      </c>
      <c r="BG87" s="165">
        <v>0</v>
      </c>
      <c r="BH87" s="166">
        <f t="shared" si="137"/>
        <v>0</v>
      </c>
      <c r="BI87" s="33">
        <f t="shared" si="138"/>
        <v>41181.879800534196</v>
      </c>
      <c r="BJ87" s="167">
        <f t="shared" si="139"/>
        <v>2882.7315860373942</v>
      </c>
      <c r="BK87" s="185">
        <f t="shared" si="140"/>
        <v>0</v>
      </c>
      <c r="BL87" s="33">
        <f>'2022-2023'!BL87+'2023-2024'!BK87</f>
        <v>100</v>
      </c>
    </row>
    <row r="88" spans="1:64">
      <c r="A88" s="10" t="s">
        <v>659</v>
      </c>
      <c r="B88" s="10" t="s">
        <v>133</v>
      </c>
      <c r="C88" s="80">
        <v>0</v>
      </c>
      <c r="D88" s="79">
        <f t="shared" si="94"/>
        <v>2400</v>
      </c>
      <c r="E88" s="78">
        <f>'2022-2023'!I88</f>
        <v>14305.813147923855</v>
      </c>
      <c r="F88" s="78">
        <f t="shared" si="95"/>
        <v>2400</v>
      </c>
      <c r="G88" s="33">
        <f t="shared" si="96"/>
        <v>0</v>
      </c>
      <c r="H88" s="78">
        <f t="shared" si="97"/>
        <v>2400</v>
      </c>
      <c r="I88" s="78">
        <f t="shared" si="98"/>
        <v>32864.767641929044</v>
      </c>
      <c r="J88" s="78">
        <f t="shared" si="99"/>
        <v>0</v>
      </c>
      <c r="K88" s="78">
        <f t="shared" si="100"/>
        <v>0</v>
      </c>
      <c r="L88" s="78">
        <f t="shared" si="101"/>
        <v>16158.954494005189</v>
      </c>
      <c r="M88" s="194">
        <f t="shared" si="102"/>
        <v>16158.954494005189</v>
      </c>
      <c r="N88" s="78">
        <f t="shared" si="103"/>
        <v>-16158.954494005189</v>
      </c>
      <c r="O88" s="165">
        <v>0</v>
      </c>
      <c r="P88" s="166">
        <f t="shared" si="104"/>
        <v>0</v>
      </c>
      <c r="Q88" s="119">
        <f t="shared" si="105"/>
        <v>14505.813147923855</v>
      </c>
      <c r="R88" s="167">
        <f t="shared" si="106"/>
        <v>797.81972313581196</v>
      </c>
      <c r="S88" s="165">
        <v>0</v>
      </c>
      <c r="T88" s="166">
        <f t="shared" si="107"/>
        <v>0</v>
      </c>
      <c r="U88" s="33">
        <f t="shared" si="108"/>
        <v>15503.632871059666</v>
      </c>
      <c r="V88" s="167">
        <f t="shared" si="109"/>
        <v>852.69980790828163</v>
      </c>
      <c r="W88" s="165">
        <v>0</v>
      </c>
      <c r="X88" s="166">
        <f t="shared" si="110"/>
        <v>0</v>
      </c>
      <c r="Y88" s="33">
        <f t="shared" si="111"/>
        <v>16556.332678967949</v>
      </c>
      <c r="Z88" s="167">
        <f t="shared" si="112"/>
        <v>910.59829734323716</v>
      </c>
      <c r="AA88" s="165">
        <v>0</v>
      </c>
      <c r="AB88" s="166">
        <f t="shared" si="113"/>
        <v>0</v>
      </c>
      <c r="AC88" s="33">
        <f t="shared" si="114"/>
        <v>17666.930976311185</v>
      </c>
      <c r="AD88" s="167">
        <f t="shared" si="115"/>
        <v>971.68120369711517</v>
      </c>
      <c r="AE88" s="165">
        <v>0</v>
      </c>
      <c r="AF88" s="166">
        <f t="shared" si="116"/>
        <v>0</v>
      </c>
      <c r="AG88" s="33">
        <f t="shared" si="117"/>
        <v>18838.612180008302</v>
      </c>
      <c r="AH88" s="167">
        <f t="shared" si="118"/>
        <v>1036.1236699004567</v>
      </c>
      <c r="AI88" s="165">
        <v>0</v>
      </c>
      <c r="AJ88" s="166">
        <f t="shared" si="119"/>
        <v>0</v>
      </c>
      <c r="AK88" s="33">
        <f t="shared" si="120"/>
        <v>20074.735849908757</v>
      </c>
      <c r="AL88" s="167">
        <f t="shared" si="121"/>
        <v>1104.1104717449816</v>
      </c>
      <c r="AM88" s="165">
        <v>0</v>
      </c>
      <c r="AN88" s="166">
        <f t="shared" si="122"/>
        <v>0</v>
      </c>
      <c r="AO88" s="33">
        <f t="shared" si="123"/>
        <v>21378.846321653738</v>
      </c>
      <c r="AP88" s="167">
        <f t="shared" si="124"/>
        <v>1175.8365476909555</v>
      </c>
      <c r="AQ88" s="165">
        <v>0</v>
      </c>
      <c r="AR88" s="166">
        <f t="shared" si="125"/>
        <v>0</v>
      </c>
      <c r="AS88" s="33">
        <f t="shared" si="126"/>
        <v>22754.682869344695</v>
      </c>
      <c r="AT88" s="167">
        <f t="shared" si="127"/>
        <v>1592.8278008541288</v>
      </c>
      <c r="AU88" s="165">
        <v>0</v>
      </c>
      <c r="AV88" s="166">
        <f t="shared" si="128"/>
        <v>0</v>
      </c>
      <c r="AW88" s="33">
        <f t="shared" si="129"/>
        <v>24547.510670198822</v>
      </c>
      <c r="AX88" s="167">
        <f t="shared" si="130"/>
        <v>1718.3257469139178</v>
      </c>
      <c r="AY88" s="165">
        <v>0</v>
      </c>
      <c r="AZ88" s="166">
        <f t="shared" si="131"/>
        <v>0</v>
      </c>
      <c r="BA88" s="33">
        <f t="shared" si="132"/>
        <v>26465.83641711274</v>
      </c>
      <c r="BB88" s="167">
        <f t="shared" si="133"/>
        <v>1852.608549197892</v>
      </c>
      <c r="BC88" s="165">
        <v>0</v>
      </c>
      <c r="BD88" s="166">
        <f t="shared" si="134"/>
        <v>0</v>
      </c>
      <c r="BE88" s="33">
        <f t="shared" si="135"/>
        <v>28518.444966310632</v>
      </c>
      <c r="BF88" s="167">
        <f t="shared" si="136"/>
        <v>1996.2911476417444</v>
      </c>
      <c r="BG88" s="165">
        <v>0</v>
      </c>
      <c r="BH88" s="166">
        <f t="shared" si="137"/>
        <v>0</v>
      </c>
      <c r="BI88" s="33">
        <f t="shared" si="138"/>
        <v>30714.736113952375</v>
      </c>
      <c r="BJ88" s="167">
        <f t="shared" si="139"/>
        <v>2150.0315279766664</v>
      </c>
      <c r="BK88" s="185">
        <f t="shared" si="140"/>
        <v>0</v>
      </c>
      <c r="BL88" s="33">
        <f>'2022-2023'!BL88+'2023-2024'!BK88</f>
        <v>5100</v>
      </c>
    </row>
    <row r="89" spans="1:64">
      <c r="A89" s="10" t="s">
        <v>660</v>
      </c>
      <c r="B89" s="10" t="s">
        <v>134</v>
      </c>
      <c r="C89" s="80">
        <v>0</v>
      </c>
      <c r="D89" s="79">
        <f t="shared" si="94"/>
        <v>2400</v>
      </c>
      <c r="E89" s="78">
        <f>'2022-2023'!I89</f>
        <v>18775.094144690225</v>
      </c>
      <c r="F89" s="78">
        <f t="shared" si="95"/>
        <v>2400</v>
      </c>
      <c r="G89" s="33">
        <f t="shared" si="96"/>
        <v>0</v>
      </c>
      <c r="H89" s="78">
        <f t="shared" si="97"/>
        <v>2400</v>
      </c>
      <c r="I89" s="78">
        <f t="shared" si="98"/>
        <v>41983.275290920908</v>
      </c>
      <c r="J89" s="78">
        <f t="shared" si="99"/>
        <v>0</v>
      </c>
      <c r="K89" s="78">
        <f t="shared" si="100"/>
        <v>0</v>
      </c>
      <c r="L89" s="78">
        <f t="shared" si="101"/>
        <v>20808.18114623068</v>
      </c>
      <c r="M89" s="194">
        <f t="shared" si="102"/>
        <v>20808.18114623068</v>
      </c>
      <c r="N89" s="78">
        <f t="shared" si="103"/>
        <v>-20808.18114623068</v>
      </c>
      <c r="O89" s="165">
        <v>0</v>
      </c>
      <c r="P89" s="166">
        <f t="shared" si="104"/>
        <v>0</v>
      </c>
      <c r="Q89" s="119">
        <f t="shared" si="105"/>
        <v>18975.094144690225</v>
      </c>
      <c r="R89" s="167">
        <f t="shared" si="106"/>
        <v>1043.6301779579624</v>
      </c>
      <c r="S89" s="165">
        <v>0</v>
      </c>
      <c r="T89" s="166">
        <f t="shared" si="107"/>
        <v>0</v>
      </c>
      <c r="U89" s="33">
        <f t="shared" si="108"/>
        <v>20218.724322648188</v>
      </c>
      <c r="V89" s="167">
        <f t="shared" si="109"/>
        <v>1112.0298377456504</v>
      </c>
      <c r="W89" s="165">
        <v>0</v>
      </c>
      <c r="X89" s="166">
        <f t="shared" si="110"/>
        <v>0</v>
      </c>
      <c r="Y89" s="33">
        <f t="shared" si="111"/>
        <v>21530.754160393837</v>
      </c>
      <c r="Z89" s="167">
        <f t="shared" si="112"/>
        <v>1184.1914788216611</v>
      </c>
      <c r="AA89" s="165">
        <v>0</v>
      </c>
      <c r="AB89" s="166">
        <f t="shared" si="113"/>
        <v>0</v>
      </c>
      <c r="AC89" s="33">
        <f t="shared" si="114"/>
        <v>22914.945639215497</v>
      </c>
      <c r="AD89" s="167">
        <f t="shared" si="115"/>
        <v>1260.3220101568525</v>
      </c>
      <c r="AE89" s="165">
        <v>0</v>
      </c>
      <c r="AF89" s="166">
        <f t="shared" si="116"/>
        <v>0</v>
      </c>
      <c r="AG89" s="33">
        <f t="shared" si="117"/>
        <v>24375.267649372348</v>
      </c>
      <c r="AH89" s="167">
        <f t="shared" si="118"/>
        <v>1340.6397207154791</v>
      </c>
      <c r="AI89" s="165">
        <v>0</v>
      </c>
      <c r="AJ89" s="166">
        <f t="shared" si="119"/>
        <v>0</v>
      </c>
      <c r="AK89" s="33">
        <f t="shared" si="120"/>
        <v>25915.907370087829</v>
      </c>
      <c r="AL89" s="167">
        <f t="shared" si="121"/>
        <v>1425.3749053548306</v>
      </c>
      <c r="AM89" s="165">
        <v>0</v>
      </c>
      <c r="AN89" s="166">
        <f t="shared" si="122"/>
        <v>0</v>
      </c>
      <c r="AO89" s="33">
        <f t="shared" si="123"/>
        <v>27541.28227544266</v>
      </c>
      <c r="AP89" s="167">
        <f t="shared" si="124"/>
        <v>1514.7705251493462</v>
      </c>
      <c r="AQ89" s="165">
        <v>0</v>
      </c>
      <c r="AR89" s="166">
        <f t="shared" si="125"/>
        <v>0</v>
      </c>
      <c r="AS89" s="33">
        <f t="shared" si="126"/>
        <v>29256.052800592006</v>
      </c>
      <c r="AT89" s="167">
        <f t="shared" si="127"/>
        <v>2047.9236960414405</v>
      </c>
      <c r="AU89" s="165">
        <v>0</v>
      </c>
      <c r="AV89" s="166">
        <f t="shared" si="128"/>
        <v>0</v>
      </c>
      <c r="AW89" s="33">
        <f t="shared" si="129"/>
        <v>31503.976496633448</v>
      </c>
      <c r="AX89" s="167">
        <f t="shared" si="130"/>
        <v>2205.2783547643417</v>
      </c>
      <c r="AY89" s="165">
        <v>0</v>
      </c>
      <c r="AZ89" s="166">
        <f t="shared" si="131"/>
        <v>0</v>
      </c>
      <c r="BA89" s="33">
        <f t="shared" si="132"/>
        <v>33909.254851397789</v>
      </c>
      <c r="BB89" s="167">
        <f t="shared" si="133"/>
        <v>2373.6478395978456</v>
      </c>
      <c r="BC89" s="165">
        <v>0</v>
      </c>
      <c r="BD89" s="166">
        <f t="shared" si="134"/>
        <v>0</v>
      </c>
      <c r="BE89" s="33">
        <f t="shared" si="135"/>
        <v>36482.902690995637</v>
      </c>
      <c r="BF89" s="167">
        <f t="shared" si="136"/>
        <v>2553.8031883696949</v>
      </c>
      <c r="BG89" s="165">
        <v>0</v>
      </c>
      <c r="BH89" s="166">
        <f t="shared" si="137"/>
        <v>0</v>
      </c>
      <c r="BI89" s="33">
        <f t="shared" si="138"/>
        <v>39236.705879365334</v>
      </c>
      <c r="BJ89" s="167">
        <f t="shared" si="139"/>
        <v>2746.5694115555734</v>
      </c>
      <c r="BK89" s="185">
        <f t="shared" si="140"/>
        <v>0</v>
      </c>
      <c r="BL89" s="33">
        <f>'2022-2023'!BL89+'2023-2024'!BK89</f>
        <v>700</v>
      </c>
    </row>
    <row r="90" spans="1:64">
      <c r="A90" s="10" t="s">
        <v>661</v>
      </c>
      <c r="B90" s="10" t="s">
        <v>116</v>
      </c>
      <c r="C90" s="80">
        <v>0</v>
      </c>
      <c r="D90" s="79">
        <f>200*12</f>
        <v>2400</v>
      </c>
      <c r="E90" s="78">
        <f>'2022-2023'!I90</f>
        <v>4634.017394575345</v>
      </c>
      <c r="F90" s="78">
        <f>C90+D90</f>
        <v>2400</v>
      </c>
      <c r="G90" s="33">
        <f>BK90</f>
        <v>3000</v>
      </c>
      <c r="H90" s="78">
        <f>F90-G90-C90</f>
        <v>-600</v>
      </c>
      <c r="I90" s="78">
        <f>H90+L90+E90</f>
        <v>8250.5270127832664</v>
      </c>
      <c r="J90" s="78">
        <f>P90+T90+X90+AB90+AF90+AJ90+AN90+AR90+AV90+AZ90+BD90+BH90</f>
        <v>0</v>
      </c>
      <c r="K90" s="78">
        <f>(G90-J90-C90)*5.5%</f>
        <v>165</v>
      </c>
      <c r="L90" s="78">
        <f>R90+V90+Z90+AD90+AH90+AL90+AP90+AT90+AX90+BB90+BF90+BJ90</f>
        <v>4216.5096182079205</v>
      </c>
      <c r="M90" s="194">
        <f>L90</f>
        <v>4216.5096182079205</v>
      </c>
      <c r="N90" s="78">
        <f>G90-J90-L90+K90</f>
        <v>-1051.5096182079205</v>
      </c>
      <c r="O90" s="165">
        <v>0</v>
      </c>
      <c r="P90" s="166">
        <f>O90*0%</f>
        <v>0</v>
      </c>
      <c r="Q90" s="119">
        <f>E90+200</f>
        <v>4834.017394575345</v>
      </c>
      <c r="R90" s="167">
        <f>(Q90-O90)*0.055</f>
        <v>265.87095670164399</v>
      </c>
      <c r="S90" s="165">
        <v>0</v>
      </c>
      <c r="T90" s="166">
        <f>S90*0%</f>
        <v>0</v>
      </c>
      <c r="U90" s="33">
        <f>Q90-S90+200+R90</f>
        <v>5299.8883512769889</v>
      </c>
      <c r="V90" s="167">
        <f>(U90-S90)*0.055</f>
        <v>291.49385932023438</v>
      </c>
      <c r="W90" s="165">
        <v>1000</v>
      </c>
      <c r="X90" s="166">
        <f>W90*0%</f>
        <v>0</v>
      </c>
      <c r="Y90" s="33">
        <f>U90-W90+200+V90</f>
        <v>4791.3822105972231</v>
      </c>
      <c r="Z90" s="167">
        <f>(Y90-W90)*0.055</f>
        <v>208.52602158284728</v>
      </c>
      <c r="AA90" s="165">
        <v>0</v>
      </c>
      <c r="AB90" s="166">
        <f>AA90*0%</f>
        <v>0</v>
      </c>
      <c r="AC90" s="33">
        <f>Y90-AA90+200+Z90</f>
        <v>5199.9082321800706</v>
      </c>
      <c r="AD90" s="167">
        <f>(AC90-AA90)*0.055</f>
        <v>285.99495276990388</v>
      </c>
      <c r="AE90" s="165">
        <v>1000</v>
      </c>
      <c r="AF90" s="166">
        <f>AE90*0%</f>
        <v>0</v>
      </c>
      <c r="AG90" s="33">
        <f>AC90-AE90+200+AD90</f>
        <v>4685.9031849499743</v>
      </c>
      <c r="AH90" s="167">
        <f>(AG90-AE90)*0.055</f>
        <v>202.7246751722486</v>
      </c>
      <c r="AI90" s="165">
        <v>0</v>
      </c>
      <c r="AJ90" s="166">
        <f>AI90*0%</f>
        <v>0</v>
      </c>
      <c r="AK90" s="33">
        <f>AG90-AI90+200+AH90</f>
        <v>5088.627860122223</v>
      </c>
      <c r="AL90" s="167">
        <f>(AK90-AI90)*0.055</f>
        <v>279.87453230672224</v>
      </c>
      <c r="AM90" s="165">
        <v>0</v>
      </c>
      <c r="AN90" s="166">
        <f>AM90*0%</f>
        <v>0</v>
      </c>
      <c r="AO90" s="33">
        <f>AK90-AM90+200+AL90</f>
        <v>5568.5023924289453</v>
      </c>
      <c r="AP90" s="167">
        <f>(AO90-AM90)*0.055</f>
        <v>306.26763158359199</v>
      </c>
      <c r="AQ90" s="165">
        <v>0</v>
      </c>
      <c r="AR90" s="166">
        <f>AQ90*0%</f>
        <v>0</v>
      </c>
      <c r="AS90" s="33">
        <f>AO90-AQ90+200+AP90</f>
        <v>6074.7700240125378</v>
      </c>
      <c r="AT90" s="167">
        <f>(AS90-AQ90)*0.07</f>
        <v>425.23390168087769</v>
      </c>
      <c r="AU90" s="165">
        <v>0</v>
      </c>
      <c r="AV90" s="166">
        <f>AU90*0%</f>
        <v>0</v>
      </c>
      <c r="AW90" s="33">
        <f>AS90-AU90+200+AT90</f>
        <v>6700.0039256934151</v>
      </c>
      <c r="AX90" s="167">
        <f>(AW90-AU90)*0.07</f>
        <v>469.00027479853912</v>
      </c>
      <c r="AY90" s="165">
        <v>0</v>
      </c>
      <c r="AZ90" s="166">
        <f>AY90*0%</f>
        <v>0</v>
      </c>
      <c r="BA90" s="33">
        <f>AW90-AY90+200+AX90</f>
        <v>7369.0042004919542</v>
      </c>
      <c r="BB90" s="167">
        <f>(BA90-AY90)*0.07</f>
        <v>515.83029403443686</v>
      </c>
      <c r="BC90" s="165">
        <v>1000</v>
      </c>
      <c r="BD90" s="166">
        <f>BC90*0%</f>
        <v>0</v>
      </c>
      <c r="BE90" s="33">
        <f>BA90-BC90+200+BB90</f>
        <v>7084.8344945263907</v>
      </c>
      <c r="BF90" s="167">
        <f>(BE90-BC90)*0.07</f>
        <v>425.93841461684741</v>
      </c>
      <c r="BG90" s="165">
        <v>0</v>
      </c>
      <c r="BH90" s="166">
        <f>BG90*0%</f>
        <v>0</v>
      </c>
      <c r="BI90" s="33">
        <f>BE90-BG90+200+BF90</f>
        <v>7710.7729091432384</v>
      </c>
      <c r="BJ90" s="167">
        <f>(BI90-BG90)*0.07</f>
        <v>539.75410364002676</v>
      </c>
      <c r="BK90" s="185">
        <f>O90+S90+W90+AA90+AE90+AI90+AQ90+AM90+AU90+AY90+BC90+BG90</f>
        <v>3000</v>
      </c>
      <c r="BL90" s="33">
        <f>'2022-2023'!BL90+'2023-2024'!BK90</f>
        <v>12300</v>
      </c>
    </row>
    <row r="91" spans="1:64" s="41" customFormat="1" ht="14.65" thickBot="1">
      <c r="C91" s="258">
        <f t="shared" ref="C91:AH91" si="141">SUM(C2:C90)</f>
        <v>0</v>
      </c>
      <c r="D91" s="258">
        <f t="shared" si="141"/>
        <v>213600</v>
      </c>
      <c r="E91" s="259">
        <f>'2022-2023'!I91</f>
        <v>1009620.0957399784</v>
      </c>
      <c r="F91" s="258">
        <f t="shared" si="141"/>
        <v>213600</v>
      </c>
      <c r="G91" s="258">
        <f t="shared" si="141"/>
        <v>51400</v>
      </c>
      <c r="H91" s="258">
        <f t="shared" si="141"/>
        <v>162200</v>
      </c>
      <c r="I91" s="258">
        <f t="shared" si="141"/>
        <v>2310163.0134114097</v>
      </c>
      <c r="J91" s="258">
        <f t="shared" si="141"/>
        <v>0</v>
      </c>
      <c r="K91" s="258">
        <f t="shared" si="141"/>
        <v>2827</v>
      </c>
      <c r="L91" s="258">
        <f t="shared" si="141"/>
        <v>1138342.9176714313</v>
      </c>
      <c r="M91" s="260">
        <f t="shared" si="141"/>
        <v>1138342.9176714313</v>
      </c>
      <c r="N91" s="258">
        <f t="shared" si="141"/>
        <v>-1084115.9176714311</v>
      </c>
      <c r="O91" s="257">
        <f>SUM(O2:O90)</f>
        <v>5100</v>
      </c>
      <c r="P91" s="261">
        <f>SUM(P2:P90)</f>
        <v>0</v>
      </c>
      <c r="Q91" s="258">
        <f t="shared" si="141"/>
        <v>1027420.0957399784</v>
      </c>
      <c r="R91" s="262">
        <f t="shared" si="141"/>
        <v>56227.60526569881</v>
      </c>
      <c r="S91" s="257">
        <f>SUM(S2:S90)</f>
        <v>1650</v>
      </c>
      <c r="T91" s="261">
        <f>SUM(T2:T90)</f>
        <v>0</v>
      </c>
      <c r="U91" s="258">
        <f t="shared" si="141"/>
        <v>1099797.7010056775</v>
      </c>
      <c r="V91" s="262">
        <f t="shared" si="141"/>
        <v>60398.12355531221</v>
      </c>
      <c r="W91" s="257">
        <f>SUM(W2:W90)</f>
        <v>6450</v>
      </c>
      <c r="X91" s="261">
        <f t="shared" si="141"/>
        <v>0</v>
      </c>
      <c r="Y91" s="258">
        <f t="shared" si="141"/>
        <v>1171545.8245609894</v>
      </c>
      <c r="Z91" s="262">
        <f t="shared" si="141"/>
        <v>64080.270350854378</v>
      </c>
      <c r="AA91" s="257">
        <f>SUM(AA2:AA90)</f>
        <v>3700</v>
      </c>
      <c r="AB91" s="261">
        <f t="shared" si="141"/>
        <v>0</v>
      </c>
      <c r="AC91" s="258">
        <f t="shared" si="141"/>
        <v>1249726.0949118438</v>
      </c>
      <c r="AD91" s="262">
        <f t="shared" si="141"/>
        <v>68531.435220151398</v>
      </c>
      <c r="AE91" s="257">
        <f>SUM(AE2:AE90)</f>
        <v>3600</v>
      </c>
      <c r="AF91" s="261">
        <f t="shared" si="141"/>
        <v>0</v>
      </c>
      <c r="AG91" s="258">
        <f t="shared" si="141"/>
        <v>1332457.5301319954</v>
      </c>
      <c r="AH91" s="262">
        <f t="shared" si="141"/>
        <v>73087.164157259758</v>
      </c>
      <c r="AI91" s="257">
        <f>SUM(AI2:AI90)</f>
        <v>3000</v>
      </c>
      <c r="AJ91" s="261">
        <f t="shared" ref="AJ91:BL91" si="142">SUM(AJ2:AJ90)</f>
        <v>0</v>
      </c>
      <c r="AK91" s="258">
        <f t="shared" si="142"/>
        <v>1420344.6942892552</v>
      </c>
      <c r="AL91" s="262">
        <f t="shared" si="142"/>
        <v>77953.958185908996</v>
      </c>
      <c r="AM91" s="257">
        <f>SUM(AM2:AM90)</f>
        <v>4200</v>
      </c>
      <c r="AN91" s="261">
        <f t="shared" si="142"/>
        <v>0</v>
      </c>
      <c r="AO91" s="258">
        <f t="shared" si="142"/>
        <v>1511898.6524751638</v>
      </c>
      <c r="AP91" s="262">
        <f t="shared" si="142"/>
        <v>82923.42588613402</v>
      </c>
      <c r="AQ91" s="257">
        <f>SUM(AQ2:AQ90)</f>
        <v>5900</v>
      </c>
      <c r="AR91" s="261">
        <f t="shared" si="142"/>
        <v>0</v>
      </c>
      <c r="AS91" s="258">
        <f t="shared" si="142"/>
        <v>1606722.0783612975</v>
      </c>
      <c r="AT91" s="262">
        <f t="shared" si="142"/>
        <v>112057.54548529089</v>
      </c>
      <c r="AU91" s="257">
        <f>SUM(AU2:AU90)</f>
        <v>3700</v>
      </c>
      <c r="AV91" s="261">
        <f t="shared" si="142"/>
        <v>0</v>
      </c>
      <c r="AW91" s="258">
        <f t="shared" si="142"/>
        <v>1732879.6238465889</v>
      </c>
      <c r="AX91" s="262">
        <f t="shared" si="142"/>
        <v>121042.5736692613</v>
      </c>
      <c r="AY91" s="257">
        <f>SUM(AY2:AY90)</f>
        <v>4100</v>
      </c>
      <c r="AZ91" s="261">
        <f t="shared" si="142"/>
        <v>0</v>
      </c>
      <c r="BA91" s="258">
        <f t="shared" si="142"/>
        <v>1867622.1975158516</v>
      </c>
      <c r="BB91" s="262">
        <f t="shared" si="142"/>
        <v>130446.55382610959</v>
      </c>
      <c r="BC91" s="257">
        <f>SUM(BC2:BC90)</f>
        <v>4400</v>
      </c>
      <c r="BD91" s="261">
        <f t="shared" si="142"/>
        <v>0</v>
      </c>
      <c r="BE91" s="258">
        <f t="shared" si="142"/>
        <v>2011468.7513419599</v>
      </c>
      <c r="BF91" s="262">
        <f t="shared" si="142"/>
        <v>140494.81259393715</v>
      </c>
      <c r="BG91" s="257">
        <f>SUM(BG2:BG90)</f>
        <v>5600</v>
      </c>
      <c r="BH91" s="261">
        <f t="shared" si="142"/>
        <v>0</v>
      </c>
      <c r="BI91" s="258">
        <f t="shared" si="142"/>
        <v>2164163.5639358968</v>
      </c>
      <c r="BJ91" s="262">
        <f t="shared" si="142"/>
        <v>151099.44947551278</v>
      </c>
      <c r="BK91" s="258">
        <f t="shared" si="142"/>
        <v>51400</v>
      </c>
      <c r="BL91" s="258">
        <f t="shared" si="142"/>
        <v>506102.71</v>
      </c>
    </row>
    <row r="92" spans="1:64" ht="36" thickTop="1">
      <c r="G92" s="146"/>
      <c r="H92" s="207" t="s">
        <v>409</v>
      </c>
      <c r="O92" s="252" t="s">
        <v>186</v>
      </c>
      <c r="S92" t="s">
        <v>509</v>
      </c>
      <c r="W92" t="s">
        <v>495</v>
      </c>
      <c r="AA92" t="s">
        <v>496</v>
      </c>
      <c r="AE92" t="s">
        <v>497</v>
      </c>
      <c r="AI92" t="s">
        <v>498</v>
      </c>
      <c r="AM92" t="s">
        <v>499</v>
      </c>
      <c r="AQ92" t="s">
        <v>500</v>
      </c>
      <c r="AU92" s="252" t="s">
        <v>501</v>
      </c>
      <c r="AY92" s="252" t="s">
        <v>203</v>
      </c>
      <c r="BC92" t="s">
        <v>204</v>
      </c>
      <c r="BG92" s="252" t="s">
        <v>205</v>
      </c>
      <c r="BK92" s="170"/>
      <c r="BL92" s="170"/>
    </row>
    <row r="93" spans="1:64" s="263" customFormat="1" ht="35.65">
      <c r="A93" s="58"/>
      <c r="G93" s="264"/>
      <c r="H93" s="265" t="s">
        <v>408</v>
      </c>
      <c r="M93" s="270"/>
      <c r="N93" s="263" t="s">
        <v>516</v>
      </c>
      <c r="O93" s="254">
        <f>AVERAGE(O91,S91,W91,AA91,AE91,AI91,AM91,AQ91,AU91)</f>
        <v>4144.4444444444443</v>
      </c>
      <c r="BK93" s="266"/>
      <c r="BL93" s="266"/>
    </row>
    <row r="94" spans="1:64" ht="47.25">
      <c r="G94" s="175"/>
      <c r="H94" s="207" t="s">
        <v>410</v>
      </c>
      <c r="AU94" s="58"/>
      <c r="BK94" t="s">
        <v>519</v>
      </c>
      <c r="BL94" s="250"/>
    </row>
    <row r="95" spans="1:64">
      <c r="BK95" t="s">
        <v>518</v>
      </c>
      <c r="BL95" s="255"/>
    </row>
    <row r="96" spans="1:64">
      <c r="BK96" t="s">
        <v>520</v>
      </c>
      <c r="BL96" s="254"/>
    </row>
    <row r="97" spans="45:64">
      <c r="BL97" s="254"/>
    </row>
    <row r="98" spans="45:64">
      <c r="BL98" s="256"/>
    </row>
    <row r="99" spans="45:64">
      <c r="BK99" t="s">
        <v>521</v>
      </c>
      <c r="BL99" s="58"/>
    </row>
    <row r="102" spans="45:64">
      <c r="AS102">
        <v>13400</v>
      </c>
    </row>
    <row r="103" spans="45:64">
      <c r="AS103">
        <v>1100</v>
      </c>
    </row>
    <row r="104" spans="45:64">
      <c r="AS104">
        <f>AS102-AS103</f>
        <v>12300</v>
      </c>
    </row>
  </sheetData>
  <autoFilter ref="A1:BL94" xr:uid="{00000000-0009-0000-0000-000009000000}"/>
  <conditionalFormatting sqref="G2:G90">
    <cfRule type="cellIs" dxfId="13" priority="1" operator="lessThan">
      <formula>1199.99</formula>
    </cfRule>
    <cfRule type="cellIs" dxfId="12" priority="2" operator="between">
      <formula>1199.99</formula>
      <formula>2399.99</formula>
    </cfRule>
    <cfRule type="cellIs" dxfId="11" priority="3" operator="greaterThan">
      <formula>2400</formula>
    </cfRule>
    <cfRule type="cellIs" dxfId="10" priority="5" operator="between">
      <formula>1200</formula>
      <formula>2399.99</formula>
    </cfRule>
    <cfRule type="iconSet" priority="7">
      <iconSet iconSet="3Arrows">
        <cfvo type="percent" val="0"/>
        <cfvo type="percent" val="33"/>
        <cfvo type="percent" val="67"/>
      </iconSet>
    </cfRule>
    <cfRule type="cellIs" dxfId="9" priority="11" operator="between">
      <formula>1201</formula>
      <formula>2401</formula>
    </cfRule>
    <cfRule type="cellIs" dxfId="8" priority="12" operator="lessThan">
      <formula>1200</formula>
    </cfRule>
    <cfRule type="cellIs" dxfId="7" priority="13" operator="greaterThan">
      <formula>2400</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BN104"/>
  <sheetViews>
    <sheetView zoomScale="70" zoomScaleNormal="70" workbookViewId="0">
      <pane xSplit="1" topLeftCell="B1" activePane="topRight" state="frozen"/>
      <selection pane="topRight" activeCell="A22" sqref="A22"/>
    </sheetView>
  </sheetViews>
  <sheetFormatPr defaultColWidth="9.1328125" defaultRowHeight="14.25"/>
  <cols>
    <col min="1" max="1" width="31.3984375" customWidth="1"/>
    <col min="2" max="2" width="15.59765625" customWidth="1"/>
    <col min="3" max="3" width="14.265625" customWidth="1"/>
    <col min="4" max="4" width="12.265625" customWidth="1"/>
    <col min="5" max="5" width="13.86328125" customWidth="1"/>
    <col min="6" max="6" width="12.86328125" customWidth="1"/>
    <col min="7" max="7" width="16.1328125" customWidth="1"/>
    <col min="8" max="10" width="11" customWidth="1"/>
    <col min="11" max="11" width="11.265625" customWidth="1"/>
    <col min="12" max="12" width="15" customWidth="1"/>
    <col min="13" max="13" width="16.3984375" customWidth="1"/>
    <col min="14" max="14" width="14.1328125" customWidth="1"/>
    <col min="15" max="15" width="12.3984375" customWidth="1"/>
    <col min="16" max="16" width="13.1328125" customWidth="1"/>
    <col min="17" max="17" width="11.59765625" customWidth="1"/>
    <col min="18" max="18" width="12.265625" customWidth="1"/>
    <col min="19" max="19" width="13.1328125" customWidth="1"/>
    <col min="20" max="20" width="11.59765625" customWidth="1"/>
    <col min="21" max="21" width="14.3984375" customWidth="1"/>
    <col min="22" max="22" width="12.73046875" customWidth="1"/>
    <col min="23" max="23" width="12.1328125" customWidth="1"/>
    <col min="24" max="24" width="11" customWidth="1"/>
    <col min="25" max="25" width="14.3984375" customWidth="1"/>
    <col min="26" max="26" width="12.73046875" customWidth="1"/>
    <col min="27" max="27" width="12" customWidth="1"/>
    <col min="28" max="28" width="9.1328125" customWidth="1"/>
    <col min="29" max="29" width="13" customWidth="1"/>
    <col min="30" max="30" width="12.73046875" customWidth="1"/>
    <col min="31" max="31" width="12.59765625" customWidth="1"/>
    <col min="32" max="32" width="9.1328125" customWidth="1"/>
    <col min="33" max="33" width="14.1328125" customWidth="1"/>
    <col min="34" max="34" width="12.73046875" customWidth="1"/>
    <col min="35" max="35" width="12.1328125" customWidth="1"/>
    <col min="36" max="36" width="9.1328125" customWidth="1"/>
    <col min="37" max="37" width="14.3984375" customWidth="1"/>
    <col min="38" max="38" width="12.73046875" customWidth="1"/>
    <col min="39" max="39" width="11.59765625" customWidth="1"/>
    <col min="40" max="40" width="11.3984375" customWidth="1"/>
    <col min="41" max="41" width="13.1328125" customWidth="1"/>
    <col min="42" max="42" width="12.73046875" customWidth="1"/>
    <col min="43" max="43" width="12.1328125" customWidth="1"/>
    <col min="44" max="44" width="9.1328125" customWidth="1"/>
    <col min="45" max="46" width="12.73046875" customWidth="1"/>
    <col min="47" max="47" width="13.3984375" customWidth="1"/>
    <col min="48" max="48" width="9.1328125" customWidth="1"/>
    <col min="49" max="49" width="13.1328125" customWidth="1"/>
    <col min="50" max="50" width="12.73046875" customWidth="1"/>
    <col min="51" max="60" width="10" customWidth="1"/>
    <col min="61" max="61" width="12.59765625" customWidth="1"/>
    <col min="62" max="62" width="10" customWidth="1"/>
    <col min="63" max="63" width="12.73046875" customWidth="1"/>
    <col min="64" max="64" width="12.86328125" customWidth="1"/>
  </cols>
  <sheetData>
    <row r="1" spans="1:64" s="14" customFormat="1" ht="78.75" customHeight="1">
      <c r="A1" s="11" t="s">
        <v>0</v>
      </c>
      <c r="B1" s="11" t="s">
        <v>106</v>
      </c>
      <c r="C1" s="113" t="s">
        <v>388</v>
      </c>
      <c r="D1" s="113" t="s">
        <v>389</v>
      </c>
      <c r="E1" s="113" t="s">
        <v>390</v>
      </c>
      <c r="F1" s="268" t="s">
        <v>523</v>
      </c>
      <c r="G1" s="12" t="s">
        <v>228</v>
      </c>
      <c r="H1" s="269" t="s">
        <v>227</v>
      </c>
      <c r="I1" s="267" t="s">
        <v>229</v>
      </c>
      <c r="J1" s="267" t="s">
        <v>226</v>
      </c>
      <c r="K1" s="12" t="s">
        <v>231</v>
      </c>
      <c r="L1" s="267" t="s">
        <v>524</v>
      </c>
      <c r="M1" s="193" t="s">
        <v>236</v>
      </c>
      <c r="N1" s="267" t="s">
        <v>230</v>
      </c>
      <c r="O1" s="115">
        <v>45474</v>
      </c>
      <c r="P1" s="114" t="s">
        <v>515</v>
      </c>
      <c r="Q1" s="118" t="s">
        <v>234</v>
      </c>
      <c r="R1" s="35" t="s">
        <v>99</v>
      </c>
      <c r="S1" s="115">
        <v>45505</v>
      </c>
      <c r="T1" s="114" t="s">
        <v>515</v>
      </c>
      <c r="U1" s="118" t="s">
        <v>234</v>
      </c>
      <c r="V1" s="35" t="s">
        <v>99</v>
      </c>
      <c r="W1" s="115">
        <v>45536</v>
      </c>
      <c r="X1" s="114" t="s">
        <v>515</v>
      </c>
      <c r="Y1" s="118" t="s">
        <v>234</v>
      </c>
      <c r="Z1" s="35" t="s">
        <v>99</v>
      </c>
      <c r="AA1" s="115">
        <v>45566</v>
      </c>
      <c r="AB1" s="114" t="s">
        <v>515</v>
      </c>
      <c r="AC1" s="118" t="s">
        <v>234</v>
      </c>
      <c r="AD1" s="35" t="s">
        <v>99</v>
      </c>
      <c r="AE1" s="115">
        <v>45597</v>
      </c>
      <c r="AF1" s="114" t="s">
        <v>515</v>
      </c>
      <c r="AG1" s="118" t="s">
        <v>234</v>
      </c>
      <c r="AH1" s="35" t="s">
        <v>99</v>
      </c>
      <c r="AI1" s="115">
        <v>45261</v>
      </c>
      <c r="AJ1" s="114" t="s">
        <v>515</v>
      </c>
      <c r="AK1" s="118" t="s">
        <v>234</v>
      </c>
      <c r="AL1" s="35" t="s">
        <v>99</v>
      </c>
      <c r="AM1" s="115">
        <v>45658</v>
      </c>
      <c r="AN1" s="114" t="s">
        <v>515</v>
      </c>
      <c r="AO1" s="118" t="s">
        <v>234</v>
      </c>
      <c r="AP1" s="35" t="s">
        <v>99</v>
      </c>
      <c r="AQ1" s="115">
        <v>45689</v>
      </c>
      <c r="AR1" s="114" t="s">
        <v>515</v>
      </c>
      <c r="AS1" s="118" t="s">
        <v>234</v>
      </c>
      <c r="AT1" s="35" t="s">
        <v>99</v>
      </c>
      <c r="AU1" s="115">
        <v>45717</v>
      </c>
      <c r="AV1" s="114" t="s">
        <v>515</v>
      </c>
      <c r="AW1" s="118" t="s">
        <v>234</v>
      </c>
      <c r="AX1" s="35" t="s">
        <v>99</v>
      </c>
      <c r="AY1" s="115">
        <v>45748</v>
      </c>
      <c r="AZ1" s="114" t="s">
        <v>515</v>
      </c>
      <c r="BA1" s="118" t="s">
        <v>234</v>
      </c>
      <c r="BB1" s="35" t="s">
        <v>99</v>
      </c>
      <c r="BC1" s="115">
        <v>45778</v>
      </c>
      <c r="BD1" s="114" t="s">
        <v>515</v>
      </c>
      <c r="BE1" s="118" t="s">
        <v>234</v>
      </c>
      <c r="BF1" s="35" t="s">
        <v>99</v>
      </c>
      <c r="BG1" s="115">
        <v>45809</v>
      </c>
      <c r="BH1" s="114" t="s">
        <v>515</v>
      </c>
      <c r="BI1" s="118" t="s">
        <v>234</v>
      </c>
      <c r="BJ1" s="35" t="s">
        <v>99</v>
      </c>
      <c r="BK1" s="86" t="s">
        <v>217</v>
      </c>
      <c r="BL1" s="86" t="s">
        <v>522</v>
      </c>
    </row>
    <row r="2" spans="1:64">
      <c r="A2" s="10" t="s">
        <v>573</v>
      </c>
      <c r="B2" s="121" t="s">
        <v>107</v>
      </c>
      <c r="C2" s="80">
        <v>0</v>
      </c>
      <c r="D2" s="79">
        <f t="shared" ref="D2:D65" si="0">200*12</f>
        <v>2400</v>
      </c>
      <c r="E2" s="78">
        <f>'2023-2024'!I2</f>
        <v>13975.877898581479</v>
      </c>
      <c r="F2" s="187">
        <f t="shared" ref="F2:F65" si="1">C2+D2</f>
        <v>2400</v>
      </c>
      <c r="G2" s="33">
        <f t="shared" ref="G2:G65" si="2">BK2</f>
        <v>0</v>
      </c>
      <c r="H2" s="190">
        <f t="shared" ref="H2:H65" si="3">F2-G2-C2</f>
        <v>2400</v>
      </c>
      <c r="I2" s="78">
        <f t="shared" ref="I2:I65" si="4">H2+L2+E2</f>
        <v>32191.613034515183</v>
      </c>
      <c r="J2" s="78">
        <f t="shared" ref="J2:J65" si="5">P2+T2+X2+AB2+AF2+AJ2+AN2+AR2+AV2+AZ2+BD2+BH2</f>
        <v>0</v>
      </c>
      <c r="K2" s="78">
        <f t="shared" ref="K2:K65" si="6">(G2-J2-C2)*5.5%</f>
        <v>0</v>
      </c>
      <c r="L2" s="78">
        <f t="shared" ref="L2:L65" si="7">R2+V2+Z2+AD2+AH2+AL2+AP2+AT2+AX2+BB2+BF2+BJ2</f>
        <v>15815.735135933703</v>
      </c>
      <c r="M2" s="194">
        <f t="shared" ref="M2:M65" si="8">L2</f>
        <v>15815.735135933703</v>
      </c>
      <c r="N2" s="78">
        <f t="shared" ref="N2:N65" si="9">G2-J2-L2+K2</f>
        <v>-15815.735135933703</v>
      </c>
      <c r="O2" s="165">
        <v>0</v>
      </c>
      <c r="P2" s="166">
        <f t="shared" ref="P2:P65" si="10">O2*0%</f>
        <v>0</v>
      </c>
      <c r="Q2" s="119">
        <f t="shared" ref="Q2:Q65" si="11">E2+200</f>
        <v>14175.877898581479</v>
      </c>
      <c r="R2" s="167">
        <f t="shared" ref="R2:R65" si="12">(Q2-O2)*0.055</f>
        <v>779.67328442198129</v>
      </c>
      <c r="S2" s="165">
        <v>0</v>
      </c>
      <c r="T2" s="166">
        <f t="shared" ref="T2:T65" si="13">S2*0%</f>
        <v>0</v>
      </c>
      <c r="U2" s="33">
        <f t="shared" ref="U2:U65" si="14">Q2-S2+200+R2</f>
        <v>15155.551183003459</v>
      </c>
      <c r="V2" s="167">
        <f t="shared" ref="V2:V65" si="15">(U2-S2)*0.055</f>
        <v>833.55531506519026</v>
      </c>
      <c r="W2" s="165">
        <v>0</v>
      </c>
      <c r="X2" s="166">
        <f t="shared" ref="X2:X65" si="16">W2*0%</f>
        <v>0</v>
      </c>
      <c r="Y2" s="33">
        <f t="shared" ref="Y2:Y65" si="17">U2-W2+200+V2</f>
        <v>16189.10649806865</v>
      </c>
      <c r="Z2" s="167">
        <f t="shared" ref="Z2:Z65" si="18">(Y2-W2)*0.055</f>
        <v>890.40085739377571</v>
      </c>
      <c r="AA2" s="165">
        <v>0</v>
      </c>
      <c r="AB2" s="166">
        <f t="shared" ref="AB2:AB65" si="19">AA2*0%</f>
        <v>0</v>
      </c>
      <c r="AC2" s="33">
        <f t="shared" ref="AC2:AC65" si="20">Y2-AA2+200+Z2</f>
        <v>17279.507355462425</v>
      </c>
      <c r="AD2" s="167">
        <f t="shared" ref="AD2:AD65" si="21">(AC2-AA2)*0.055</f>
        <v>950.37290455043342</v>
      </c>
      <c r="AE2" s="165">
        <v>0</v>
      </c>
      <c r="AF2" s="166">
        <f t="shared" ref="AF2:AF65" si="22">AE2*0%</f>
        <v>0</v>
      </c>
      <c r="AG2" s="33">
        <f t="shared" ref="AG2:AG65" si="23">AC2-AE2+200+AD2</f>
        <v>18429.880260012858</v>
      </c>
      <c r="AH2" s="167">
        <f t="shared" ref="AH2:AH65" si="24">(AG2-AE2)*0.055</f>
        <v>1013.6434143007073</v>
      </c>
      <c r="AI2" s="165">
        <v>0</v>
      </c>
      <c r="AJ2" s="166">
        <f t="shared" ref="AJ2:AJ65" si="25">AI2*0%</f>
        <v>0</v>
      </c>
      <c r="AK2" s="33">
        <f t="shared" ref="AK2:AK65" si="26">AG2-AI2+200+AH2</f>
        <v>19643.523674313565</v>
      </c>
      <c r="AL2" s="167">
        <f t="shared" ref="AL2:AL65" si="27">(AK2-AI2)*0.055</f>
        <v>1080.3938020872461</v>
      </c>
      <c r="AM2" s="165">
        <v>0</v>
      </c>
      <c r="AN2" s="166">
        <f t="shared" ref="AN2:AN65" si="28">AM2*0%</f>
        <v>0</v>
      </c>
      <c r="AO2" s="33">
        <f t="shared" ref="AO2:AO65" si="29">AK2-AM2+200+AL2</f>
        <v>20923.917476400809</v>
      </c>
      <c r="AP2" s="167">
        <f t="shared" ref="AP2:AP65" si="30">(AO2-AM2)*0.055</f>
        <v>1150.8154612020446</v>
      </c>
      <c r="AQ2" s="165">
        <v>0</v>
      </c>
      <c r="AR2" s="166">
        <f t="shared" ref="AR2:AR65" si="31">AQ2*0%</f>
        <v>0</v>
      </c>
      <c r="AS2" s="33">
        <f t="shared" ref="AS2:AS65" si="32">AO2-AQ2+200+AP2</f>
        <v>22274.732937602854</v>
      </c>
      <c r="AT2" s="167">
        <f t="shared" ref="AT2:AT65" si="33">(AS2-AQ2)*0.07</f>
        <v>1559.2313056322</v>
      </c>
      <c r="AU2" s="165">
        <v>0</v>
      </c>
      <c r="AV2" s="166">
        <f t="shared" ref="AV2:AV65" si="34">AU2*0%</f>
        <v>0</v>
      </c>
      <c r="AW2" s="33">
        <f t="shared" ref="AW2:AW65" si="35">AS2-AU2+200+AT2</f>
        <v>24033.964243235052</v>
      </c>
      <c r="AX2" s="167">
        <f t="shared" ref="AX2:AX65" si="36">(AW2-AU2)*0.07</f>
        <v>1682.3774970264537</v>
      </c>
      <c r="AY2" s="165">
        <v>0</v>
      </c>
      <c r="AZ2" s="166">
        <f t="shared" ref="AZ2:AZ65" si="37">AY2*0%</f>
        <v>0</v>
      </c>
      <c r="BA2" s="33">
        <f t="shared" ref="BA2:BA65" si="38">AW2-AY2+200+AX2</f>
        <v>25916.341740261505</v>
      </c>
      <c r="BB2" s="167">
        <f t="shared" ref="BB2:BB65" si="39">(BA2-AY2)*0.07</f>
        <v>1814.1439218183054</v>
      </c>
      <c r="BC2" s="165">
        <v>0</v>
      </c>
      <c r="BD2" s="166">
        <f t="shared" ref="BD2:BD65" si="40">BC2*0%</f>
        <v>0</v>
      </c>
      <c r="BE2" s="33">
        <f t="shared" ref="BE2:BE65" si="41">BA2-BC2+200+BB2</f>
        <v>27930.485662079809</v>
      </c>
      <c r="BF2" s="167">
        <f t="shared" ref="BF2:BF65" si="42">(BE2-BC2)*0.07</f>
        <v>1955.1339963455869</v>
      </c>
      <c r="BG2" s="165">
        <v>0</v>
      </c>
      <c r="BH2" s="166">
        <f t="shared" ref="BH2:BH65" si="43">BG2*0%</f>
        <v>0</v>
      </c>
      <c r="BI2" s="33">
        <f t="shared" ref="BI2:BI65" si="44">BE2-BG2+200+BF2</f>
        <v>30085.619658425396</v>
      </c>
      <c r="BJ2" s="167">
        <f t="shared" ref="BJ2:BJ65" si="45">(BI2-BG2)*0.07</f>
        <v>2105.9933760897779</v>
      </c>
      <c r="BK2" s="87">
        <f t="shared" ref="BK2:BK65" si="46">O2+S2+W2+AA2+AE2+AI2+AQ2+AM2+AU2+AY2+BC2+BG2</f>
        <v>0</v>
      </c>
      <c r="BL2" s="33">
        <f>'2023-2024'!BL2+'2024-2025'!BK2</f>
        <v>10700</v>
      </c>
    </row>
    <row r="3" spans="1:64">
      <c r="A3" s="10" t="s">
        <v>574</v>
      </c>
      <c r="B3" s="121" t="s">
        <v>136</v>
      </c>
      <c r="C3" s="80">
        <v>0</v>
      </c>
      <c r="D3" s="79">
        <f t="shared" si="0"/>
        <v>2400</v>
      </c>
      <c r="E3" s="78">
        <f>'2023-2024'!I3</f>
        <v>17388.321757067552</v>
      </c>
      <c r="F3" s="187">
        <f t="shared" si="1"/>
        <v>2400</v>
      </c>
      <c r="G3" s="33">
        <f t="shared" si="2"/>
        <v>0</v>
      </c>
      <c r="H3" s="190">
        <f t="shared" si="3"/>
        <v>2400</v>
      </c>
      <c r="I3" s="78">
        <f t="shared" si="4"/>
        <v>39153.895210971299</v>
      </c>
      <c r="J3" s="78">
        <f t="shared" si="5"/>
        <v>0</v>
      </c>
      <c r="K3" s="78">
        <f t="shared" si="6"/>
        <v>0</v>
      </c>
      <c r="L3" s="78">
        <f t="shared" si="7"/>
        <v>19365.573453903751</v>
      </c>
      <c r="M3" s="194">
        <f t="shared" si="8"/>
        <v>19365.573453903751</v>
      </c>
      <c r="N3" s="78">
        <f t="shared" si="9"/>
        <v>-19365.573453903751</v>
      </c>
      <c r="O3" s="165">
        <v>0</v>
      </c>
      <c r="P3" s="166">
        <f t="shared" si="10"/>
        <v>0</v>
      </c>
      <c r="Q3" s="119">
        <f t="shared" si="11"/>
        <v>17588.321757067552</v>
      </c>
      <c r="R3" s="167">
        <f t="shared" si="12"/>
        <v>967.35769663871531</v>
      </c>
      <c r="S3" s="165">
        <v>0</v>
      </c>
      <c r="T3" s="166">
        <f t="shared" si="13"/>
        <v>0</v>
      </c>
      <c r="U3" s="33">
        <f t="shared" si="14"/>
        <v>18755.679453706267</v>
      </c>
      <c r="V3" s="167">
        <f t="shared" si="15"/>
        <v>1031.5623699538446</v>
      </c>
      <c r="W3" s="165">
        <v>0</v>
      </c>
      <c r="X3" s="166">
        <f t="shared" si="16"/>
        <v>0</v>
      </c>
      <c r="Y3" s="33">
        <f t="shared" si="17"/>
        <v>19987.241823660112</v>
      </c>
      <c r="Z3" s="167">
        <f t="shared" si="18"/>
        <v>1099.2983003013062</v>
      </c>
      <c r="AA3" s="165">
        <v>0</v>
      </c>
      <c r="AB3" s="166">
        <f t="shared" si="19"/>
        <v>0</v>
      </c>
      <c r="AC3" s="33">
        <f t="shared" si="20"/>
        <v>21286.540123961418</v>
      </c>
      <c r="AD3" s="167">
        <f t="shared" si="21"/>
        <v>1170.7597068178779</v>
      </c>
      <c r="AE3" s="165">
        <v>0</v>
      </c>
      <c r="AF3" s="166">
        <f t="shared" si="22"/>
        <v>0</v>
      </c>
      <c r="AG3" s="33">
        <f t="shared" si="23"/>
        <v>22657.299830779295</v>
      </c>
      <c r="AH3" s="167">
        <f t="shared" si="24"/>
        <v>1246.1514906928612</v>
      </c>
      <c r="AI3" s="165">
        <v>0</v>
      </c>
      <c r="AJ3" s="166">
        <f t="shared" si="25"/>
        <v>0</v>
      </c>
      <c r="AK3" s="33">
        <f t="shared" si="26"/>
        <v>24103.451321472156</v>
      </c>
      <c r="AL3" s="167">
        <f t="shared" si="27"/>
        <v>1325.6898226809685</v>
      </c>
      <c r="AM3" s="165">
        <v>0</v>
      </c>
      <c r="AN3" s="166">
        <f t="shared" si="28"/>
        <v>0</v>
      </c>
      <c r="AO3" s="33">
        <f t="shared" si="29"/>
        <v>25629.141144153124</v>
      </c>
      <c r="AP3" s="167">
        <f t="shared" si="30"/>
        <v>1409.6027629284217</v>
      </c>
      <c r="AQ3" s="165">
        <v>0</v>
      </c>
      <c r="AR3" s="166">
        <f t="shared" si="31"/>
        <v>0</v>
      </c>
      <c r="AS3" s="33">
        <f t="shared" si="32"/>
        <v>27238.743907081545</v>
      </c>
      <c r="AT3" s="167">
        <f t="shared" si="33"/>
        <v>1906.7120734957084</v>
      </c>
      <c r="AU3" s="165">
        <v>0</v>
      </c>
      <c r="AV3" s="166">
        <f t="shared" si="34"/>
        <v>0</v>
      </c>
      <c r="AW3" s="33">
        <f t="shared" si="35"/>
        <v>29345.455980577255</v>
      </c>
      <c r="AX3" s="167">
        <f t="shared" si="36"/>
        <v>2054.1819186404082</v>
      </c>
      <c r="AY3" s="165">
        <v>0</v>
      </c>
      <c r="AZ3" s="166">
        <f t="shared" si="37"/>
        <v>0</v>
      </c>
      <c r="BA3" s="33">
        <f t="shared" si="38"/>
        <v>31599.637899217661</v>
      </c>
      <c r="BB3" s="167">
        <f t="shared" si="39"/>
        <v>2211.9746529452364</v>
      </c>
      <c r="BC3" s="165">
        <v>0</v>
      </c>
      <c r="BD3" s="166">
        <f t="shared" si="40"/>
        <v>0</v>
      </c>
      <c r="BE3" s="33">
        <f t="shared" si="41"/>
        <v>34011.6125521629</v>
      </c>
      <c r="BF3" s="167">
        <f t="shared" si="42"/>
        <v>2380.812878651403</v>
      </c>
      <c r="BG3" s="165">
        <v>0</v>
      </c>
      <c r="BH3" s="166">
        <f t="shared" si="43"/>
        <v>0</v>
      </c>
      <c r="BI3" s="33">
        <f t="shared" si="44"/>
        <v>36592.425430814306</v>
      </c>
      <c r="BJ3" s="167">
        <f t="shared" si="45"/>
        <v>2561.4697801570019</v>
      </c>
      <c r="BK3" s="87">
        <f t="shared" si="46"/>
        <v>0</v>
      </c>
      <c r="BL3" s="33">
        <f>'2023-2024'!BL3+'2024-2025'!BK3</f>
        <v>8700</v>
      </c>
    </row>
    <row r="4" spans="1:64">
      <c r="A4" s="10" t="s">
        <v>575</v>
      </c>
      <c r="B4" s="121" t="s">
        <v>108</v>
      </c>
      <c r="C4" s="80">
        <v>0</v>
      </c>
      <c r="D4" s="79">
        <f t="shared" si="0"/>
        <v>2400</v>
      </c>
      <c r="E4" s="78">
        <f>'2023-2024'!I4</f>
        <v>38236.870318749679</v>
      </c>
      <c r="F4" s="187">
        <f t="shared" si="1"/>
        <v>2400</v>
      </c>
      <c r="G4" s="33">
        <f t="shared" si="2"/>
        <v>0</v>
      </c>
      <c r="H4" s="190">
        <f t="shared" si="3"/>
        <v>2400</v>
      </c>
      <c r="I4" s="78">
        <f t="shared" si="4"/>
        <v>81690.412755431826</v>
      </c>
      <c r="J4" s="78">
        <f t="shared" si="5"/>
        <v>0</v>
      </c>
      <c r="K4" s="78">
        <f t="shared" si="6"/>
        <v>0</v>
      </c>
      <c r="L4" s="78">
        <f t="shared" si="7"/>
        <v>41053.542436682146</v>
      </c>
      <c r="M4" s="194">
        <f t="shared" si="8"/>
        <v>41053.542436682146</v>
      </c>
      <c r="N4" s="78">
        <f t="shared" si="9"/>
        <v>-41053.542436682146</v>
      </c>
      <c r="O4" s="165">
        <v>0</v>
      </c>
      <c r="P4" s="166">
        <f t="shared" si="10"/>
        <v>0</v>
      </c>
      <c r="Q4" s="119">
        <f t="shared" si="11"/>
        <v>38436.870318749679</v>
      </c>
      <c r="R4" s="167">
        <f t="shared" si="12"/>
        <v>2114.0278675312325</v>
      </c>
      <c r="S4" s="165">
        <v>0</v>
      </c>
      <c r="T4" s="166">
        <f t="shared" si="13"/>
        <v>0</v>
      </c>
      <c r="U4" s="33">
        <f t="shared" si="14"/>
        <v>40750.898186280909</v>
      </c>
      <c r="V4" s="167">
        <f t="shared" si="15"/>
        <v>2241.2994002454502</v>
      </c>
      <c r="W4" s="165">
        <v>0</v>
      </c>
      <c r="X4" s="166">
        <f t="shared" si="16"/>
        <v>0</v>
      </c>
      <c r="Y4" s="33">
        <f t="shared" si="17"/>
        <v>43192.197586526359</v>
      </c>
      <c r="Z4" s="167">
        <f t="shared" si="18"/>
        <v>2375.5708672589499</v>
      </c>
      <c r="AA4" s="165">
        <v>0</v>
      </c>
      <c r="AB4" s="166">
        <f t="shared" si="19"/>
        <v>0</v>
      </c>
      <c r="AC4" s="33">
        <f t="shared" si="20"/>
        <v>45767.768453785306</v>
      </c>
      <c r="AD4" s="167">
        <f t="shared" si="21"/>
        <v>2517.2272649581919</v>
      </c>
      <c r="AE4" s="165">
        <v>0</v>
      </c>
      <c r="AF4" s="166">
        <f t="shared" si="22"/>
        <v>0</v>
      </c>
      <c r="AG4" s="33">
        <f t="shared" si="23"/>
        <v>48484.995718743499</v>
      </c>
      <c r="AH4" s="167">
        <f t="shared" si="24"/>
        <v>2666.6747645308924</v>
      </c>
      <c r="AI4" s="165">
        <v>0</v>
      </c>
      <c r="AJ4" s="166">
        <f t="shared" si="25"/>
        <v>0</v>
      </c>
      <c r="AK4" s="33">
        <f t="shared" si="26"/>
        <v>51351.670483274393</v>
      </c>
      <c r="AL4" s="167">
        <f t="shared" si="27"/>
        <v>2824.3418765800916</v>
      </c>
      <c r="AM4" s="165">
        <v>0</v>
      </c>
      <c r="AN4" s="166">
        <f t="shared" si="28"/>
        <v>0</v>
      </c>
      <c r="AO4" s="33">
        <f t="shared" si="29"/>
        <v>54376.012359854481</v>
      </c>
      <c r="AP4" s="167">
        <f t="shared" si="30"/>
        <v>2990.6806797919967</v>
      </c>
      <c r="AQ4" s="165">
        <v>0</v>
      </c>
      <c r="AR4" s="166">
        <f t="shared" si="31"/>
        <v>0</v>
      </c>
      <c r="AS4" s="33">
        <f t="shared" si="32"/>
        <v>57566.693039646481</v>
      </c>
      <c r="AT4" s="167">
        <f t="shared" si="33"/>
        <v>4029.6685127752539</v>
      </c>
      <c r="AU4" s="165">
        <v>0</v>
      </c>
      <c r="AV4" s="166">
        <f t="shared" si="34"/>
        <v>0</v>
      </c>
      <c r="AW4" s="33">
        <f t="shared" si="35"/>
        <v>61796.361552421738</v>
      </c>
      <c r="AX4" s="167">
        <f t="shared" si="36"/>
        <v>4325.7453086695223</v>
      </c>
      <c r="AY4" s="165">
        <v>0</v>
      </c>
      <c r="AZ4" s="166">
        <f t="shared" si="37"/>
        <v>0</v>
      </c>
      <c r="BA4" s="33">
        <f t="shared" si="38"/>
        <v>66322.106861091263</v>
      </c>
      <c r="BB4" s="167">
        <f t="shared" si="39"/>
        <v>4642.5474802763893</v>
      </c>
      <c r="BC4" s="165">
        <v>0</v>
      </c>
      <c r="BD4" s="166">
        <f t="shared" si="40"/>
        <v>0</v>
      </c>
      <c r="BE4" s="33">
        <f t="shared" si="41"/>
        <v>71164.654341367655</v>
      </c>
      <c r="BF4" s="167">
        <f t="shared" si="42"/>
        <v>4981.5258038957363</v>
      </c>
      <c r="BG4" s="165">
        <v>0</v>
      </c>
      <c r="BH4" s="166">
        <f t="shared" si="43"/>
        <v>0</v>
      </c>
      <c r="BI4" s="33">
        <f t="shared" si="44"/>
        <v>76346.180145263395</v>
      </c>
      <c r="BJ4" s="167">
        <f t="shared" si="45"/>
        <v>5344.2326101684384</v>
      </c>
      <c r="BK4" s="87">
        <f t="shared" si="46"/>
        <v>0</v>
      </c>
      <c r="BL4" s="33">
        <f>'2023-2024'!BL4+'2024-2025'!BK4</f>
        <v>1500</v>
      </c>
    </row>
    <row r="5" spans="1:64">
      <c r="A5" s="10" t="s">
        <v>576</v>
      </c>
      <c r="B5" s="121" t="s">
        <v>109</v>
      </c>
      <c r="C5" s="80">
        <v>0</v>
      </c>
      <c r="D5" s="79">
        <f t="shared" si="0"/>
        <v>2400</v>
      </c>
      <c r="E5" s="78">
        <f>'2023-2024'!I5</f>
        <v>43648.34416744145</v>
      </c>
      <c r="F5" s="187">
        <f t="shared" si="1"/>
        <v>2400</v>
      </c>
      <c r="G5" s="33">
        <f t="shared" si="2"/>
        <v>0</v>
      </c>
      <c r="H5" s="190">
        <f t="shared" si="3"/>
        <v>2400</v>
      </c>
      <c r="I5" s="78">
        <f t="shared" si="4"/>
        <v>92731.24140713604</v>
      </c>
      <c r="J5" s="78">
        <f t="shared" si="5"/>
        <v>0</v>
      </c>
      <c r="K5" s="78">
        <f t="shared" si="6"/>
        <v>0</v>
      </c>
      <c r="L5" s="78">
        <f t="shared" si="7"/>
        <v>46682.89723969459</v>
      </c>
      <c r="M5" s="194">
        <f t="shared" si="8"/>
        <v>46682.89723969459</v>
      </c>
      <c r="N5" s="78">
        <f t="shared" si="9"/>
        <v>-46682.89723969459</v>
      </c>
      <c r="O5" s="165">
        <v>0</v>
      </c>
      <c r="P5" s="166">
        <f t="shared" si="10"/>
        <v>0</v>
      </c>
      <c r="Q5" s="119">
        <f t="shared" si="11"/>
        <v>43848.34416744145</v>
      </c>
      <c r="R5" s="167">
        <f t="shared" si="12"/>
        <v>2411.6589292092799</v>
      </c>
      <c r="S5" s="165">
        <v>0</v>
      </c>
      <c r="T5" s="166">
        <f t="shared" si="13"/>
        <v>0</v>
      </c>
      <c r="U5" s="33">
        <f t="shared" si="14"/>
        <v>46460.003096650733</v>
      </c>
      <c r="V5" s="167">
        <f t="shared" si="15"/>
        <v>2555.3001703157902</v>
      </c>
      <c r="W5" s="165">
        <v>0</v>
      </c>
      <c r="X5" s="166">
        <f t="shared" si="16"/>
        <v>0</v>
      </c>
      <c r="Y5" s="33">
        <f t="shared" si="17"/>
        <v>49215.303266966526</v>
      </c>
      <c r="Z5" s="167">
        <f t="shared" si="18"/>
        <v>2706.8416796831589</v>
      </c>
      <c r="AA5" s="165">
        <v>0</v>
      </c>
      <c r="AB5" s="166">
        <f t="shared" si="19"/>
        <v>0</v>
      </c>
      <c r="AC5" s="33">
        <f t="shared" si="20"/>
        <v>52122.144946649685</v>
      </c>
      <c r="AD5" s="167">
        <f t="shared" si="21"/>
        <v>2866.7179720657327</v>
      </c>
      <c r="AE5" s="165">
        <v>0</v>
      </c>
      <c r="AF5" s="166">
        <f t="shared" si="22"/>
        <v>0</v>
      </c>
      <c r="AG5" s="33">
        <f t="shared" si="23"/>
        <v>55188.862918715415</v>
      </c>
      <c r="AH5" s="167">
        <f t="shared" si="24"/>
        <v>3035.3874605293477</v>
      </c>
      <c r="AI5" s="165">
        <v>0</v>
      </c>
      <c r="AJ5" s="166">
        <f t="shared" si="25"/>
        <v>0</v>
      </c>
      <c r="AK5" s="33">
        <f t="shared" si="26"/>
        <v>58424.250379244761</v>
      </c>
      <c r="AL5" s="167">
        <f t="shared" si="27"/>
        <v>3213.3337708584618</v>
      </c>
      <c r="AM5" s="165">
        <v>0</v>
      </c>
      <c r="AN5" s="166">
        <f t="shared" si="28"/>
        <v>0</v>
      </c>
      <c r="AO5" s="33">
        <f t="shared" si="29"/>
        <v>61837.584150103219</v>
      </c>
      <c r="AP5" s="167">
        <f t="shared" si="30"/>
        <v>3401.0671282556773</v>
      </c>
      <c r="AQ5" s="165">
        <v>0</v>
      </c>
      <c r="AR5" s="166">
        <f t="shared" si="31"/>
        <v>0</v>
      </c>
      <c r="AS5" s="33">
        <f t="shared" si="32"/>
        <v>65438.651278358899</v>
      </c>
      <c r="AT5" s="167">
        <f t="shared" si="33"/>
        <v>4580.7055894851237</v>
      </c>
      <c r="AU5" s="165">
        <v>0</v>
      </c>
      <c r="AV5" s="166">
        <f t="shared" si="34"/>
        <v>0</v>
      </c>
      <c r="AW5" s="33">
        <f t="shared" si="35"/>
        <v>70219.356867844021</v>
      </c>
      <c r="AX5" s="167">
        <f t="shared" si="36"/>
        <v>4915.3549807490817</v>
      </c>
      <c r="AY5" s="165">
        <v>0</v>
      </c>
      <c r="AZ5" s="166">
        <f t="shared" si="37"/>
        <v>0</v>
      </c>
      <c r="BA5" s="33">
        <f t="shared" si="38"/>
        <v>75334.711848593099</v>
      </c>
      <c r="BB5" s="167">
        <f t="shared" si="39"/>
        <v>5273.4298294015171</v>
      </c>
      <c r="BC5" s="165">
        <v>0</v>
      </c>
      <c r="BD5" s="166">
        <f t="shared" si="40"/>
        <v>0</v>
      </c>
      <c r="BE5" s="33">
        <f t="shared" si="41"/>
        <v>80808.141677994616</v>
      </c>
      <c r="BF5" s="167">
        <f t="shared" si="42"/>
        <v>5656.5699174596239</v>
      </c>
      <c r="BG5" s="165">
        <v>0</v>
      </c>
      <c r="BH5" s="166">
        <f t="shared" si="43"/>
        <v>0</v>
      </c>
      <c r="BI5" s="33">
        <f t="shared" si="44"/>
        <v>86664.711595454239</v>
      </c>
      <c r="BJ5" s="167">
        <f t="shared" si="45"/>
        <v>6066.5298116817976</v>
      </c>
      <c r="BK5" s="87">
        <f t="shared" si="46"/>
        <v>0</v>
      </c>
      <c r="BL5" s="33">
        <f>'2023-2024'!BL5+'2024-2025'!BK5</f>
        <v>200</v>
      </c>
    </row>
    <row r="6" spans="1:64" s="85" customFormat="1">
      <c r="A6" s="10" t="s">
        <v>577</v>
      </c>
      <c r="B6" s="121" t="s">
        <v>110</v>
      </c>
      <c r="C6" s="80">
        <v>0</v>
      </c>
      <c r="D6" s="79">
        <f t="shared" si="0"/>
        <v>2400</v>
      </c>
      <c r="E6" s="78">
        <f>'2023-2024'!I6</f>
        <v>21841.478239036762</v>
      </c>
      <c r="F6" s="187">
        <f t="shared" si="1"/>
        <v>2400</v>
      </c>
      <c r="G6" s="33">
        <f t="shared" si="2"/>
        <v>0</v>
      </c>
      <c r="H6" s="190">
        <f t="shared" si="3"/>
        <v>2400</v>
      </c>
      <c r="I6" s="78">
        <f t="shared" si="4"/>
        <v>48239.504612656587</v>
      </c>
      <c r="J6" s="78">
        <f t="shared" si="5"/>
        <v>0</v>
      </c>
      <c r="K6" s="78">
        <f t="shared" si="6"/>
        <v>0</v>
      </c>
      <c r="L6" s="78">
        <f t="shared" si="7"/>
        <v>23998.026373619829</v>
      </c>
      <c r="M6" s="194">
        <f t="shared" si="8"/>
        <v>23998.026373619829</v>
      </c>
      <c r="N6" s="78">
        <f t="shared" si="9"/>
        <v>-23998.026373619829</v>
      </c>
      <c r="O6" s="165">
        <v>0</v>
      </c>
      <c r="P6" s="166">
        <f t="shared" si="10"/>
        <v>0</v>
      </c>
      <c r="Q6" s="119">
        <f t="shared" si="11"/>
        <v>22041.478239036762</v>
      </c>
      <c r="R6" s="167">
        <f t="shared" si="12"/>
        <v>1212.2813031470218</v>
      </c>
      <c r="S6" s="165">
        <v>0</v>
      </c>
      <c r="T6" s="166">
        <f t="shared" si="13"/>
        <v>0</v>
      </c>
      <c r="U6" s="33">
        <f t="shared" si="14"/>
        <v>23453.759542183783</v>
      </c>
      <c r="V6" s="167">
        <f t="shared" si="15"/>
        <v>1289.9567748201082</v>
      </c>
      <c r="W6" s="165">
        <v>0</v>
      </c>
      <c r="X6" s="166">
        <f t="shared" si="16"/>
        <v>0</v>
      </c>
      <c r="Y6" s="33">
        <f t="shared" si="17"/>
        <v>24943.716317003891</v>
      </c>
      <c r="Z6" s="167">
        <f t="shared" si="18"/>
        <v>1371.9043974352139</v>
      </c>
      <c r="AA6" s="165">
        <v>0</v>
      </c>
      <c r="AB6" s="166">
        <f t="shared" si="19"/>
        <v>0</v>
      </c>
      <c r="AC6" s="33">
        <f t="shared" si="20"/>
        <v>26515.620714439105</v>
      </c>
      <c r="AD6" s="167">
        <f t="shared" si="21"/>
        <v>1458.3591392941507</v>
      </c>
      <c r="AE6" s="165">
        <v>0</v>
      </c>
      <c r="AF6" s="166">
        <f t="shared" si="22"/>
        <v>0</v>
      </c>
      <c r="AG6" s="33">
        <f t="shared" si="23"/>
        <v>28173.979853733254</v>
      </c>
      <c r="AH6" s="167">
        <f t="shared" si="24"/>
        <v>1549.568891955329</v>
      </c>
      <c r="AI6" s="165">
        <v>0</v>
      </c>
      <c r="AJ6" s="166">
        <f t="shared" si="25"/>
        <v>0</v>
      </c>
      <c r="AK6" s="33">
        <f t="shared" si="26"/>
        <v>29923.548745688582</v>
      </c>
      <c r="AL6" s="167">
        <f t="shared" si="27"/>
        <v>1645.795181012872</v>
      </c>
      <c r="AM6" s="165">
        <v>0</v>
      </c>
      <c r="AN6" s="166">
        <f t="shared" si="28"/>
        <v>0</v>
      </c>
      <c r="AO6" s="33">
        <f t="shared" si="29"/>
        <v>31769.343926701455</v>
      </c>
      <c r="AP6" s="167">
        <f t="shared" si="30"/>
        <v>1747.31391596858</v>
      </c>
      <c r="AQ6" s="165">
        <v>0</v>
      </c>
      <c r="AR6" s="166">
        <f t="shared" si="31"/>
        <v>0</v>
      </c>
      <c r="AS6" s="33">
        <f t="shared" si="32"/>
        <v>33716.657842670036</v>
      </c>
      <c r="AT6" s="167">
        <f t="shared" si="33"/>
        <v>2360.1660489869028</v>
      </c>
      <c r="AU6" s="165">
        <v>0</v>
      </c>
      <c r="AV6" s="166">
        <f t="shared" si="34"/>
        <v>0</v>
      </c>
      <c r="AW6" s="33">
        <f t="shared" si="35"/>
        <v>36276.823891656939</v>
      </c>
      <c r="AX6" s="167">
        <f t="shared" si="36"/>
        <v>2539.3776724159861</v>
      </c>
      <c r="AY6" s="165">
        <v>0</v>
      </c>
      <c r="AZ6" s="166">
        <f t="shared" si="37"/>
        <v>0</v>
      </c>
      <c r="BA6" s="33">
        <f t="shared" si="38"/>
        <v>39016.201564072922</v>
      </c>
      <c r="BB6" s="167">
        <f t="shared" si="39"/>
        <v>2731.134109485105</v>
      </c>
      <c r="BC6" s="165">
        <v>0</v>
      </c>
      <c r="BD6" s="166">
        <f t="shared" si="40"/>
        <v>0</v>
      </c>
      <c r="BE6" s="33">
        <f t="shared" si="41"/>
        <v>41947.335673558031</v>
      </c>
      <c r="BF6" s="167">
        <f t="shared" si="42"/>
        <v>2936.3134971490626</v>
      </c>
      <c r="BG6" s="165">
        <v>0</v>
      </c>
      <c r="BH6" s="166">
        <f t="shared" si="43"/>
        <v>0</v>
      </c>
      <c r="BI6" s="33">
        <f t="shared" si="44"/>
        <v>45083.649170707096</v>
      </c>
      <c r="BJ6" s="167">
        <f t="shared" si="45"/>
        <v>3155.8554419494972</v>
      </c>
      <c r="BK6" s="87">
        <f t="shared" si="46"/>
        <v>0</v>
      </c>
      <c r="BL6" s="33">
        <f>'2023-2024'!BL6+'2024-2025'!BK6</f>
        <v>5438.67</v>
      </c>
    </row>
    <row r="7" spans="1:64">
      <c r="A7" s="10" t="s">
        <v>578</v>
      </c>
      <c r="B7" s="121" t="s">
        <v>137</v>
      </c>
      <c r="C7" s="80">
        <v>0</v>
      </c>
      <c r="D7" s="79">
        <f t="shared" si="0"/>
        <v>2400</v>
      </c>
      <c r="E7" s="78">
        <f>'2023-2024'!I7</f>
        <v>23667.517649194931</v>
      </c>
      <c r="F7" s="187">
        <f t="shared" si="1"/>
        <v>2400</v>
      </c>
      <c r="G7" s="33">
        <f t="shared" si="2"/>
        <v>0</v>
      </c>
      <c r="H7" s="190">
        <f t="shared" si="3"/>
        <v>2400</v>
      </c>
      <c r="I7" s="78">
        <f t="shared" si="4"/>
        <v>51965.104846997434</v>
      </c>
      <c r="J7" s="78">
        <f t="shared" si="5"/>
        <v>0</v>
      </c>
      <c r="K7" s="78">
        <f t="shared" si="6"/>
        <v>0</v>
      </c>
      <c r="L7" s="78">
        <f t="shared" si="7"/>
        <v>25897.587197802499</v>
      </c>
      <c r="M7" s="194">
        <f t="shared" si="8"/>
        <v>25897.587197802499</v>
      </c>
      <c r="N7" s="78">
        <f t="shared" si="9"/>
        <v>-25897.587197802499</v>
      </c>
      <c r="O7" s="165">
        <v>0</v>
      </c>
      <c r="P7" s="166">
        <f t="shared" si="10"/>
        <v>0</v>
      </c>
      <c r="Q7" s="119">
        <f t="shared" si="11"/>
        <v>23867.517649194931</v>
      </c>
      <c r="R7" s="167">
        <f t="shared" si="12"/>
        <v>1312.7134707057212</v>
      </c>
      <c r="S7" s="165">
        <v>0</v>
      </c>
      <c r="T7" s="166">
        <f t="shared" si="13"/>
        <v>0</v>
      </c>
      <c r="U7" s="33">
        <f t="shared" si="14"/>
        <v>25380.231119900651</v>
      </c>
      <c r="V7" s="167">
        <f t="shared" si="15"/>
        <v>1395.9127115945357</v>
      </c>
      <c r="W7" s="165">
        <v>0</v>
      </c>
      <c r="X7" s="166">
        <f t="shared" si="16"/>
        <v>0</v>
      </c>
      <c r="Y7" s="33">
        <f t="shared" si="17"/>
        <v>26976.143831495188</v>
      </c>
      <c r="Z7" s="167">
        <f t="shared" si="18"/>
        <v>1483.6879107322354</v>
      </c>
      <c r="AA7" s="165">
        <v>0</v>
      </c>
      <c r="AB7" s="166">
        <f t="shared" si="19"/>
        <v>0</v>
      </c>
      <c r="AC7" s="33">
        <f t="shared" si="20"/>
        <v>28659.831742227423</v>
      </c>
      <c r="AD7" s="167">
        <f t="shared" si="21"/>
        <v>1576.2907458225084</v>
      </c>
      <c r="AE7" s="165">
        <v>0</v>
      </c>
      <c r="AF7" s="166">
        <f t="shared" si="22"/>
        <v>0</v>
      </c>
      <c r="AG7" s="33">
        <f t="shared" si="23"/>
        <v>30436.122488049932</v>
      </c>
      <c r="AH7" s="167">
        <f t="shared" si="24"/>
        <v>1673.9867368427463</v>
      </c>
      <c r="AI7" s="165">
        <v>0</v>
      </c>
      <c r="AJ7" s="166">
        <f t="shared" si="25"/>
        <v>0</v>
      </c>
      <c r="AK7" s="33">
        <f t="shared" si="26"/>
        <v>32310.10922489268</v>
      </c>
      <c r="AL7" s="167">
        <f t="shared" si="27"/>
        <v>1777.0560073690974</v>
      </c>
      <c r="AM7" s="165">
        <v>0</v>
      </c>
      <c r="AN7" s="166">
        <f t="shared" si="28"/>
        <v>0</v>
      </c>
      <c r="AO7" s="33">
        <f t="shared" si="29"/>
        <v>34287.165232261774</v>
      </c>
      <c r="AP7" s="167">
        <f t="shared" si="30"/>
        <v>1885.7940877743977</v>
      </c>
      <c r="AQ7" s="165">
        <v>0</v>
      </c>
      <c r="AR7" s="166">
        <f t="shared" si="31"/>
        <v>0</v>
      </c>
      <c r="AS7" s="33">
        <f t="shared" si="32"/>
        <v>36372.959320036171</v>
      </c>
      <c r="AT7" s="167">
        <f t="shared" si="33"/>
        <v>2546.1071524025324</v>
      </c>
      <c r="AU7" s="165">
        <v>0</v>
      </c>
      <c r="AV7" s="166">
        <f t="shared" si="34"/>
        <v>0</v>
      </c>
      <c r="AW7" s="33">
        <f t="shared" si="35"/>
        <v>39119.066472438702</v>
      </c>
      <c r="AX7" s="167">
        <f t="shared" si="36"/>
        <v>2738.3346530707095</v>
      </c>
      <c r="AY7" s="165">
        <v>0</v>
      </c>
      <c r="AZ7" s="166">
        <f t="shared" si="37"/>
        <v>0</v>
      </c>
      <c r="BA7" s="33">
        <f t="shared" si="38"/>
        <v>42057.401125509408</v>
      </c>
      <c r="BB7" s="167">
        <f t="shared" si="39"/>
        <v>2944.0180787856589</v>
      </c>
      <c r="BC7" s="165">
        <v>0</v>
      </c>
      <c r="BD7" s="166">
        <f t="shared" si="40"/>
        <v>0</v>
      </c>
      <c r="BE7" s="33">
        <f t="shared" si="41"/>
        <v>45201.419204295067</v>
      </c>
      <c r="BF7" s="167">
        <f t="shared" si="42"/>
        <v>3164.099344300655</v>
      </c>
      <c r="BG7" s="165">
        <v>0</v>
      </c>
      <c r="BH7" s="166">
        <f t="shared" si="43"/>
        <v>0</v>
      </c>
      <c r="BI7" s="33">
        <f t="shared" si="44"/>
        <v>48565.518548595719</v>
      </c>
      <c r="BJ7" s="167">
        <f t="shared" si="45"/>
        <v>3399.5862984017008</v>
      </c>
      <c r="BK7" s="87">
        <f t="shared" si="46"/>
        <v>0</v>
      </c>
      <c r="BL7" s="33">
        <f>'2023-2024'!BL7+'2024-2025'!BK7</f>
        <v>5600</v>
      </c>
    </row>
    <row r="8" spans="1:64" s="41" customFormat="1">
      <c r="A8" s="10" t="s">
        <v>579</v>
      </c>
      <c r="B8" s="10" t="s">
        <v>175</v>
      </c>
      <c r="C8" s="80">
        <v>0</v>
      </c>
      <c r="D8" s="79">
        <f t="shared" si="0"/>
        <v>2400</v>
      </c>
      <c r="E8" s="78">
        <f>'2023-2024'!I8</f>
        <v>44480.878605701728</v>
      </c>
      <c r="F8" s="187">
        <f t="shared" si="1"/>
        <v>2400</v>
      </c>
      <c r="G8" s="33">
        <f t="shared" si="2"/>
        <v>0</v>
      </c>
      <c r="H8" s="190">
        <f t="shared" si="3"/>
        <v>2400</v>
      </c>
      <c r="I8" s="78">
        <f t="shared" si="4"/>
        <v>94429.830430475165</v>
      </c>
      <c r="J8" s="78">
        <f t="shared" si="5"/>
        <v>0</v>
      </c>
      <c r="K8" s="78">
        <f t="shared" si="6"/>
        <v>0</v>
      </c>
      <c r="L8" s="78">
        <f t="shared" si="7"/>
        <v>47548.951824773438</v>
      </c>
      <c r="M8" s="194">
        <f t="shared" si="8"/>
        <v>47548.951824773438</v>
      </c>
      <c r="N8" s="78">
        <f t="shared" si="9"/>
        <v>-47548.951824773438</v>
      </c>
      <c r="O8" s="165">
        <v>0</v>
      </c>
      <c r="P8" s="166">
        <f t="shared" si="10"/>
        <v>0</v>
      </c>
      <c r="Q8" s="119">
        <f t="shared" si="11"/>
        <v>44680.878605701728</v>
      </c>
      <c r="R8" s="167">
        <f t="shared" si="12"/>
        <v>2457.4483233135952</v>
      </c>
      <c r="S8" s="165">
        <v>0</v>
      </c>
      <c r="T8" s="166">
        <f t="shared" si="13"/>
        <v>0</v>
      </c>
      <c r="U8" s="33">
        <f t="shared" si="14"/>
        <v>47338.326929015326</v>
      </c>
      <c r="V8" s="167">
        <f t="shared" si="15"/>
        <v>2603.6079810958431</v>
      </c>
      <c r="W8" s="165">
        <v>0</v>
      </c>
      <c r="X8" s="166">
        <f t="shared" si="16"/>
        <v>0</v>
      </c>
      <c r="Y8" s="33">
        <f t="shared" si="17"/>
        <v>50141.934910111166</v>
      </c>
      <c r="Z8" s="167">
        <f t="shared" si="18"/>
        <v>2757.8064200561143</v>
      </c>
      <c r="AA8" s="165">
        <v>0</v>
      </c>
      <c r="AB8" s="166">
        <f t="shared" si="19"/>
        <v>0</v>
      </c>
      <c r="AC8" s="33">
        <f t="shared" si="20"/>
        <v>53099.741330167279</v>
      </c>
      <c r="AD8" s="167">
        <f t="shared" si="21"/>
        <v>2920.4857731592006</v>
      </c>
      <c r="AE8" s="165">
        <v>0</v>
      </c>
      <c r="AF8" s="166">
        <f t="shared" si="22"/>
        <v>0</v>
      </c>
      <c r="AG8" s="33">
        <f t="shared" si="23"/>
        <v>56220.227103326477</v>
      </c>
      <c r="AH8" s="167">
        <f t="shared" si="24"/>
        <v>3092.1124906829564</v>
      </c>
      <c r="AI8" s="165">
        <v>0</v>
      </c>
      <c r="AJ8" s="166">
        <f t="shared" si="25"/>
        <v>0</v>
      </c>
      <c r="AK8" s="33">
        <f t="shared" si="26"/>
        <v>59512.339594009434</v>
      </c>
      <c r="AL8" s="167">
        <f t="shared" si="27"/>
        <v>3273.1786776705189</v>
      </c>
      <c r="AM8" s="165">
        <v>0</v>
      </c>
      <c r="AN8" s="166">
        <f t="shared" si="28"/>
        <v>0</v>
      </c>
      <c r="AO8" s="33">
        <f t="shared" si="29"/>
        <v>62985.518271679954</v>
      </c>
      <c r="AP8" s="167">
        <f t="shared" si="30"/>
        <v>3464.2035049423976</v>
      </c>
      <c r="AQ8" s="165">
        <v>0</v>
      </c>
      <c r="AR8" s="166">
        <f t="shared" si="31"/>
        <v>0</v>
      </c>
      <c r="AS8" s="33">
        <f t="shared" si="32"/>
        <v>66649.721776622348</v>
      </c>
      <c r="AT8" s="167">
        <f t="shared" si="33"/>
        <v>4665.4805243635647</v>
      </c>
      <c r="AU8" s="165">
        <v>0</v>
      </c>
      <c r="AV8" s="166">
        <f t="shared" si="34"/>
        <v>0</v>
      </c>
      <c r="AW8" s="33">
        <f t="shared" si="35"/>
        <v>71515.202300985911</v>
      </c>
      <c r="AX8" s="167">
        <f t="shared" si="36"/>
        <v>5006.0641610690145</v>
      </c>
      <c r="AY8" s="165">
        <v>0</v>
      </c>
      <c r="AZ8" s="166">
        <f t="shared" si="37"/>
        <v>0</v>
      </c>
      <c r="BA8" s="33">
        <f t="shared" si="38"/>
        <v>76721.266462054919</v>
      </c>
      <c r="BB8" s="167">
        <f t="shared" si="39"/>
        <v>5370.4886523438445</v>
      </c>
      <c r="BC8" s="165">
        <v>0</v>
      </c>
      <c r="BD8" s="166">
        <f t="shared" si="40"/>
        <v>0</v>
      </c>
      <c r="BE8" s="33">
        <f t="shared" si="41"/>
        <v>82291.755114398766</v>
      </c>
      <c r="BF8" s="167">
        <f t="shared" si="42"/>
        <v>5760.4228580079143</v>
      </c>
      <c r="BG8" s="165">
        <v>0</v>
      </c>
      <c r="BH8" s="166">
        <f t="shared" si="43"/>
        <v>0</v>
      </c>
      <c r="BI8" s="33">
        <f t="shared" si="44"/>
        <v>88252.177972406673</v>
      </c>
      <c r="BJ8" s="167">
        <f t="shared" si="45"/>
        <v>6177.6524580684672</v>
      </c>
      <c r="BK8" s="87">
        <f t="shared" si="46"/>
        <v>0</v>
      </c>
      <c r="BL8" s="33">
        <f>'2023-2024'!BL8+'2024-2025'!BK8</f>
        <v>0</v>
      </c>
    </row>
    <row r="9" spans="1:64">
      <c r="A9" s="10" t="s">
        <v>580</v>
      </c>
      <c r="B9" s="10" t="s">
        <v>111</v>
      </c>
      <c r="C9" s="80">
        <v>0</v>
      </c>
      <c r="D9" s="79">
        <f t="shared" si="0"/>
        <v>2400</v>
      </c>
      <c r="E9" s="78">
        <f>'2023-2024'!I9</f>
        <v>35739.26700396886</v>
      </c>
      <c r="F9" s="187">
        <f t="shared" si="1"/>
        <v>2400</v>
      </c>
      <c r="G9" s="33">
        <f t="shared" si="2"/>
        <v>0</v>
      </c>
      <c r="H9" s="190">
        <f t="shared" si="3"/>
        <v>2400</v>
      </c>
      <c r="I9" s="78">
        <f t="shared" si="4"/>
        <v>76594.645685414493</v>
      </c>
      <c r="J9" s="78">
        <f t="shared" si="5"/>
        <v>0</v>
      </c>
      <c r="K9" s="78">
        <f t="shared" si="6"/>
        <v>0</v>
      </c>
      <c r="L9" s="78">
        <f t="shared" si="7"/>
        <v>38455.378681445625</v>
      </c>
      <c r="M9" s="194">
        <f t="shared" si="8"/>
        <v>38455.378681445625</v>
      </c>
      <c r="N9" s="78">
        <f t="shared" si="9"/>
        <v>-38455.378681445625</v>
      </c>
      <c r="O9" s="165">
        <v>0</v>
      </c>
      <c r="P9" s="166">
        <f t="shared" si="10"/>
        <v>0</v>
      </c>
      <c r="Q9" s="119">
        <f t="shared" si="11"/>
        <v>35939.26700396886</v>
      </c>
      <c r="R9" s="167">
        <f t="shared" si="12"/>
        <v>1976.6596852182872</v>
      </c>
      <c r="S9" s="165">
        <v>0</v>
      </c>
      <c r="T9" s="166">
        <f t="shared" si="13"/>
        <v>0</v>
      </c>
      <c r="U9" s="33">
        <f t="shared" si="14"/>
        <v>38115.926689187145</v>
      </c>
      <c r="V9" s="167">
        <f t="shared" si="15"/>
        <v>2096.3759679052928</v>
      </c>
      <c r="W9" s="165">
        <v>0</v>
      </c>
      <c r="X9" s="166">
        <f t="shared" si="16"/>
        <v>0</v>
      </c>
      <c r="Y9" s="33">
        <f t="shared" si="17"/>
        <v>40412.302657092441</v>
      </c>
      <c r="Z9" s="167">
        <f t="shared" si="18"/>
        <v>2222.6766461400844</v>
      </c>
      <c r="AA9" s="165">
        <v>0</v>
      </c>
      <c r="AB9" s="166">
        <f t="shared" si="19"/>
        <v>0</v>
      </c>
      <c r="AC9" s="33">
        <f t="shared" si="20"/>
        <v>42834.979303232525</v>
      </c>
      <c r="AD9" s="167">
        <f t="shared" si="21"/>
        <v>2355.9238616777889</v>
      </c>
      <c r="AE9" s="165">
        <v>0</v>
      </c>
      <c r="AF9" s="166">
        <f t="shared" si="22"/>
        <v>0</v>
      </c>
      <c r="AG9" s="33">
        <f t="shared" si="23"/>
        <v>45390.903164910313</v>
      </c>
      <c r="AH9" s="167">
        <f t="shared" si="24"/>
        <v>2496.4996740700672</v>
      </c>
      <c r="AI9" s="165">
        <v>0</v>
      </c>
      <c r="AJ9" s="166">
        <f t="shared" si="25"/>
        <v>0</v>
      </c>
      <c r="AK9" s="33">
        <f t="shared" si="26"/>
        <v>48087.402838980379</v>
      </c>
      <c r="AL9" s="167">
        <f t="shared" si="27"/>
        <v>2644.807156143921</v>
      </c>
      <c r="AM9" s="165">
        <v>0</v>
      </c>
      <c r="AN9" s="166">
        <f t="shared" si="28"/>
        <v>0</v>
      </c>
      <c r="AO9" s="33">
        <f t="shared" si="29"/>
        <v>50932.2099951243</v>
      </c>
      <c r="AP9" s="167">
        <f t="shared" si="30"/>
        <v>2801.2715497318363</v>
      </c>
      <c r="AQ9" s="165">
        <v>0</v>
      </c>
      <c r="AR9" s="166">
        <f t="shared" si="31"/>
        <v>0</v>
      </c>
      <c r="AS9" s="33">
        <f t="shared" si="32"/>
        <v>53933.481544856135</v>
      </c>
      <c r="AT9" s="167">
        <f t="shared" si="33"/>
        <v>3775.3437081399297</v>
      </c>
      <c r="AU9" s="165">
        <v>0</v>
      </c>
      <c r="AV9" s="166">
        <f t="shared" si="34"/>
        <v>0</v>
      </c>
      <c r="AW9" s="33">
        <f t="shared" si="35"/>
        <v>57908.825252996066</v>
      </c>
      <c r="AX9" s="167">
        <f t="shared" si="36"/>
        <v>4053.6177677097248</v>
      </c>
      <c r="AY9" s="165">
        <v>0</v>
      </c>
      <c r="AZ9" s="166">
        <f t="shared" si="37"/>
        <v>0</v>
      </c>
      <c r="BA9" s="33">
        <f t="shared" si="38"/>
        <v>62162.443020705789</v>
      </c>
      <c r="BB9" s="167">
        <f t="shared" si="39"/>
        <v>4351.3710114494052</v>
      </c>
      <c r="BC9" s="165">
        <v>0</v>
      </c>
      <c r="BD9" s="166">
        <f t="shared" si="40"/>
        <v>0</v>
      </c>
      <c r="BE9" s="33">
        <f t="shared" si="41"/>
        <v>66713.814032155191</v>
      </c>
      <c r="BF9" s="167">
        <f t="shared" si="42"/>
        <v>4669.966982250864</v>
      </c>
      <c r="BG9" s="165">
        <v>0</v>
      </c>
      <c r="BH9" s="166">
        <f t="shared" si="43"/>
        <v>0</v>
      </c>
      <c r="BI9" s="33">
        <f t="shared" si="44"/>
        <v>71583.78101440605</v>
      </c>
      <c r="BJ9" s="167">
        <f t="shared" si="45"/>
        <v>5010.864671008424</v>
      </c>
      <c r="BK9" s="87">
        <f t="shared" si="46"/>
        <v>0</v>
      </c>
      <c r="BL9" s="33">
        <f>'2023-2024'!BL9+'2024-2025'!BK9</f>
        <v>2300</v>
      </c>
    </row>
    <row r="10" spans="1:64">
      <c r="A10" s="10" t="s">
        <v>581</v>
      </c>
      <c r="B10" s="10" t="s">
        <v>112</v>
      </c>
      <c r="C10" s="80">
        <v>0</v>
      </c>
      <c r="D10" s="79">
        <f t="shared" si="0"/>
        <v>2400</v>
      </c>
      <c r="E10" s="78">
        <f>'2023-2024'!I10</f>
        <v>22191.424233784794</v>
      </c>
      <c r="F10" s="187">
        <f t="shared" si="1"/>
        <v>2400</v>
      </c>
      <c r="G10" s="33">
        <f t="shared" si="2"/>
        <v>1250</v>
      </c>
      <c r="H10" s="190">
        <f t="shared" si="3"/>
        <v>1150</v>
      </c>
      <c r="I10" s="78">
        <f t="shared" si="4"/>
        <v>46781.280535604121</v>
      </c>
      <c r="J10" s="78">
        <f t="shared" si="5"/>
        <v>0</v>
      </c>
      <c r="K10" s="78">
        <f t="shared" si="6"/>
        <v>68.75</v>
      </c>
      <c r="L10" s="78">
        <f t="shared" si="7"/>
        <v>23439.856301819324</v>
      </c>
      <c r="M10" s="194">
        <f t="shared" si="8"/>
        <v>23439.856301819324</v>
      </c>
      <c r="N10" s="78">
        <f t="shared" si="9"/>
        <v>-22121.106301819324</v>
      </c>
      <c r="O10" s="165">
        <v>0</v>
      </c>
      <c r="P10" s="166">
        <f t="shared" si="10"/>
        <v>0</v>
      </c>
      <c r="Q10" s="119">
        <f t="shared" si="11"/>
        <v>22391.424233784794</v>
      </c>
      <c r="R10" s="167">
        <f t="shared" si="12"/>
        <v>1231.5283328581636</v>
      </c>
      <c r="S10" s="165">
        <v>0</v>
      </c>
      <c r="T10" s="166">
        <f t="shared" si="13"/>
        <v>0</v>
      </c>
      <c r="U10" s="33">
        <f t="shared" si="14"/>
        <v>23822.952566642958</v>
      </c>
      <c r="V10" s="167">
        <f t="shared" si="15"/>
        <v>1310.2623911653627</v>
      </c>
      <c r="W10" s="165">
        <v>250</v>
      </c>
      <c r="X10" s="166">
        <f t="shared" si="16"/>
        <v>0</v>
      </c>
      <c r="Y10" s="33">
        <f t="shared" si="17"/>
        <v>25083.214957808319</v>
      </c>
      <c r="Z10" s="167">
        <f t="shared" si="18"/>
        <v>1365.8268226794576</v>
      </c>
      <c r="AA10" s="165">
        <v>250</v>
      </c>
      <c r="AB10" s="166">
        <f t="shared" si="19"/>
        <v>0</v>
      </c>
      <c r="AC10" s="33">
        <f t="shared" si="20"/>
        <v>26399.041780487776</v>
      </c>
      <c r="AD10" s="167">
        <f t="shared" si="21"/>
        <v>1438.1972979268278</v>
      </c>
      <c r="AE10" s="165">
        <v>250</v>
      </c>
      <c r="AF10" s="166">
        <f t="shared" si="22"/>
        <v>0</v>
      </c>
      <c r="AG10" s="33">
        <f t="shared" si="23"/>
        <v>27787.239078414605</v>
      </c>
      <c r="AH10" s="167">
        <f t="shared" si="24"/>
        <v>1514.5481493128032</v>
      </c>
      <c r="AI10" s="165">
        <v>250</v>
      </c>
      <c r="AJ10" s="166">
        <f t="shared" si="25"/>
        <v>0</v>
      </c>
      <c r="AK10" s="33">
        <f t="shared" si="26"/>
        <v>29251.787227727407</v>
      </c>
      <c r="AL10" s="167">
        <f t="shared" si="27"/>
        <v>1595.0982975250074</v>
      </c>
      <c r="AM10" s="165">
        <v>250</v>
      </c>
      <c r="AN10" s="166">
        <f t="shared" si="28"/>
        <v>0</v>
      </c>
      <c r="AO10" s="33">
        <f t="shared" si="29"/>
        <v>30796.885525252415</v>
      </c>
      <c r="AP10" s="167">
        <f t="shared" si="30"/>
        <v>1680.078703888883</v>
      </c>
      <c r="AQ10" s="165">
        <v>0</v>
      </c>
      <c r="AR10" s="166">
        <f t="shared" si="31"/>
        <v>0</v>
      </c>
      <c r="AS10" s="33">
        <f t="shared" si="32"/>
        <v>32676.964229141297</v>
      </c>
      <c r="AT10" s="167">
        <f t="shared" si="33"/>
        <v>2287.3874960398912</v>
      </c>
      <c r="AU10" s="165">
        <v>0</v>
      </c>
      <c r="AV10" s="166">
        <f t="shared" si="34"/>
        <v>0</v>
      </c>
      <c r="AW10" s="33">
        <f t="shared" si="35"/>
        <v>35164.351725181186</v>
      </c>
      <c r="AX10" s="167">
        <f t="shared" si="36"/>
        <v>2461.5046207626833</v>
      </c>
      <c r="AY10" s="165">
        <v>0</v>
      </c>
      <c r="AZ10" s="166">
        <f t="shared" si="37"/>
        <v>0</v>
      </c>
      <c r="BA10" s="33">
        <f t="shared" si="38"/>
        <v>37825.856345943866</v>
      </c>
      <c r="BB10" s="167">
        <f t="shared" si="39"/>
        <v>2647.809944216071</v>
      </c>
      <c r="BC10" s="165">
        <v>0</v>
      </c>
      <c r="BD10" s="166">
        <f t="shared" si="40"/>
        <v>0</v>
      </c>
      <c r="BE10" s="33">
        <f t="shared" si="41"/>
        <v>40673.666290159934</v>
      </c>
      <c r="BF10" s="167">
        <f t="shared" si="42"/>
        <v>2847.1566403111956</v>
      </c>
      <c r="BG10" s="165">
        <v>0</v>
      </c>
      <c r="BH10" s="166">
        <f t="shared" si="43"/>
        <v>0</v>
      </c>
      <c r="BI10" s="33">
        <f t="shared" si="44"/>
        <v>43720.822930471128</v>
      </c>
      <c r="BJ10" s="167">
        <f t="shared" si="45"/>
        <v>3060.4576051329791</v>
      </c>
      <c r="BK10" s="87">
        <f t="shared" si="46"/>
        <v>1250</v>
      </c>
      <c r="BL10" s="33">
        <f>'2023-2024'!BL10+'2024-2025'!BK10</f>
        <v>7150</v>
      </c>
    </row>
    <row r="11" spans="1:64">
      <c r="A11" s="10" t="s">
        <v>582</v>
      </c>
      <c r="B11" s="10" t="s">
        <v>138</v>
      </c>
      <c r="C11" s="80">
        <v>0</v>
      </c>
      <c r="D11" s="79">
        <f t="shared" si="0"/>
        <v>2400</v>
      </c>
      <c r="E11" s="78">
        <f>'2023-2024'!I11</f>
        <v>34806.826444047801</v>
      </c>
      <c r="F11" s="187">
        <f t="shared" si="1"/>
        <v>2400</v>
      </c>
      <c r="G11" s="33">
        <f t="shared" si="2"/>
        <v>0</v>
      </c>
      <c r="H11" s="190">
        <f t="shared" si="3"/>
        <v>2400</v>
      </c>
      <c r="I11" s="78">
        <f t="shared" si="4"/>
        <v>74692.221921050135</v>
      </c>
      <c r="J11" s="78">
        <f t="shared" si="5"/>
        <v>0</v>
      </c>
      <c r="K11" s="78">
        <f t="shared" si="6"/>
        <v>0</v>
      </c>
      <c r="L11" s="78">
        <f t="shared" si="7"/>
        <v>37485.395477002327</v>
      </c>
      <c r="M11" s="194">
        <f t="shared" si="8"/>
        <v>37485.395477002327</v>
      </c>
      <c r="N11" s="78">
        <f t="shared" si="9"/>
        <v>-37485.395477002327</v>
      </c>
      <c r="O11" s="165">
        <v>0</v>
      </c>
      <c r="P11" s="166">
        <f t="shared" si="10"/>
        <v>0</v>
      </c>
      <c r="Q11" s="119">
        <f t="shared" si="11"/>
        <v>35006.826444047801</v>
      </c>
      <c r="R11" s="167">
        <f t="shared" si="12"/>
        <v>1925.375454422629</v>
      </c>
      <c r="S11" s="165">
        <v>0</v>
      </c>
      <c r="T11" s="166">
        <f t="shared" si="13"/>
        <v>0</v>
      </c>
      <c r="U11" s="33">
        <f t="shared" si="14"/>
        <v>37132.201898470434</v>
      </c>
      <c r="V11" s="167">
        <f t="shared" si="15"/>
        <v>2042.2711044158739</v>
      </c>
      <c r="W11" s="165">
        <v>0</v>
      </c>
      <c r="X11" s="166">
        <f t="shared" si="16"/>
        <v>0</v>
      </c>
      <c r="Y11" s="33">
        <f t="shared" si="17"/>
        <v>39374.473002886305</v>
      </c>
      <c r="Z11" s="167">
        <f t="shared" si="18"/>
        <v>2165.5960151587469</v>
      </c>
      <c r="AA11" s="165">
        <v>0</v>
      </c>
      <c r="AB11" s="166">
        <f t="shared" si="19"/>
        <v>0</v>
      </c>
      <c r="AC11" s="33">
        <f t="shared" si="20"/>
        <v>41740.069018045055</v>
      </c>
      <c r="AD11" s="167">
        <f t="shared" si="21"/>
        <v>2295.7037959924778</v>
      </c>
      <c r="AE11" s="165">
        <v>0</v>
      </c>
      <c r="AF11" s="166">
        <f t="shared" si="22"/>
        <v>0</v>
      </c>
      <c r="AG11" s="33">
        <f t="shared" si="23"/>
        <v>44235.772814037533</v>
      </c>
      <c r="AH11" s="167">
        <f t="shared" si="24"/>
        <v>2432.9675047720643</v>
      </c>
      <c r="AI11" s="165">
        <v>0</v>
      </c>
      <c r="AJ11" s="166">
        <f t="shared" si="25"/>
        <v>0</v>
      </c>
      <c r="AK11" s="33">
        <f t="shared" si="26"/>
        <v>46868.7403188096</v>
      </c>
      <c r="AL11" s="167">
        <f t="shared" si="27"/>
        <v>2577.7807175345279</v>
      </c>
      <c r="AM11" s="165">
        <v>0</v>
      </c>
      <c r="AN11" s="166">
        <f t="shared" si="28"/>
        <v>0</v>
      </c>
      <c r="AO11" s="33">
        <f t="shared" si="29"/>
        <v>49646.521036344129</v>
      </c>
      <c r="AP11" s="167">
        <f t="shared" si="30"/>
        <v>2730.5586569989273</v>
      </c>
      <c r="AQ11" s="165">
        <v>0</v>
      </c>
      <c r="AR11" s="166">
        <f t="shared" si="31"/>
        <v>0</v>
      </c>
      <c r="AS11" s="33">
        <f t="shared" si="32"/>
        <v>52577.079693343054</v>
      </c>
      <c r="AT11" s="167">
        <f t="shared" si="33"/>
        <v>3680.395578534014</v>
      </c>
      <c r="AU11" s="165">
        <v>0</v>
      </c>
      <c r="AV11" s="166">
        <f t="shared" si="34"/>
        <v>0</v>
      </c>
      <c r="AW11" s="33">
        <f t="shared" si="35"/>
        <v>56457.475271877069</v>
      </c>
      <c r="AX11" s="167">
        <f t="shared" si="36"/>
        <v>3952.0232690313951</v>
      </c>
      <c r="AY11" s="165">
        <v>0</v>
      </c>
      <c r="AZ11" s="166">
        <f t="shared" si="37"/>
        <v>0</v>
      </c>
      <c r="BA11" s="33">
        <f t="shared" si="38"/>
        <v>60609.498540908462</v>
      </c>
      <c r="BB11" s="167">
        <f t="shared" si="39"/>
        <v>4242.6648978635931</v>
      </c>
      <c r="BC11" s="165">
        <v>0</v>
      </c>
      <c r="BD11" s="166">
        <f t="shared" si="40"/>
        <v>0</v>
      </c>
      <c r="BE11" s="33">
        <f t="shared" si="41"/>
        <v>65052.163438772055</v>
      </c>
      <c r="BF11" s="167">
        <f t="shared" si="42"/>
        <v>4553.6514407140439</v>
      </c>
      <c r="BG11" s="165">
        <v>0</v>
      </c>
      <c r="BH11" s="166">
        <f t="shared" si="43"/>
        <v>0</v>
      </c>
      <c r="BI11" s="33">
        <f t="shared" si="44"/>
        <v>69805.814879486104</v>
      </c>
      <c r="BJ11" s="167">
        <f t="shared" si="45"/>
        <v>4886.4070415640281</v>
      </c>
      <c r="BK11" s="87">
        <f t="shared" si="46"/>
        <v>0</v>
      </c>
      <c r="BL11" s="33">
        <f>'2023-2024'!BL11+'2024-2025'!BK11</f>
        <v>3700</v>
      </c>
    </row>
    <row r="12" spans="1:64">
      <c r="A12" s="10" t="s">
        <v>583</v>
      </c>
      <c r="B12" s="10" t="s">
        <v>113</v>
      </c>
      <c r="C12" s="80">
        <v>0</v>
      </c>
      <c r="D12" s="79">
        <f t="shared" si="0"/>
        <v>2400</v>
      </c>
      <c r="E12" s="78">
        <f>'2023-2024'!I12</f>
        <v>18464.177410068227</v>
      </c>
      <c r="F12" s="187">
        <f t="shared" si="1"/>
        <v>2400</v>
      </c>
      <c r="G12" s="33">
        <f t="shared" si="2"/>
        <v>0</v>
      </c>
      <c r="H12" s="190">
        <f t="shared" si="3"/>
        <v>2400</v>
      </c>
      <c r="I12" s="78">
        <f t="shared" si="4"/>
        <v>41348.923451127986</v>
      </c>
      <c r="J12" s="78">
        <f t="shared" si="5"/>
        <v>0</v>
      </c>
      <c r="K12" s="78">
        <f t="shared" si="6"/>
        <v>0</v>
      </c>
      <c r="L12" s="78">
        <f t="shared" si="7"/>
        <v>20484.74604105976</v>
      </c>
      <c r="M12" s="194">
        <f t="shared" si="8"/>
        <v>20484.74604105976</v>
      </c>
      <c r="N12" s="78">
        <f t="shared" si="9"/>
        <v>-20484.74604105976</v>
      </c>
      <c r="O12" s="165">
        <v>0</v>
      </c>
      <c r="P12" s="166">
        <f t="shared" si="10"/>
        <v>0</v>
      </c>
      <c r="Q12" s="119">
        <f t="shared" si="11"/>
        <v>18664.177410068227</v>
      </c>
      <c r="R12" s="167">
        <f t="shared" si="12"/>
        <v>1026.5297575537525</v>
      </c>
      <c r="S12" s="165">
        <v>0</v>
      </c>
      <c r="T12" s="166">
        <f t="shared" si="13"/>
        <v>0</v>
      </c>
      <c r="U12" s="33">
        <f t="shared" si="14"/>
        <v>19890.707167621978</v>
      </c>
      <c r="V12" s="167">
        <f t="shared" si="15"/>
        <v>1093.9888942192088</v>
      </c>
      <c r="W12" s="165">
        <v>0</v>
      </c>
      <c r="X12" s="166">
        <f t="shared" si="16"/>
        <v>0</v>
      </c>
      <c r="Y12" s="33">
        <f t="shared" si="17"/>
        <v>21184.696061841187</v>
      </c>
      <c r="Z12" s="167">
        <f t="shared" si="18"/>
        <v>1165.1582834012652</v>
      </c>
      <c r="AA12" s="165">
        <v>0</v>
      </c>
      <c r="AB12" s="166">
        <f t="shared" si="19"/>
        <v>0</v>
      </c>
      <c r="AC12" s="33">
        <f t="shared" si="20"/>
        <v>22549.854345242453</v>
      </c>
      <c r="AD12" s="167">
        <f t="shared" si="21"/>
        <v>1240.2419889883349</v>
      </c>
      <c r="AE12" s="165">
        <v>0</v>
      </c>
      <c r="AF12" s="166">
        <f t="shared" si="22"/>
        <v>0</v>
      </c>
      <c r="AG12" s="33">
        <f t="shared" si="23"/>
        <v>23990.096334230788</v>
      </c>
      <c r="AH12" s="167">
        <f t="shared" si="24"/>
        <v>1319.4552983826934</v>
      </c>
      <c r="AI12" s="165">
        <v>0</v>
      </c>
      <c r="AJ12" s="166">
        <f t="shared" si="25"/>
        <v>0</v>
      </c>
      <c r="AK12" s="33">
        <f t="shared" si="26"/>
        <v>25509.551632613482</v>
      </c>
      <c r="AL12" s="167">
        <f t="shared" si="27"/>
        <v>1403.0253397937415</v>
      </c>
      <c r="AM12" s="165">
        <v>0</v>
      </c>
      <c r="AN12" s="166">
        <f t="shared" si="28"/>
        <v>0</v>
      </c>
      <c r="AO12" s="33">
        <f t="shared" si="29"/>
        <v>27112.576972407223</v>
      </c>
      <c r="AP12" s="167">
        <f t="shared" si="30"/>
        <v>1491.1917334823972</v>
      </c>
      <c r="AQ12" s="165">
        <v>0</v>
      </c>
      <c r="AR12" s="166">
        <f t="shared" si="31"/>
        <v>0</v>
      </c>
      <c r="AS12" s="33">
        <f t="shared" si="32"/>
        <v>28803.768705889619</v>
      </c>
      <c r="AT12" s="167">
        <f t="shared" si="33"/>
        <v>2016.2638094122735</v>
      </c>
      <c r="AU12" s="165">
        <v>0</v>
      </c>
      <c r="AV12" s="166">
        <f t="shared" si="34"/>
        <v>0</v>
      </c>
      <c r="AW12" s="33">
        <f t="shared" si="35"/>
        <v>31020.032515301893</v>
      </c>
      <c r="AX12" s="167">
        <f t="shared" si="36"/>
        <v>2171.4022760711327</v>
      </c>
      <c r="AY12" s="165">
        <v>0</v>
      </c>
      <c r="AZ12" s="166">
        <f t="shared" si="37"/>
        <v>0</v>
      </c>
      <c r="BA12" s="33">
        <f t="shared" si="38"/>
        <v>33391.434791373023</v>
      </c>
      <c r="BB12" s="167">
        <f t="shared" si="39"/>
        <v>2337.4004353961118</v>
      </c>
      <c r="BC12" s="165">
        <v>0</v>
      </c>
      <c r="BD12" s="166">
        <f t="shared" si="40"/>
        <v>0</v>
      </c>
      <c r="BE12" s="33">
        <f t="shared" si="41"/>
        <v>35928.835226769137</v>
      </c>
      <c r="BF12" s="167">
        <f t="shared" si="42"/>
        <v>2515.0184658738399</v>
      </c>
      <c r="BG12" s="165">
        <v>0</v>
      </c>
      <c r="BH12" s="166">
        <f t="shared" si="43"/>
        <v>0</v>
      </c>
      <c r="BI12" s="33">
        <f t="shared" si="44"/>
        <v>38643.853692642981</v>
      </c>
      <c r="BJ12" s="167">
        <f t="shared" si="45"/>
        <v>2705.0697584850091</v>
      </c>
      <c r="BK12" s="87">
        <f t="shared" si="46"/>
        <v>0</v>
      </c>
      <c r="BL12" s="33">
        <f>'2023-2024'!BL12+'2024-2025'!BK12</f>
        <v>6350</v>
      </c>
    </row>
    <row r="13" spans="1:64">
      <c r="A13" s="10" t="s">
        <v>584</v>
      </c>
      <c r="B13" s="10" t="s">
        <v>114</v>
      </c>
      <c r="C13" s="80">
        <v>0</v>
      </c>
      <c r="D13" s="79">
        <f t="shared" si="0"/>
        <v>2400</v>
      </c>
      <c r="E13" s="78">
        <f>'2023-2024'!I13</f>
        <v>10346.705186332652</v>
      </c>
      <c r="F13" s="187">
        <f t="shared" si="1"/>
        <v>2400</v>
      </c>
      <c r="G13" s="33">
        <f t="shared" si="2"/>
        <v>0</v>
      </c>
      <c r="H13" s="190">
        <f t="shared" si="3"/>
        <v>2400</v>
      </c>
      <c r="I13" s="78">
        <f t="shared" si="4"/>
        <v>24787.147045445185</v>
      </c>
      <c r="J13" s="78">
        <f t="shared" si="5"/>
        <v>0</v>
      </c>
      <c r="K13" s="78">
        <f t="shared" si="6"/>
        <v>0</v>
      </c>
      <c r="L13" s="78">
        <f t="shared" si="7"/>
        <v>12040.441859112532</v>
      </c>
      <c r="M13" s="194">
        <f t="shared" si="8"/>
        <v>12040.441859112532</v>
      </c>
      <c r="N13" s="78">
        <f t="shared" si="9"/>
        <v>-12040.441859112532</v>
      </c>
      <c r="O13" s="165">
        <v>0</v>
      </c>
      <c r="P13" s="166">
        <f t="shared" si="10"/>
        <v>0</v>
      </c>
      <c r="Q13" s="119">
        <f t="shared" si="11"/>
        <v>10546.705186332652</v>
      </c>
      <c r="R13" s="167">
        <f t="shared" si="12"/>
        <v>580.06878524829585</v>
      </c>
      <c r="S13" s="165">
        <v>0</v>
      </c>
      <c r="T13" s="166">
        <f t="shared" si="13"/>
        <v>0</v>
      </c>
      <c r="U13" s="33">
        <f t="shared" si="14"/>
        <v>11326.773971580948</v>
      </c>
      <c r="V13" s="167">
        <f t="shared" si="15"/>
        <v>622.97256843695209</v>
      </c>
      <c r="W13" s="165">
        <v>0</v>
      </c>
      <c r="X13" s="166">
        <f t="shared" si="16"/>
        <v>0</v>
      </c>
      <c r="Y13" s="33">
        <f t="shared" si="17"/>
        <v>12149.746540017899</v>
      </c>
      <c r="Z13" s="167">
        <f t="shared" si="18"/>
        <v>668.23605970098447</v>
      </c>
      <c r="AA13" s="165">
        <v>0</v>
      </c>
      <c r="AB13" s="166">
        <f t="shared" si="19"/>
        <v>0</v>
      </c>
      <c r="AC13" s="33">
        <f t="shared" si="20"/>
        <v>13017.982599718884</v>
      </c>
      <c r="AD13" s="167">
        <f t="shared" si="21"/>
        <v>715.98904298453863</v>
      </c>
      <c r="AE13" s="165">
        <v>0</v>
      </c>
      <c r="AF13" s="166">
        <f t="shared" si="22"/>
        <v>0</v>
      </c>
      <c r="AG13" s="33">
        <f t="shared" si="23"/>
        <v>13933.971642703422</v>
      </c>
      <c r="AH13" s="167">
        <f t="shared" si="24"/>
        <v>766.36844034868818</v>
      </c>
      <c r="AI13" s="165">
        <v>0</v>
      </c>
      <c r="AJ13" s="166">
        <f t="shared" si="25"/>
        <v>0</v>
      </c>
      <c r="AK13" s="33">
        <f t="shared" si="26"/>
        <v>14900.34008305211</v>
      </c>
      <c r="AL13" s="167">
        <f t="shared" si="27"/>
        <v>819.51870456786605</v>
      </c>
      <c r="AM13" s="165">
        <v>0</v>
      </c>
      <c r="AN13" s="166">
        <f t="shared" si="28"/>
        <v>0</v>
      </c>
      <c r="AO13" s="33">
        <f t="shared" si="29"/>
        <v>15919.858787619976</v>
      </c>
      <c r="AP13" s="167">
        <f t="shared" si="30"/>
        <v>875.59223331909868</v>
      </c>
      <c r="AQ13" s="165">
        <v>0</v>
      </c>
      <c r="AR13" s="166">
        <f t="shared" si="31"/>
        <v>0</v>
      </c>
      <c r="AS13" s="33">
        <f t="shared" si="32"/>
        <v>16995.451020939076</v>
      </c>
      <c r="AT13" s="167">
        <f t="shared" si="33"/>
        <v>1189.6815714657355</v>
      </c>
      <c r="AU13" s="165">
        <v>0</v>
      </c>
      <c r="AV13" s="166">
        <f t="shared" si="34"/>
        <v>0</v>
      </c>
      <c r="AW13" s="33">
        <f t="shared" si="35"/>
        <v>18385.132592404811</v>
      </c>
      <c r="AX13" s="167">
        <f t="shared" si="36"/>
        <v>1286.9592814683369</v>
      </c>
      <c r="AY13" s="165">
        <v>0</v>
      </c>
      <c r="AZ13" s="166">
        <f t="shared" si="37"/>
        <v>0</v>
      </c>
      <c r="BA13" s="33">
        <f t="shared" si="38"/>
        <v>19872.091873873149</v>
      </c>
      <c r="BB13" s="167">
        <f t="shared" si="39"/>
        <v>1391.0464311711205</v>
      </c>
      <c r="BC13" s="165">
        <v>0</v>
      </c>
      <c r="BD13" s="166">
        <f t="shared" si="40"/>
        <v>0</v>
      </c>
      <c r="BE13" s="33">
        <f t="shared" si="41"/>
        <v>21463.138305044271</v>
      </c>
      <c r="BF13" s="167">
        <f t="shared" si="42"/>
        <v>1502.4196813530991</v>
      </c>
      <c r="BG13" s="165">
        <v>0</v>
      </c>
      <c r="BH13" s="166">
        <f t="shared" si="43"/>
        <v>0</v>
      </c>
      <c r="BI13" s="33">
        <f t="shared" si="44"/>
        <v>23165.557986397369</v>
      </c>
      <c r="BJ13" s="167">
        <f t="shared" si="45"/>
        <v>1621.5890590478159</v>
      </c>
      <c r="BK13" s="87">
        <f t="shared" si="46"/>
        <v>0</v>
      </c>
      <c r="BL13" s="33">
        <f>'2023-2024'!BL13+'2024-2025'!BK13</f>
        <v>9550</v>
      </c>
    </row>
    <row r="14" spans="1:64">
      <c r="A14" s="10" t="s">
        <v>585</v>
      </c>
      <c r="B14" s="10" t="s">
        <v>115</v>
      </c>
      <c r="C14" s="80">
        <v>0</v>
      </c>
      <c r="D14" s="79">
        <f t="shared" si="0"/>
        <v>2400</v>
      </c>
      <c r="E14" s="78">
        <f>'2023-2024'!I14</f>
        <v>16590.97492398262</v>
      </c>
      <c r="F14" s="187">
        <f t="shared" si="1"/>
        <v>2400</v>
      </c>
      <c r="G14" s="33">
        <f t="shared" si="2"/>
        <v>0</v>
      </c>
      <c r="H14" s="190">
        <f t="shared" si="3"/>
        <v>2400</v>
      </c>
      <c r="I14" s="78">
        <f t="shared" si="4"/>
        <v>37527.098148614998</v>
      </c>
      <c r="J14" s="78">
        <f t="shared" si="5"/>
        <v>0</v>
      </c>
      <c r="K14" s="78">
        <f t="shared" si="6"/>
        <v>0</v>
      </c>
      <c r="L14" s="78">
        <f t="shared" si="7"/>
        <v>18536.123224632382</v>
      </c>
      <c r="M14" s="194">
        <f t="shared" si="8"/>
        <v>18536.123224632382</v>
      </c>
      <c r="N14" s="78">
        <f t="shared" si="9"/>
        <v>-18536.123224632382</v>
      </c>
      <c r="O14" s="165">
        <v>0</v>
      </c>
      <c r="P14" s="166">
        <f t="shared" si="10"/>
        <v>0</v>
      </c>
      <c r="Q14" s="119">
        <f t="shared" si="11"/>
        <v>16790.97492398262</v>
      </c>
      <c r="R14" s="167">
        <f t="shared" si="12"/>
        <v>923.50362081904404</v>
      </c>
      <c r="S14" s="165">
        <v>0</v>
      </c>
      <c r="T14" s="166">
        <f t="shared" si="13"/>
        <v>0</v>
      </c>
      <c r="U14" s="33">
        <f t="shared" si="14"/>
        <v>17914.478544801663</v>
      </c>
      <c r="V14" s="167">
        <f t="shared" si="15"/>
        <v>985.29631996409148</v>
      </c>
      <c r="W14" s="165">
        <v>0</v>
      </c>
      <c r="X14" s="166">
        <f t="shared" si="16"/>
        <v>0</v>
      </c>
      <c r="Y14" s="33">
        <f t="shared" si="17"/>
        <v>19099.774864765754</v>
      </c>
      <c r="Z14" s="167">
        <f t="shared" si="18"/>
        <v>1050.4876175621164</v>
      </c>
      <c r="AA14" s="165">
        <v>0</v>
      </c>
      <c r="AB14" s="166">
        <f t="shared" si="19"/>
        <v>0</v>
      </c>
      <c r="AC14" s="33">
        <f t="shared" si="20"/>
        <v>20350.262482327871</v>
      </c>
      <c r="AD14" s="167">
        <f t="shared" si="21"/>
        <v>1119.264436528033</v>
      </c>
      <c r="AE14" s="165">
        <v>0</v>
      </c>
      <c r="AF14" s="166">
        <f t="shared" si="22"/>
        <v>0</v>
      </c>
      <c r="AG14" s="33">
        <f t="shared" si="23"/>
        <v>21669.526918855903</v>
      </c>
      <c r="AH14" s="167">
        <f t="shared" si="24"/>
        <v>1191.8239805370747</v>
      </c>
      <c r="AI14" s="165">
        <v>0</v>
      </c>
      <c r="AJ14" s="166">
        <f t="shared" si="25"/>
        <v>0</v>
      </c>
      <c r="AK14" s="33">
        <f t="shared" si="26"/>
        <v>23061.350899392979</v>
      </c>
      <c r="AL14" s="167">
        <f t="shared" si="27"/>
        <v>1268.3742994666138</v>
      </c>
      <c r="AM14" s="165">
        <v>0</v>
      </c>
      <c r="AN14" s="166">
        <f t="shared" si="28"/>
        <v>0</v>
      </c>
      <c r="AO14" s="33">
        <f t="shared" si="29"/>
        <v>24529.725198859593</v>
      </c>
      <c r="AP14" s="167">
        <f t="shared" si="30"/>
        <v>1349.1348859372777</v>
      </c>
      <c r="AQ14" s="165">
        <v>0</v>
      </c>
      <c r="AR14" s="166">
        <f t="shared" si="31"/>
        <v>0</v>
      </c>
      <c r="AS14" s="33">
        <f t="shared" si="32"/>
        <v>26078.86008479687</v>
      </c>
      <c r="AT14" s="167">
        <f t="shared" si="33"/>
        <v>1825.5202059357812</v>
      </c>
      <c r="AU14" s="165">
        <v>0</v>
      </c>
      <c r="AV14" s="166">
        <f t="shared" si="34"/>
        <v>0</v>
      </c>
      <c r="AW14" s="33">
        <f t="shared" si="35"/>
        <v>28104.38029073265</v>
      </c>
      <c r="AX14" s="167">
        <f t="shared" si="36"/>
        <v>1967.3066203512856</v>
      </c>
      <c r="AY14" s="165">
        <v>0</v>
      </c>
      <c r="AZ14" s="166">
        <f t="shared" si="37"/>
        <v>0</v>
      </c>
      <c r="BA14" s="33">
        <f t="shared" si="38"/>
        <v>30271.686911083936</v>
      </c>
      <c r="BB14" s="167">
        <f t="shared" si="39"/>
        <v>2119.0180837758758</v>
      </c>
      <c r="BC14" s="165">
        <v>0</v>
      </c>
      <c r="BD14" s="166">
        <f t="shared" si="40"/>
        <v>0</v>
      </c>
      <c r="BE14" s="33">
        <f t="shared" si="41"/>
        <v>32590.704994859811</v>
      </c>
      <c r="BF14" s="167">
        <f t="shared" si="42"/>
        <v>2281.349349640187</v>
      </c>
      <c r="BG14" s="165">
        <v>0</v>
      </c>
      <c r="BH14" s="166">
        <f t="shared" si="43"/>
        <v>0</v>
      </c>
      <c r="BI14" s="33">
        <f t="shared" si="44"/>
        <v>35072.0543445</v>
      </c>
      <c r="BJ14" s="167">
        <f t="shared" si="45"/>
        <v>2455.0438041150001</v>
      </c>
      <c r="BK14" s="87">
        <f t="shared" si="46"/>
        <v>0</v>
      </c>
      <c r="BL14" s="33">
        <f>'2023-2024'!BL14+'2024-2025'!BK14</f>
        <v>6700</v>
      </c>
    </row>
    <row r="15" spans="1:64">
      <c r="A15" s="10" t="s">
        <v>586</v>
      </c>
      <c r="B15" s="10" t="s">
        <v>116</v>
      </c>
      <c r="C15" s="80">
        <v>0</v>
      </c>
      <c r="D15" s="79">
        <f t="shared" si="0"/>
        <v>2400</v>
      </c>
      <c r="E15" s="78">
        <f>'2023-2024'!I15</f>
        <v>41264.11360032278</v>
      </c>
      <c r="F15" s="187">
        <f t="shared" si="1"/>
        <v>2400</v>
      </c>
      <c r="G15" s="33">
        <f t="shared" si="2"/>
        <v>0</v>
      </c>
      <c r="H15" s="190">
        <f t="shared" si="3"/>
        <v>2400</v>
      </c>
      <c r="I15" s="78">
        <f t="shared" si="4"/>
        <v>87866.784533880229</v>
      </c>
      <c r="J15" s="78">
        <f t="shared" si="5"/>
        <v>0</v>
      </c>
      <c r="K15" s="78">
        <f t="shared" si="6"/>
        <v>0</v>
      </c>
      <c r="L15" s="78">
        <f t="shared" si="7"/>
        <v>44202.670933557449</v>
      </c>
      <c r="M15" s="194">
        <f t="shared" si="8"/>
        <v>44202.670933557449</v>
      </c>
      <c r="N15" s="78">
        <f t="shared" si="9"/>
        <v>-44202.670933557449</v>
      </c>
      <c r="O15" s="165">
        <v>0</v>
      </c>
      <c r="P15" s="166">
        <f t="shared" si="10"/>
        <v>0</v>
      </c>
      <c r="Q15" s="119">
        <f t="shared" si="11"/>
        <v>41464.11360032278</v>
      </c>
      <c r="R15" s="167">
        <f t="shared" si="12"/>
        <v>2280.526248017753</v>
      </c>
      <c r="S15" s="165">
        <v>0</v>
      </c>
      <c r="T15" s="166">
        <f t="shared" si="13"/>
        <v>0</v>
      </c>
      <c r="U15" s="33">
        <f t="shared" si="14"/>
        <v>43944.639848340536</v>
      </c>
      <c r="V15" s="167">
        <f t="shared" si="15"/>
        <v>2416.9551916587293</v>
      </c>
      <c r="W15" s="165">
        <v>0</v>
      </c>
      <c r="X15" s="166">
        <f t="shared" si="16"/>
        <v>0</v>
      </c>
      <c r="Y15" s="33">
        <f t="shared" si="17"/>
        <v>46561.595039999265</v>
      </c>
      <c r="Z15" s="167">
        <f t="shared" si="18"/>
        <v>2560.8877271999595</v>
      </c>
      <c r="AA15" s="165">
        <v>0</v>
      </c>
      <c r="AB15" s="166">
        <f t="shared" si="19"/>
        <v>0</v>
      </c>
      <c r="AC15" s="33">
        <f t="shared" si="20"/>
        <v>49322.482767199224</v>
      </c>
      <c r="AD15" s="167">
        <f t="shared" si="21"/>
        <v>2712.7365521959573</v>
      </c>
      <c r="AE15" s="165">
        <v>0</v>
      </c>
      <c r="AF15" s="166">
        <f t="shared" si="22"/>
        <v>0</v>
      </c>
      <c r="AG15" s="33">
        <f t="shared" si="23"/>
        <v>52235.219319395183</v>
      </c>
      <c r="AH15" s="167">
        <f t="shared" si="24"/>
        <v>2872.9370625667352</v>
      </c>
      <c r="AI15" s="165">
        <v>0</v>
      </c>
      <c r="AJ15" s="166">
        <f t="shared" si="25"/>
        <v>0</v>
      </c>
      <c r="AK15" s="33">
        <f t="shared" si="26"/>
        <v>55308.156381961919</v>
      </c>
      <c r="AL15" s="167">
        <f t="shared" si="27"/>
        <v>3041.9486010079054</v>
      </c>
      <c r="AM15" s="165">
        <v>0</v>
      </c>
      <c r="AN15" s="166">
        <f t="shared" si="28"/>
        <v>0</v>
      </c>
      <c r="AO15" s="33">
        <f t="shared" si="29"/>
        <v>58550.104982969824</v>
      </c>
      <c r="AP15" s="167">
        <f t="shared" si="30"/>
        <v>3220.2557740633401</v>
      </c>
      <c r="AQ15" s="165">
        <v>0</v>
      </c>
      <c r="AR15" s="166">
        <f t="shared" si="31"/>
        <v>0</v>
      </c>
      <c r="AS15" s="33">
        <f t="shared" si="32"/>
        <v>61970.360757033166</v>
      </c>
      <c r="AT15" s="167">
        <f t="shared" si="33"/>
        <v>4337.9252529923224</v>
      </c>
      <c r="AU15" s="165">
        <v>0</v>
      </c>
      <c r="AV15" s="166">
        <f t="shared" si="34"/>
        <v>0</v>
      </c>
      <c r="AW15" s="33">
        <f t="shared" si="35"/>
        <v>66508.286010025491</v>
      </c>
      <c r="AX15" s="167">
        <f t="shared" si="36"/>
        <v>4655.5800207017846</v>
      </c>
      <c r="AY15" s="165">
        <v>0</v>
      </c>
      <c r="AZ15" s="166">
        <f t="shared" si="37"/>
        <v>0</v>
      </c>
      <c r="BA15" s="33">
        <f t="shared" si="38"/>
        <v>71363.86603072728</v>
      </c>
      <c r="BB15" s="167">
        <f t="shared" si="39"/>
        <v>4995.4706221509105</v>
      </c>
      <c r="BC15" s="165">
        <v>0</v>
      </c>
      <c r="BD15" s="166">
        <f t="shared" si="40"/>
        <v>0</v>
      </c>
      <c r="BE15" s="33">
        <f t="shared" si="41"/>
        <v>76559.336652878192</v>
      </c>
      <c r="BF15" s="167">
        <f t="shared" si="42"/>
        <v>5359.1535657014738</v>
      </c>
      <c r="BG15" s="165">
        <v>0</v>
      </c>
      <c r="BH15" s="166">
        <f t="shared" si="43"/>
        <v>0</v>
      </c>
      <c r="BI15" s="33">
        <f t="shared" si="44"/>
        <v>82118.490218579667</v>
      </c>
      <c r="BJ15" s="167">
        <f t="shared" si="45"/>
        <v>5748.2943153005772</v>
      </c>
      <c r="BK15" s="87">
        <f t="shared" si="46"/>
        <v>0</v>
      </c>
      <c r="BL15" s="33">
        <f>'2023-2024'!BL15+'2024-2025'!BK15</f>
        <v>2100</v>
      </c>
    </row>
    <row r="16" spans="1:64">
      <c r="A16" s="10" t="s">
        <v>587</v>
      </c>
      <c r="B16" s="10"/>
      <c r="C16" s="80">
        <v>0</v>
      </c>
      <c r="D16" s="79">
        <f t="shared" si="0"/>
        <v>2400</v>
      </c>
      <c r="E16" s="78">
        <f>'2023-2024'!I16</f>
        <v>35739.26700396886</v>
      </c>
      <c r="F16" s="187">
        <f t="shared" si="1"/>
        <v>2400</v>
      </c>
      <c r="G16" s="33">
        <f t="shared" si="2"/>
        <v>0</v>
      </c>
      <c r="H16" s="190">
        <f t="shared" si="3"/>
        <v>2400</v>
      </c>
      <c r="I16" s="78">
        <f t="shared" si="4"/>
        <v>76594.645685414493</v>
      </c>
      <c r="J16" s="78">
        <f t="shared" si="5"/>
        <v>0</v>
      </c>
      <c r="K16" s="78">
        <f t="shared" si="6"/>
        <v>0</v>
      </c>
      <c r="L16" s="78">
        <f t="shared" si="7"/>
        <v>38455.378681445625</v>
      </c>
      <c r="M16" s="194">
        <f t="shared" si="8"/>
        <v>38455.378681445625</v>
      </c>
      <c r="N16" s="78">
        <f t="shared" si="9"/>
        <v>-38455.378681445625</v>
      </c>
      <c r="O16" s="165">
        <v>0</v>
      </c>
      <c r="P16" s="166">
        <f t="shared" si="10"/>
        <v>0</v>
      </c>
      <c r="Q16" s="119">
        <f t="shared" si="11"/>
        <v>35939.26700396886</v>
      </c>
      <c r="R16" s="167">
        <f t="shared" si="12"/>
        <v>1976.6596852182872</v>
      </c>
      <c r="S16" s="165">
        <v>0</v>
      </c>
      <c r="T16" s="166">
        <f t="shared" si="13"/>
        <v>0</v>
      </c>
      <c r="U16" s="33">
        <f t="shared" si="14"/>
        <v>38115.926689187145</v>
      </c>
      <c r="V16" s="167">
        <f t="shared" si="15"/>
        <v>2096.3759679052928</v>
      </c>
      <c r="W16" s="165">
        <v>0</v>
      </c>
      <c r="X16" s="166">
        <f t="shared" si="16"/>
        <v>0</v>
      </c>
      <c r="Y16" s="33">
        <f t="shared" si="17"/>
        <v>40412.302657092441</v>
      </c>
      <c r="Z16" s="167">
        <f t="shared" si="18"/>
        <v>2222.6766461400844</v>
      </c>
      <c r="AA16" s="165">
        <v>0</v>
      </c>
      <c r="AB16" s="166">
        <f t="shared" si="19"/>
        <v>0</v>
      </c>
      <c r="AC16" s="33">
        <f t="shared" si="20"/>
        <v>42834.979303232525</v>
      </c>
      <c r="AD16" s="167">
        <f t="shared" si="21"/>
        <v>2355.9238616777889</v>
      </c>
      <c r="AE16" s="165">
        <v>0</v>
      </c>
      <c r="AF16" s="166">
        <f t="shared" si="22"/>
        <v>0</v>
      </c>
      <c r="AG16" s="33">
        <f t="shared" si="23"/>
        <v>45390.903164910313</v>
      </c>
      <c r="AH16" s="167">
        <f t="shared" si="24"/>
        <v>2496.4996740700672</v>
      </c>
      <c r="AI16" s="165">
        <v>0</v>
      </c>
      <c r="AJ16" s="166">
        <f t="shared" si="25"/>
        <v>0</v>
      </c>
      <c r="AK16" s="33">
        <f t="shared" si="26"/>
        <v>48087.402838980379</v>
      </c>
      <c r="AL16" s="167">
        <f t="shared" si="27"/>
        <v>2644.807156143921</v>
      </c>
      <c r="AM16" s="165">
        <v>0</v>
      </c>
      <c r="AN16" s="166">
        <f t="shared" si="28"/>
        <v>0</v>
      </c>
      <c r="AO16" s="33">
        <f t="shared" si="29"/>
        <v>50932.2099951243</v>
      </c>
      <c r="AP16" s="167">
        <f t="shared" si="30"/>
        <v>2801.2715497318363</v>
      </c>
      <c r="AQ16" s="165">
        <v>0</v>
      </c>
      <c r="AR16" s="166">
        <f t="shared" si="31"/>
        <v>0</v>
      </c>
      <c r="AS16" s="33">
        <f t="shared" si="32"/>
        <v>53933.481544856135</v>
      </c>
      <c r="AT16" s="167">
        <f t="shared" si="33"/>
        <v>3775.3437081399297</v>
      </c>
      <c r="AU16" s="165">
        <v>0</v>
      </c>
      <c r="AV16" s="166">
        <f t="shared" si="34"/>
        <v>0</v>
      </c>
      <c r="AW16" s="33">
        <f t="shared" si="35"/>
        <v>57908.825252996066</v>
      </c>
      <c r="AX16" s="167">
        <f t="shared" si="36"/>
        <v>4053.6177677097248</v>
      </c>
      <c r="AY16" s="165">
        <v>0</v>
      </c>
      <c r="AZ16" s="166">
        <f t="shared" si="37"/>
        <v>0</v>
      </c>
      <c r="BA16" s="33">
        <f t="shared" si="38"/>
        <v>62162.443020705789</v>
      </c>
      <c r="BB16" s="167">
        <f t="shared" si="39"/>
        <v>4351.3710114494052</v>
      </c>
      <c r="BC16" s="165">
        <v>0</v>
      </c>
      <c r="BD16" s="166">
        <f t="shared" si="40"/>
        <v>0</v>
      </c>
      <c r="BE16" s="33">
        <f t="shared" si="41"/>
        <v>66713.814032155191</v>
      </c>
      <c r="BF16" s="167">
        <f t="shared" si="42"/>
        <v>4669.966982250864</v>
      </c>
      <c r="BG16" s="165">
        <v>0</v>
      </c>
      <c r="BH16" s="166">
        <f t="shared" si="43"/>
        <v>0</v>
      </c>
      <c r="BI16" s="33">
        <f t="shared" si="44"/>
        <v>71583.78101440605</v>
      </c>
      <c r="BJ16" s="167">
        <f t="shared" si="45"/>
        <v>5010.864671008424</v>
      </c>
      <c r="BK16" s="87">
        <f t="shared" si="46"/>
        <v>0</v>
      </c>
      <c r="BL16" s="33">
        <f>'2023-2024'!BL16+'2024-2025'!BK16</f>
        <v>2100</v>
      </c>
    </row>
    <row r="17" spans="1:64">
      <c r="A17" s="10" t="s">
        <v>588</v>
      </c>
      <c r="B17" s="10" t="s">
        <v>115</v>
      </c>
      <c r="C17" s="80">
        <v>0</v>
      </c>
      <c r="D17" s="79">
        <f t="shared" si="0"/>
        <v>2400</v>
      </c>
      <c r="E17" s="78">
        <f>'2023-2024'!I17</f>
        <v>39069.40475700995</v>
      </c>
      <c r="F17" s="187">
        <f t="shared" si="1"/>
        <v>2400</v>
      </c>
      <c r="G17" s="33">
        <f t="shared" si="2"/>
        <v>0</v>
      </c>
      <c r="H17" s="190">
        <f t="shared" si="3"/>
        <v>2400</v>
      </c>
      <c r="I17" s="78">
        <f t="shared" si="4"/>
        <v>83389.001778770937</v>
      </c>
      <c r="J17" s="78">
        <f t="shared" si="5"/>
        <v>0</v>
      </c>
      <c r="K17" s="78">
        <f t="shared" si="6"/>
        <v>0</v>
      </c>
      <c r="L17" s="78">
        <f t="shared" si="7"/>
        <v>41919.597021760979</v>
      </c>
      <c r="M17" s="194">
        <f t="shared" si="8"/>
        <v>41919.597021760979</v>
      </c>
      <c r="N17" s="78">
        <f t="shared" si="9"/>
        <v>-41919.597021760979</v>
      </c>
      <c r="O17" s="165">
        <v>0</v>
      </c>
      <c r="P17" s="166">
        <f t="shared" si="10"/>
        <v>0</v>
      </c>
      <c r="Q17" s="119">
        <f t="shared" si="11"/>
        <v>39269.40475700995</v>
      </c>
      <c r="R17" s="167">
        <f t="shared" si="12"/>
        <v>2159.8172616355473</v>
      </c>
      <c r="S17" s="165">
        <v>0</v>
      </c>
      <c r="T17" s="166">
        <f t="shared" si="13"/>
        <v>0</v>
      </c>
      <c r="U17" s="33">
        <f t="shared" si="14"/>
        <v>41629.222018645494</v>
      </c>
      <c r="V17" s="167">
        <f t="shared" si="15"/>
        <v>2289.6072110255022</v>
      </c>
      <c r="W17" s="165">
        <v>0</v>
      </c>
      <c r="X17" s="166">
        <f t="shared" si="16"/>
        <v>0</v>
      </c>
      <c r="Y17" s="33">
        <f t="shared" si="17"/>
        <v>44118.829229670999</v>
      </c>
      <c r="Z17" s="167">
        <f t="shared" si="18"/>
        <v>2426.5356076319049</v>
      </c>
      <c r="AA17" s="165">
        <v>0</v>
      </c>
      <c r="AB17" s="166">
        <f t="shared" si="19"/>
        <v>0</v>
      </c>
      <c r="AC17" s="33">
        <f t="shared" si="20"/>
        <v>46745.364837302906</v>
      </c>
      <c r="AD17" s="167">
        <f t="shared" si="21"/>
        <v>2570.9950660516597</v>
      </c>
      <c r="AE17" s="165">
        <v>0</v>
      </c>
      <c r="AF17" s="166">
        <f t="shared" si="22"/>
        <v>0</v>
      </c>
      <c r="AG17" s="33">
        <f t="shared" si="23"/>
        <v>49516.359903354569</v>
      </c>
      <c r="AH17" s="167">
        <f t="shared" si="24"/>
        <v>2723.3997946845011</v>
      </c>
      <c r="AI17" s="165">
        <v>0</v>
      </c>
      <c r="AJ17" s="166">
        <f t="shared" si="25"/>
        <v>0</v>
      </c>
      <c r="AK17" s="33">
        <f t="shared" si="26"/>
        <v>52439.759698039066</v>
      </c>
      <c r="AL17" s="167">
        <f t="shared" si="27"/>
        <v>2884.1867833921488</v>
      </c>
      <c r="AM17" s="165">
        <v>0</v>
      </c>
      <c r="AN17" s="166">
        <f t="shared" si="28"/>
        <v>0</v>
      </c>
      <c r="AO17" s="33">
        <f t="shared" si="29"/>
        <v>55523.946481431216</v>
      </c>
      <c r="AP17" s="167">
        <f t="shared" si="30"/>
        <v>3053.8170564787169</v>
      </c>
      <c r="AQ17" s="165">
        <v>0</v>
      </c>
      <c r="AR17" s="166">
        <f t="shared" si="31"/>
        <v>0</v>
      </c>
      <c r="AS17" s="33">
        <f t="shared" si="32"/>
        <v>58777.76353790993</v>
      </c>
      <c r="AT17" s="167">
        <f t="shared" si="33"/>
        <v>4114.4434476536953</v>
      </c>
      <c r="AU17" s="165">
        <v>0</v>
      </c>
      <c r="AV17" s="166">
        <f t="shared" si="34"/>
        <v>0</v>
      </c>
      <c r="AW17" s="33">
        <f t="shared" si="35"/>
        <v>63092.206985563622</v>
      </c>
      <c r="AX17" s="167">
        <f t="shared" si="36"/>
        <v>4416.4544889894541</v>
      </c>
      <c r="AY17" s="165">
        <v>0</v>
      </c>
      <c r="AZ17" s="166">
        <f t="shared" si="37"/>
        <v>0</v>
      </c>
      <c r="BA17" s="33">
        <f t="shared" si="38"/>
        <v>67708.661474553082</v>
      </c>
      <c r="BB17" s="167">
        <f t="shared" si="39"/>
        <v>4739.6063032187158</v>
      </c>
      <c r="BC17" s="165">
        <v>0</v>
      </c>
      <c r="BD17" s="166">
        <f t="shared" si="40"/>
        <v>0</v>
      </c>
      <c r="BE17" s="33">
        <f t="shared" si="41"/>
        <v>72648.267777771805</v>
      </c>
      <c r="BF17" s="167">
        <f t="shared" si="42"/>
        <v>5085.3787444440268</v>
      </c>
      <c r="BG17" s="165">
        <v>0</v>
      </c>
      <c r="BH17" s="166">
        <f t="shared" si="43"/>
        <v>0</v>
      </c>
      <c r="BI17" s="33">
        <f t="shared" si="44"/>
        <v>77933.646522215829</v>
      </c>
      <c r="BJ17" s="167">
        <f t="shared" si="45"/>
        <v>5455.355256555109</v>
      </c>
      <c r="BK17" s="87">
        <f t="shared" si="46"/>
        <v>0</v>
      </c>
      <c r="BL17" s="33">
        <f>'2023-2024'!BL17+'2024-2025'!BK17</f>
        <v>1300</v>
      </c>
    </row>
    <row r="18" spans="1:64">
      <c r="A18" s="10" t="s">
        <v>589</v>
      </c>
      <c r="B18" s="10" t="s">
        <v>139</v>
      </c>
      <c r="C18" s="80">
        <v>0</v>
      </c>
      <c r="D18" s="79">
        <f t="shared" si="0"/>
        <v>2400</v>
      </c>
      <c r="E18" s="78">
        <f>'2023-2024'!I18</f>
        <v>-13774.550966987554</v>
      </c>
      <c r="F18" s="187">
        <f t="shared" si="1"/>
        <v>2400</v>
      </c>
      <c r="G18" s="33">
        <f t="shared" si="2"/>
        <v>1800</v>
      </c>
      <c r="H18" s="190">
        <f t="shared" si="3"/>
        <v>600</v>
      </c>
      <c r="I18" s="78">
        <f t="shared" si="4"/>
        <v>-27898.110256115739</v>
      </c>
      <c r="J18" s="78">
        <f t="shared" si="5"/>
        <v>0</v>
      </c>
      <c r="K18" s="78">
        <f t="shared" si="6"/>
        <v>99</v>
      </c>
      <c r="L18" s="78">
        <f t="shared" si="7"/>
        <v>-14723.559289128187</v>
      </c>
      <c r="M18" s="194">
        <f t="shared" si="8"/>
        <v>-14723.559289128187</v>
      </c>
      <c r="N18" s="78">
        <f t="shared" si="9"/>
        <v>16622.559289128185</v>
      </c>
      <c r="O18" s="165">
        <v>0</v>
      </c>
      <c r="P18" s="166">
        <f t="shared" si="10"/>
        <v>0</v>
      </c>
      <c r="Q18" s="119">
        <f t="shared" si="11"/>
        <v>-13574.550966987554</v>
      </c>
      <c r="R18" s="167">
        <f t="shared" si="12"/>
        <v>-746.60030318431541</v>
      </c>
      <c r="S18" s="165">
        <v>0</v>
      </c>
      <c r="T18" s="166">
        <f t="shared" si="13"/>
        <v>0</v>
      </c>
      <c r="U18" s="33">
        <f t="shared" si="14"/>
        <v>-14121.151270171869</v>
      </c>
      <c r="V18" s="167">
        <f t="shared" si="15"/>
        <v>-776.66331985945283</v>
      </c>
      <c r="W18" s="165">
        <v>1800</v>
      </c>
      <c r="X18" s="166">
        <f t="shared" si="16"/>
        <v>0</v>
      </c>
      <c r="Y18" s="33">
        <f t="shared" si="17"/>
        <v>-16497.814590031321</v>
      </c>
      <c r="Z18" s="167">
        <f t="shared" si="18"/>
        <v>-1006.3798024517226</v>
      </c>
      <c r="AA18" s="165">
        <v>0</v>
      </c>
      <c r="AB18" s="166">
        <f t="shared" si="19"/>
        <v>0</v>
      </c>
      <c r="AC18" s="33">
        <f t="shared" si="20"/>
        <v>-17304.194392483045</v>
      </c>
      <c r="AD18" s="167">
        <f t="shared" si="21"/>
        <v>-951.73069158656745</v>
      </c>
      <c r="AE18" s="165">
        <v>0</v>
      </c>
      <c r="AF18" s="166">
        <f t="shared" si="22"/>
        <v>0</v>
      </c>
      <c r="AG18" s="33">
        <f t="shared" si="23"/>
        <v>-18055.925084069611</v>
      </c>
      <c r="AH18" s="167">
        <f t="shared" si="24"/>
        <v>-993.07587962382865</v>
      </c>
      <c r="AI18" s="165">
        <v>0</v>
      </c>
      <c r="AJ18" s="166">
        <f t="shared" si="25"/>
        <v>0</v>
      </c>
      <c r="AK18" s="33">
        <f t="shared" si="26"/>
        <v>-18849.000963693441</v>
      </c>
      <c r="AL18" s="167">
        <f t="shared" si="27"/>
        <v>-1036.6950530031393</v>
      </c>
      <c r="AM18" s="165">
        <v>0</v>
      </c>
      <c r="AN18" s="166">
        <f t="shared" si="28"/>
        <v>0</v>
      </c>
      <c r="AO18" s="33">
        <f t="shared" si="29"/>
        <v>-19685.69601669658</v>
      </c>
      <c r="AP18" s="167">
        <f t="shared" si="30"/>
        <v>-1082.713280918312</v>
      </c>
      <c r="AQ18" s="165">
        <v>0</v>
      </c>
      <c r="AR18" s="166">
        <f t="shared" si="31"/>
        <v>0</v>
      </c>
      <c r="AS18" s="33">
        <f t="shared" si="32"/>
        <v>-20568.409297614893</v>
      </c>
      <c r="AT18" s="167">
        <f t="shared" si="33"/>
        <v>-1439.7886508330428</v>
      </c>
      <c r="AU18" s="165">
        <v>0</v>
      </c>
      <c r="AV18" s="166">
        <f t="shared" si="34"/>
        <v>0</v>
      </c>
      <c r="AW18" s="33">
        <f t="shared" si="35"/>
        <v>-21808.197948447934</v>
      </c>
      <c r="AX18" s="167">
        <f t="shared" si="36"/>
        <v>-1526.5738563913555</v>
      </c>
      <c r="AY18" s="165">
        <v>0</v>
      </c>
      <c r="AZ18" s="166">
        <f t="shared" si="37"/>
        <v>0</v>
      </c>
      <c r="BA18" s="33">
        <f t="shared" si="38"/>
        <v>-23134.771804839289</v>
      </c>
      <c r="BB18" s="167">
        <f t="shared" si="39"/>
        <v>-1619.4340263387503</v>
      </c>
      <c r="BC18" s="165">
        <v>0</v>
      </c>
      <c r="BD18" s="166">
        <f t="shared" si="40"/>
        <v>0</v>
      </c>
      <c r="BE18" s="33">
        <f t="shared" si="41"/>
        <v>-24554.205831178038</v>
      </c>
      <c r="BF18" s="167">
        <f t="shared" si="42"/>
        <v>-1718.7944081824628</v>
      </c>
      <c r="BG18" s="165">
        <v>0</v>
      </c>
      <c r="BH18" s="166">
        <f t="shared" si="43"/>
        <v>0</v>
      </c>
      <c r="BI18" s="33">
        <f t="shared" si="44"/>
        <v>-26073.000239360503</v>
      </c>
      <c r="BJ18" s="167">
        <f t="shared" si="45"/>
        <v>-1825.1100167552354</v>
      </c>
      <c r="BK18" s="87">
        <f t="shared" si="46"/>
        <v>1800</v>
      </c>
      <c r="BL18" s="33">
        <f>'2023-2024'!BL18+'2024-2025'!BK18</f>
        <v>20100</v>
      </c>
    </row>
    <row r="19" spans="1:64">
      <c r="A19" s="10" t="s">
        <v>590</v>
      </c>
      <c r="B19" s="10" t="s">
        <v>116</v>
      </c>
      <c r="C19" s="80">
        <v>0</v>
      </c>
      <c r="D19" s="79">
        <f t="shared" si="0"/>
        <v>2400</v>
      </c>
      <c r="E19" s="78">
        <f>'2023-2024'!I19</f>
        <v>10993.456407209234</v>
      </c>
      <c r="F19" s="187">
        <f t="shared" si="1"/>
        <v>2400</v>
      </c>
      <c r="G19" s="33">
        <f t="shared" si="2"/>
        <v>300</v>
      </c>
      <c r="H19" s="190">
        <f t="shared" si="3"/>
        <v>2100</v>
      </c>
      <c r="I19" s="78">
        <f t="shared" si="4"/>
        <v>25528.096772088487</v>
      </c>
      <c r="J19" s="78">
        <f t="shared" si="5"/>
        <v>0</v>
      </c>
      <c r="K19" s="78">
        <f t="shared" si="6"/>
        <v>16.5</v>
      </c>
      <c r="L19" s="78">
        <f t="shared" si="7"/>
        <v>12434.640364879255</v>
      </c>
      <c r="M19" s="194">
        <f t="shared" si="8"/>
        <v>12434.640364879255</v>
      </c>
      <c r="N19" s="78">
        <f t="shared" si="9"/>
        <v>-12118.140364879255</v>
      </c>
      <c r="O19" s="165">
        <v>0</v>
      </c>
      <c r="P19" s="166">
        <f t="shared" si="10"/>
        <v>0</v>
      </c>
      <c r="Q19" s="119">
        <f t="shared" si="11"/>
        <v>11193.456407209234</v>
      </c>
      <c r="R19" s="167">
        <f t="shared" si="12"/>
        <v>615.64010239650793</v>
      </c>
      <c r="S19" s="165">
        <v>0</v>
      </c>
      <c r="T19" s="166">
        <f t="shared" si="13"/>
        <v>0</v>
      </c>
      <c r="U19" s="33">
        <f t="shared" si="14"/>
        <v>12009.096509605743</v>
      </c>
      <c r="V19" s="167">
        <f t="shared" si="15"/>
        <v>660.50030802831589</v>
      </c>
      <c r="W19" s="165">
        <v>300</v>
      </c>
      <c r="X19" s="166">
        <f t="shared" si="16"/>
        <v>0</v>
      </c>
      <c r="Y19" s="33">
        <f t="shared" si="17"/>
        <v>12569.596817634058</v>
      </c>
      <c r="Z19" s="167">
        <f t="shared" si="18"/>
        <v>674.82782496987318</v>
      </c>
      <c r="AA19" s="165">
        <v>0</v>
      </c>
      <c r="AB19" s="166">
        <f t="shared" si="19"/>
        <v>0</v>
      </c>
      <c r="AC19" s="33">
        <f t="shared" si="20"/>
        <v>13444.42464260393</v>
      </c>
      <c r="AD19" s="167">
        <f t="shared" si="21"/>
        <v>739.44335534321613</v>
      </c>
      <c r="AE19" s="165">
        <v>0</v>
      </c>
      <c r="AF19" s="166">
        <f t="shared" si="22"/>
        <v>0</v>
      </c>
      <c r="AG19" s="33">
        <f t="shared" si="23"/>
        <v>14383.867997947145</v>
      </c>
      <c r="AH19" s="167">
        <f t="shared" si="24"/>
        <v>791.11273988709297</v>
      </c>
      <c r="AI19" s="165">
        <v>0</v>
      </c>
      <c r="AJ19" s="166">
        <f t="shared" si="25"/>
        <v>0</v>
      </c>
      <c r="AK19" s="33">
        <f t="shared" si="26"/>
        <v>15374.980737834238</v>
      </c>
      <c r="AL19" s="167">
        <f t="shared" si="27"/>
        <v>845.62394058088307</v>
      </c>
      <c r="AM19" s="165">
        <v>0</v>
      </c>
      <c r="AN19" s="166">
        <f t="shared" si="28"/>
        <v>0</v>
      </c>
      <c r="AO19" s="33">
        <f t="shared" si="29"/>
        <v>16420.604678415122</v>
      </c>
      <c r="AP19" s="167">
        <f t="shared" si="30"/>
        <v>903.13325731283169</v>
      </c>
      <c r="AQ19" s="165">
        <v>0</v>
      </c>
      <c r="AR19" s="166">
        <f t="shared" si="31"/>
        <v>0</v>
      </c>
      <c r="AS19" s="33">
        <f t="shared" si="32"/>
        <v>17523.737935727953</v>
      </c>
      <c r="AT19" s="167">
        <f t="shared" si="33"/>
        <v>1226.6616555009568</v>
      </c>
      <c r="AU19" s="165">
        <v>0</v>
      </c>
      <c r="AV19" s="166">
        <f t="shared" si="34"/>
        <v>0</v>
      </c>
      <c r="AW19" s="33">
        <f t="shared" si="35"/>
        <v>18950.39959122891</v>
      </c>
      <c r="AX19" s="167">
        <f t="shared" si="36"/>
        <v>1326.5279713860239</v>
      </c>
      <c r="AY19" s="165">
        <v>0</v>
      </c>
      <c r="AZ19" s="166">
        <f t="shared" si="37"/>
        <v>0</v>
      </c>
      <c r="BA19" s="33">
        <f t="shared" si="38"/>
        <v>20476.927562614936</v>
      </c>
      <c r="BB19" s="167">
        <f t="shared" si="39"/>
        <v>1433.3849293830456</v>
      </c>
      <c r="BC19" s="165">
        <v>0</v>
      </c>
      <c r="BD19" s="166">
        <f t="shared" si="40"/>
        <v>0</v>
      </c>
      <c r="BE19" s="33">
        <f t="shared" si="41"/>
        <v>22110.312491997982</v>
      </c>
      <c r="BF19" s="167">
        <f t="shared" si="42"/>
        <v>1547.7218744398588</v>
      </c>
      <c r="BG19" s="165">
        <v>0</v>
      </c>
      <c r="BH19" s="166">
        <f t="shared" si="43"/>
        <v>0</v>
      </c>
      <c r="BI19" s="33">
        <f t="shared" si="44"/>
        <v>23858.034366437842</v>
      </c>
      <c r="BJ19" s="167">
        <f t="shared" si="45"/>
        <v>1670.062405650649</v>
      </c>
      <c r="BK19" s="87">
        <f t="shared" si="46"/>
        <v>300</v>
      </c>
      <c r="BL19" s="33">
        <f>'2023-2024'!BL19+'2024-2025'!BK19</f>
        <v>11100</v>
      </c>
    </row>
    <row r="20" spans="1:64">
      <c r="A20" s="10" t="s">
        <v>591</v>
      </c>
      <c r="B20" s="10" t="s">
        <v>140</v>
      </c>
      <c r="C20" s="80">
        <v>0</v>
      </c>
      <c r="D20" s="79">
        <f t="shared" si="0"/>
        <v>2400</v>
      </c>
      <c r="E20" s="78">
        <f>'2023-2024'!I20</f>
        <v>35671.604121190911</v>
      </c>
      <c r="F20" s="187">
        <f t="shared" si="1"/>
        <v>2400</v>
      </c>
      <c r="G20" s="33">
        <f t="shared" si="2"/>
        <v>2100</v>
      </c>
      <c r="H20" s="190">
        <f t="shared" si="3"/>
        <v>300</v>
      </c>
      <c r="I20" s="78">
        <f t="shared" si="4"/>
        <v>72934.724512365705</v>
      </c>
      <c r="J20" s="78">
        <f t="shared" si="5"/>
        <v>0</v>
      </c>
      <c r="K20" s="78">
        <f t="shared" si="6"/>
        <v>115.5</v>
      </c>
      <c r="L20" s="78">
        <f t="shared" si="7"/>
        <v>36963.120391174794</v>
      </c>
      <c r="M20" s="194">
        <f t="shared" si="8"/>
        <v>36963.120391174794</v>
      </c>
      <c r="N20" s="78">
        <f t="shared" si="9"/>
        <v>-34747.620391174794</v>
      </c>
      <c r="O20" s="165">
        <v>300</v>
      </c>
      <c r="P20" s="166">
        <f t="shared" si="10"/>
        <v>0</v>
      </c>
      <c r="Q20" s="119">
        <f t="shared" si="11"/>
        <v>35871.604121190911</v>
      </c>
      <c r="R20" s="167">
        <f t="shared" si="12"/>
        <v>1956.4382266655</v>
      </c>
      <c r="S20" s="165">
        <v>300</v>
      </c>
      <c r="T20" s="166">
        <f t="shared" si="13"/>
        <v>0</v>
      </c>
      <c r="U20" s="33">
        <f t="shared" si="14"/>
        <v>37728.042347856412</v>
      </c>
      <c r="V20" s="167">
        <f t="shared" si="15"/>
        <v>2058.5423291321026</v>
      </c>
      <c r="W20" s="165">
        <v>300</v>
      </c>
      <c r="X20" s="166">
        <f t="shared" si="16"/>
        <v>0</v>
      </c>
      <c r="Y20" s="33">
        <f t="shared" si="17"/>
        <v>39686.584676988517</v>
      </c>
      <c r="Z20" s="167">
        <f t="shared" si="18"/>
        <v>2166.2621572343683</v>
      </c>
      <c r="AA20" s="165">
        <v>300</v>
      </c>
      <c r="AB20" s="166">
        <f t="shared" si="19"/>
        <v>0</v>
      </c>
      <c r="AC20" s="33">
        <f t="shared" si="20"/>
        <v>41752.846834222888</v>
      </c>
      <c r="AD20" s="167">
        <f t="shared" si="21"/>
        <v>2279.9065758822589</v>
      </c>
      <c r="AE20" s="165">
        <v>0</v>
      </c>
      <c r="AF20" s="166">
        <f t="shared" si="22"/>
        <v>0</v>
      </c>
      <c r="AG20" s="33">
        <f t="shared" si="23"/>
        <v>44232.75341010515</v>
      </c>
      <c r="AH20" s="167">
        <f t="shared" si="24"/>
        <v>2432.8014375557832</v>
      </c>
      <c r="AI20" s="165">
        <f>300+300</f>
        <v>600</v>
      </c>
      <c r="AJ20" s="166">
        <f t="shared" si="25"/>
        <v>0</v>
      </c>
      <c r="AK20" s="33">
        <f t="shared" si="26"/>
        <v>46265.554847660933</v>
      </c>
      <c r="AL20" s="167">
        <f t="shared" si="27"/>
        <v>2511.6055166213514</v>
      </c>
      <c r="AM20" s="165">
        <v>300</v>
      </c>
      <c r="AN20" s="166">
        <f t="shared" si="28"/>
        <v>0</v>
      </c>
      <c r="AO20" s="33">
        <f t="shared" si="29"/>
        <v>48677.160364282281</v>
      </c>
      <c r="AP20" s="167">
        <f t="shared" si="30"/>
        <v>2660.7438200355255</v>
      </c>
      <c r="AQ20" s="165">
        <v>0</v>
      </c>
      <c r="AR20" s="166">
        <f t="shared" si="31"/>
        <v>0</v>
      </c>
      <c r="AS20" s="33">
        <f t="shared" si="32"/>
        <v>51537.904184317806</v>
      </c>
      <c r="AT20" s="167">
        <f t="shared" si="33"/>
        <v>3607.6532929022469</v>
      </c>
      <c r="AU20" s="165">
        <v>0</v>
      </c>
      <c r="AV20" s="166">
        <f t="shared" si="34"/>
        <v>0</v>
      </c>
      <c r="AW20" s="33">
        <f t="shared" si="35"/>
        <v>55345.557477220049</v>
      </c>
      <c r="AX20" s="167">
        <f t="shared" si="36"/>
        <v>3874.189023405404</v>
      </c>
      <c r="AY20" s="165">
        <v>0</v>
      </c>
      <c r="AZ20" s="166">
        <f t="shared" si="37"/>
        <v>0</v>
      </c>
      <c r="BA20" s="33">
        <f t="shared" si="38"/>
        <v>59419.74650062545</v>
      </c>
      <c r="BB20" s="167">
        <f t="shared" si="39"/>
        <v>4159.3822550437817</v>
      </c>
      <c r="BC20" s="165">
        <v>0</v>
      </c>
      <c r="BD20" s="166">
        <f t="shared" si="40"/>
        <v>0</v>
      </c>
      <c r="BE20" s="33">
        <f t="shared" si="41"/>
        <v>63779.128755669233</v>
      </c>
      <c r="BF20" s="167">
        <f t="shared" si="42"/>
        <v>4464.5390128968465</v>
      </c>
      <c r="BG20" s="165">
        <v>0</v>
      </c>
      <c r="BH20" s="166">
        <f t="shared" si="43"/>
        <v>0</v>
      </c>
      <c r="BI20" s="33">
        <f t="shared" si="44"/>
        <v>68443.667768566083</v>
      </c>
      <c r="BJ20" s="167">
        <f t="shared" si="45"/>
        <v>4791.056743799626</v>
      </c>
      <c r="BK20" s="87">
        <f t="shared" si="46"/>
        <v>2100</v>
      </c>
      <c r="BL20" s="33">
        <f>'2023-2024'!BL20+'2024-2025'!BK20</f>
        <v>5800</v>
      </c>
    </row>
    <row r="21" spans="1:64">
      <c r="A21" s="10" t="s">
        <v>592</v>
      </c>
      <c r="B21" s="10" t="s">
        <v>117</v>
      </c>
      <c r="C21" s="80">
        <v>0</v>
      </c>
      <c r="D21" s="79">
        <f t="shared" si="0"/>
        <v>2400</v>
      </c>
      <c r="E21" s="78">
        <f>'2023-2024'!I21</f>
        <v>16299.58787059152</v>
      </c>
      <c r="F21" s="187">
        <f t="shared" si="1"/>
        <v>2400</v>
      </c>
      <c r="G21" s="33">
        <f t="shared" si="2"/>
        <v>0</v>
      </c>
      <c r="H21" s="190">
        <f t="shared" si="3"/>
        <v>2400</v>
      </c>
      <c r="I21" s="78">
        <f t="shared" si="4"/>
        <v>36932.591990446301</v>
      </c>
      <c r="J21" s="78">
        <f t="shared" si="5"/>
        <v>0</v>
      </c>
      <c r="K21" s="78">
        <f t="shared" si="6"/>
        <v>0</v>
      </c>
      <c r="L21" s="78">
        <f t="shared" si="7"/>
        <v>18233.004119854781</v>
      </c>
      <c r="M21" s="194">
        <f t="shared" si="8"/>
        <v>18233.004119854781</v>
      </c>
      <c r="N21" s="78">
        <f t="shared" si="9"/>
        <v>-18233.004119854781</v>
      </c>
      <c r="O21" s="165">
        <v>0</v>
      </c>
      <c r="P21" s="166">
        <f t="shared" si="10"/>
        <v>0</v>
      </c>
      <c r="Q21" s="119">
        <f t="shared" si="11"/>
        <v>16499.58787059152</v>
      </c>
      <c r="R21" s="167">
        <f t="shared" si="12"/>
        <v>907.47733288253357</v>
      </c>
      <c r="S21" s="165">
        <v>0</v>
      </c>
      <c r="T21" s="166">
        <f t="shared" si="13"/>
        <v>0</v>
      </c>
      <c r="U21" s="33">
        <f t="shared" si="14"/>
        <v>17607.065203474052</v>
      </c>
      <c r="V21" s="167">
        <f t="shared" si="15"/>
        <v>968.38858619107293</v>
      </c>
      <c r="W21" s="165">
        <v>0</v>
      </c>
      <c r="X21" s="166">
        <f t="shared" si="16"/>
        <v>0</v>
      </c>
      <c r="Y21" s="33">
        <f t="shared" si="17"/>
        <v>18775.453789665124</v>
      </c>
      <c r="Z21" s="167">
        <f t="shared" si="18"/>
        <v>1032.6499584315818</v>
      </c>
      <c r="AA21" s="165">
        <v>0</v>
      </c>
      <c r="AB21" s="166">
        <f t="shared" si="19"/>
        <v>0</v>
      </c>
      <c r="AC21" s="33">
        <f t="shared" si="20"/>
        <v>20008.103748096706</v>
      </c>
      <c r="AD21" s="167">
        <f t="shared" si="21"/>
        <v>1100.4457061453188</v>
      </c>
      <c r="AE21" s="165">
        <v>0</v>
      </c>
      <c r="AF21" s="166">
        <f t="shared" si="22"/>
        <v>0</v>
      </c>
      <c r="AG21" s="33">
        <f t="shared" si="23"/>
        <v>21308.549454242024</v>
      </c>
      <c r="AH21" s="167">
        <f t="shared" si="24"/>
        <v>1171.9702199833114</v>
      </c>
      <c r="AI21" s="165">
        <v>0</v>
      </c>
      <c r="AJ21" s="166">
        <f t="shared" si="25"/>
        <v>0</v>
      </c>
      <c r="AK21" s="33">
        <f t="shared" si="26"/>
        <v>22680.519674225336</v>
      </c>
      <c r="AL21" s="167">
        <f t="shared" si="27"/>
        <v>1247.4285820823934</v>
      </c>
      <c r="AM21" s="165">
        <v>0</v>
      </c>
      <c r="AN21" s="166">
        <f t="shared" si="28"/>
        <v>0</v>
      </c>
      <c r="AO21" s="33">
        <f t="shared" si="29"/>
        <v>24127.948256307729</v>
      </c>
      <c r="AP21" s="167">
        <f t="shared" si="30"/>
        <v>1327.0371540969252</v>
      </c>
      <c r="AQ21" s="165">
        <v>0</v>
      </c>
      <c r="AR21" s="166">
        <f t="shared" si="31"/>
        <v>0</v>
      </c>
      <c r="AS21" s="33">
        <f t="shared" si="32"/>
        <v>25654.985410404654</v>
      </c>
      <c r="AT21" s="167">
        <f t="shared" si="33"/>
        <v>1795.8489787283258</v>
      </c>
      <c r="AU21" s="165">
        <v>0</v>
      </c>
      <c r="AV21" s="166">
        <f t="shared" si="34"/>
        <v>0</v>
      </c>
      <c r="AW21" s="33">
        <f t="shared" si="35"/>
        <v>27650.834389132979</v>
      </c>
      <c r="AX21" s="167">
        <f t="shared" si="36"/>
        <v>1935.5584072393087</v>
      </c>
      <c r="AY21" s="165">
        <v>0</v>
      </c>
      <c r="AZ21" s="166">
        <f t="shared" si="37"/>
        <v>0</v>
      </c>
      <c r="BA21" s="33">
        <f t="shared" si="38"/>
        <v>29786.392796372289</v>
      </c>
      <c r="BB21" s="167">
        <f t="shared" si="39"/>
        <v>2085.0474957460606</v>
      </c>
      <c r="BC21" s="165">
        <v>0</v>
      </c>
      <c r="BD21" s="166">
        <f t="shared" si="40"/>
        <v>0</v>
      </c>
      <c r="BE21" s="33">
        <f t="shared" si="41"/>
        <v>32071.44029211835</v>
      </c>
      <c r="BF21" s="167">
        <f t="shared" si="42"/>
        <v>2245.0008204482847</v>
      </c>
      <c r="BG21" s="165">
        <v>0</v>
      </c>
      <c r="BH21" s="166">
        <f t="shared" si="43"/>
        <v>0</v>
      </c>
      <c r="BI21" s="33">
        <f t="shared" si="44"/>
        <v>34516.441112566637</v>
      </c>
      <c r="BJ21" s="167">
        <f t="shared" si="45"/>
        <v>2416.1508778796647</v>
      </c>
      <c r="BK21" s="87">
        <f t="shared" si="46"/>
        <v>0</v>
      </c>
      <c r="BL21" s="33">
        <f>'2023-2024'!BL21+'2024-2025'!BK21</f>
        <v>6970</v>
      </c>
    </row>
    <row r="22" spans="1:64">
      <c r="A22" s="10" t="s">
        <v>593</v>
      </c>
      <c r="B22" s="10" t="s">
        <v>118</v>
      </c>
      <c r="C22" s="80">
        <v>0</v>
      </c>
      <c r="D22" s="79">
        <f t="shared" si="0"/>
        <v>2400</v>
      </c>
      <c r="E22" s="78">
        <f>'2023-2024'!I22</f>
        <v>39485.671976140082</v>
      </c>
      <c r="F22" s="187">
        <f t="shared" si="1"/>
        <v>2400</v>
      </c>
      <c r="G22" s="33">
        <f t="shared" si="2"/>
        <v>0</v>
      </c>
      <c r="H22" s="190">
        <f t="shared" si="3"/>
        <v>2400</v>
      </c>
      <c r="I22" s="78">
        <f t="shared" si="4"/>
        <v>84238.296290440485</v>
      </c>
      <c r="J22" s="78">
        <f t="shared" si="5"/>
        <v>0</v>
      </c>
      <c r="K22" s="78">
        <f t="shared" si="6"/>
        <v>0</v>
      </c>
      <c r="L22" s="78">
        <f t="shared" si="7"/>
        <v>42352.624314300403</v>
      </c>
      <c r="M22" s="194">
        <f t="shared" si="8"/>
        <v>42352.624314300403</v>
      </c>
      <c r="N22" s="78">
        <f t="shared" si="9"/>
        <v>-42352.624314300403</v>
      </c>
      <c r="O22" s="165">
        <v>0</v>
      </c>
      <c r="P22" s="166">
        <f t="shared" si="10"/>
        <v>0</v>
      </c>
      <c r="Q22" s="119">
        <f t="shared" si="11"/>
        <v>39685.671976140082</v>
      </c>
      <c r="R22" s="167">
        <f t="shared" si="12"/>
        <v>2182.7119586877047</v>
      </c>
      <c r="S22" s="165">
        <v>0</v>
      </c>
      <c r="T22" s="166">
        <f t="shared" si="13"/>
        <v>0</v>
      </c>
      <c r="U22" s="33">
        <f t="shared" si="14"/>
        <v>42068.383934827783</v>
      </c>
      <c r="V22" s="167">
        <f t="shared" si="15"/>
        <v>2313.7611164155282</v>
      </c>
      <c r="W22" s="165">
        <v>0</v>
      </c>
      <c r="X22" s="166">
        <f t="shared" si="16"/>
        <v>0</v>
      </c>
      <c r="Y22" s="33">
        <f t="shared" si="17"/>
        <v>44582.145051243315</v>
      </c>
      <c r="Z22" s="167">
        <f t="shared" si="18"/>
        <v>2452.0179778183824</v>
      </c>
      <c r="AA22" s="165">
        <v>0</v>
      </c>
      <c r="AB22" s="166">
        <f t="shared" si="19"/>
        <v>0</v>
      </c>
      <c r="AC22" s="33">
        <f t="shared" si="20"/>
        <v>47234.163029061696</v>
      </c>
      <c r="AD22" s="167">
        <f t="shared" si="21"/>
        <v>2597.8789665983932</v>
      </c>
      <c r="AE22" s="165">
        <v>0</v>
      </c>
      <c r="AF22" s="166">
        <f t="shared" si="22"/>
        <v>0</v>
      </c>
      <c r="AG22" s="33">
        <f t="shared" si="23"/>
        <v>50032.041995660089</v>
      </c>
      <c r="AH22" s="167">
        <f t="shared" si="24"/>
        <v>2751.762309761305</v>
      </c>
      <c r="AI22" s="165">
        <v>0</v>
      </c>
      <c r="AJ22" s="166">
        <f t="shared" si="25"/>
        <v>0</v>
      </c>
      <c r="AK22" s="33">
        <f t="shared" si="26"/>
        <v>52983.804305421392</v>
      </c>
      <c r="AL22" s="167">
        <f t="shared" si="27"/>
        <v>2914.1092367981764</v>
      </c>
      <c r="AM22" s="165">
        <v>0</v>
      </c>
      <c r="AN22" s="166">
        <f t="shared" si="28"/>
        <v>0</v>
      </c>
      <c r="AO22" s="33">
        <f t="shared" si="29"/>
        <v>56097.913542219569</v>
      </c>
      <c r="AP22" s="167">
        <f t="shared" si="30"/>
        <v>3085.3852448220764</v>
      </c>
      <c r="AQ22" s="165">
        <v>0</v>
      </c>
      <c r="AR22" s="166">
        <f t="shared" si="31"/>
        <v>0</v>
      </c>
      <c r="AS22" s="33">
        <f t="shared" si="32"/>
        <v>59383.298787041647</v>
      </c>
      <c r="AT22" s="167">
        <f t="shared" si="33"/>
        <v>4156.8309150929153</v>
      </c>
      <c r="AU22" s="165">
        <v>0</v>
      </c>
      <c r="AV22" s="166">
        <f t="shared" si="34"/>
        <v>0</v>
      </c>
      <c r="AW22" s="33">
        <f t="shared" si="35"/>
        <v>63740.12970213456</v>
      </c>
      <c r="AX22" s="167">
        <f t="shared" si="36"/>
        <v>4461.8090791494196</v>
      </c>
      <c r="AY22" s="165">
        <v>0</v>
      </c>
      <c r="AZ22" s="166">
        <f t="shared" si="37"/>
        <v>0</v>
      </c>
      <c r="BA22" s="33">
        <f t="shared" si="38"/>
        <v>68401.938781283985</v>
      </c>
      <c r="BB22" s="167">
        <f t="shared" si="39"/>
        <v>4788.135714689879</v>
      </c>
      <c r="BC22" s="165">
        <v>0</v>
      </c>
      <c r="BD22" s="166">
        <f t="shared" si="40"/>
        <v>0</v>
      </c>
      <c r="BE22" s="33">
        <f t="shared" si="41"/>
        <v>73390.074495973866</v>
      </c>
      <c r="BF22" s="167">
        <f t="shared" si="42"/>
        <v>5137.3052147181706</v>
      </c>
      <c r="BG22" s="165">
        <v>0</v>
      </c>
      <c r="BH22" s="166">
        <f t="shared" si="43"/>
        <v>0</v>
      </c>
      <c r="BI22" s="33">
        <f t="shared" si="44"/>
        <v>78727.379710692039</v>
      </c>
      <c r="BJ22" s="167">
        <f t="shared" si="45"/>
        <v>5510.9165797484429</v>
      </c>
      <c r="BK22" s="87">
        <f t="shared" si="46"/>
        <v>0</v>
      </c>
      <c r="BL22" s="33">
        <f>'2023-2024'!BL22+'2024-2025'!BK22</f>
        <v>1300</v>
      </c>
    </row>
    <row r="23" spans="1:64">
      <c r="A23" s="10" t="s">
        <v>594</v>
      </c>
      <c r="B23" s="10" t="s">
        <v>119</v>
      </c>
      <c r="C23" s="80">
        <v>0</v>
      </c>
      <c r="D23" s="79">
        <f t="shared" si="0"/>
        <v>2400</v>
      </c>
      <c r="E23" s="78">
        <f>'2023-2024'!I23</f>
        <v>22750.568370406756</v>
      </c>
      <c r="F23" s="187">
        <f t="shared" si="1"/>
        <v>2400</v>
      </c>
      <c r="G23" s="33">
        <f t="shared" si="2"/>
        <v>1600</v>
      </c>
      <c r="H23" s="190">
        <f t="shared" si="3"/>
        <v>800</v>
      </c>
      <c r="I23" s="78">
        <f t="shared" si="4"/>
        <v>47152.998181932722</v>
      </c>
      <c r="J23" s="78">
        <f t="shared" si="5"/>
        <v>0</v>
      </c>
      <c r="K23" s="78">
        <f t="shared" si="6"/>
        <v>88</v>
      </c>
      <c r="L23" s="78">
        <f t="shared" si="7"/>
        <v>23602.429811525963</v>
      </c>
      <c r="M23" s="194">
        <f t="shared" si="8"/>
        <v>23602.429811525963</v>
      </c>
      <c r="N23" s="78">
        <f t="shared" si="9"/>
        <v>-21914.429811525963</v>
      </c>
      <c r="O23" s="165">
        <v>0</v>
      </c>
      <c r="P23" s="166">
        <f t="shared" si="10"/>
        <v>0</v>
      </c>
      <c r="Q23" s="119">
        <f t="shared" si="11"/>
        <v>22950.568370406756</v>
      </c>
      <c r="R23" s="167">
        <f t="shared" si="12"/>
        <v>1262.2812603723717</v>
      </c>
      <c r="S23" s="165">
        <v>200</v>
      </c>
      <c r="T23" s="166">
        <f t="shared" si="13"/>
        <v>0</v>
      </c>
      <c r="U23" s="33">
        <f t="shared" si="14"/>
        <v>24212.849630779128</v>
      </c>
      <c r="V23" s="167">
        <f t="shared" si="15"/>
        <v>1320.7067296928522</v>
      </c>
      <c r="W23" s="165">
        <f>250+200</f>
        <v>450</v>
      </c>
      <c r="X23" s="166">
        <f t="shared" si="16"/>
        <v>0</v>
      </c>
      <c r="Y23" s="33">
        <f t="shared" si="17"/>
        <v>25283.556360471979</v>
      </c>
      <c r="Z23" s="167">
        <f t="shared" si="18"/>
        <v>1365.845599825959</v>
      </c>
      <c r="AA23" s="165">
        <f>250+200</f>
        <v>450</v>
      </c>
      <c r="AB23" s="166">
        <f t="shared" si="19"/>
        <v>0</v>
      </c>
      <c r="AC23" s="33">
        <f t="shared" si="20"/>
        <v>26399.401960297939</v>
      </c>
      <c r="AD23" s="167">
        <f t="shared" si="21"/>
        <v>1427.2171078163867</v>
      </c>
      <c r="AE23" s="165">
        <v>250</v>
      </c>
      <c r="AF23" s="166">
        <f t="shared" si="22"/>
        <v>0</v>
      </c>
      <c r="AG23" s="33">
        <f t="shared" si="23"/>
        <v>27776.619068114327</v>
      </c>
      <c r="AH23" s="167">
        <f t="shared" si="24"/>
        <v>1513.964048746288</v>
      </c>
      <c r="AI23" s="165">
        <v>250</v>
      </c>
      <c r="AJ23" s="166">
        <f t="shared" si="25"/>
        <v>0</v>
      </c>
      <c r="AK23" s="33">
        <f t="shared" si="26"/>
        <v>29240.583116860616</v>
      </c>
      <c r="AL23" s="167">
        <f t="shared" si="27"/>
        <v>1594.4820714273339</v>
      </c>
      <c r="AM23" s="165">
        <v>0</v>
      </c>
      <c r="AN23" s="166">
        <f t="shared" si="28"/>
        <v>0</v>
      </c>
      <c r="AO23" s="33">
        <f t="shared" si="29"/>
        <v>31035.06518828795</v>
      </c>
      <c r="AP23" s="167">
        <f t="shared" si="30"/>
        <v>1706.9285853558372</v>
      </c>
      <c r="AQ23" s="165">
        <v>0</v>
      </c>
      <c r="AR23" s="166">
        <f t="shared" si="31"/>
        <v>0</v>
      </c>
      <c r="AS23" s="33">
        <f t="shared" si="32"/>
        <v>32941.993773643786</v>
      </c>
      <c r="AT23" s="167">
        <f t="shared" si="33"/>
        <v>2305.9395641550655</v>
      </c>
      <c r="AU23" s="165">
        <v>0</v>
      </c>
      <c r="AV23" s="166">
        <f t="shared" si="34"/>
        <v>0</v>
      </c>
      <c r="AW23" s="33">
        <f t="shared" si="35"/>
        <v>35447.933337798851</v>
      </c>
      <c r="AX23" s="167">
        <f t="shared" si="36"/>
        <v>2481.3553336459199</v>
      </c>
      <c r="AY23" s="165">
        <v>0</v>
      </c>
      <c r="AZ23" s="166">
        <f t="shared" si="37"/>
        <v>0</v>
      </c>
      <c r="BA23" s="33">
        <f t="shared" si="38"/>
        <v>38129.288671444774</v>
      </c>
      <c r="BB23" s="167">
        <f t="shared" si="39"/>
        <v>2669.0502070011344</v>
      </c>
      <c r="BC23" s="165">
        <v>0</v>
      </c>
      <c r="BD23" s="166">
        <f t="shared" si="40"/>
        <v>0</v>
      </c>
      <c r="BE23" s="33">
        <f t="shared" si="41"/>
        <v>40998.338878445909</v>
      </c>
      <c r="BF23" s="167">
        <f t="shared" si="42"/>
        <v>2869.8837214912141</v>
      </c>
      <c r="BG23" s="165">
        <v>0</v>
      </c>
      <c r="BH23" s="166">
        <f t="shared" si="43"/>
        <v>0</v>
      </c>
      <c r="BI23" s="33">
        <f t="shared" si="44"/>
        <v>44068.222599937122</v>
      </c>
      <c r="BJ23" s="167">
        <f t="shared" si="45"/>
        <v>3084.7755819955987</v>
      </c>
      <c r="BK23" s="87">
        <f t="shared" si="46"/>
        <v>1600</v>
      </c>
      <c r="BL23" s="33">
        <f>'2023-2024'!BL23+'2024-2025'!BK23</f>
        <v>8300</v>
      </c>
    </row>
    <row r="24" spans="1:64">
      <c r="A24" s="10" t="s">
        <v>595</v>
      </c>
      <c r="B24" s="10" t="s">
        <v>116</v>
      </c>
      <c r="C24" s="80">
        <v>0</v>
      </c>
      <c r="D24" s="79">
        <f t="shared" si="0"/>
        <v>2400</v>
      </c>
      <c r="E24" s="78">
        <f>'2023-2024'!I24</f>
        <v>42399.542510051047</v>
      </c>
      <c r="F24" s="187">
        <f t="shared" si="1"/>
        <v>2400</v>
      </c>
      <c r="G24" s="33">
        <f t="shared" si="2"/>
        <v>0</v>
      </c>
      <c r="H24" s="190">
        <f t="shared" si="3"/>
        <v>2400</v>
      </c>
      <c r="I24" s="78">
        <f t="shared" si="4"/>
        <v>90183.357872127395</v>
      </c>
      <c r="J24" s="78">
        <f t="shared" si="5"/>
        <v>0</v>
      </c>
      <c r="K24" s="78">
        <f t="shared" si="6"/>
        <v>0</v>
      </c>
      <c r="L24" s="78">
        <f t="shared" si="7"/>
        <v>45383.815362076348</v>
      </c>
      <c r="M24" s="194">
        <f t="shared" si="8"/>
        <v>45383.815362076348</v>
      </c>
      <c r="N24" s="78">
        <f t="shared" si="9"/>
        <v>-45383.815362076348</v>
      </c>
      <c r="O24" s="165">
        <v>0</v>
      </c>
      <c r="P24" s="166">
        <f t="shared" si="10"/>
        <v>0</v>
      </c>
      <c r="Q24" s="119">
        <f t="shared" si="11"/>
        <v>42599.542510051047</v>
      </c>
      <c r="R24" s="167">
        <f t="shared" si="12"/>
        <v>2342.9748380528076</v>
      </c>
      <c r="S24" s="165">
        <v>0</v>
      </c>
      <c r="T24" s="166">
        <f t="shared" si="13"/>
        <v>0</v>
      </c>
      <c r="U24" s="33">
        <f t="shared" si="14"/>
        <v>45142.517348103858</v>
      </c>
      <c r="V24" s="167">
        <f t="shared" si="15"/>
        <v>2482.8384541457121</v>
      </c>
      <c r="W24" s="165">
        <v>0</v>
      </c>
      <c r="X24" s="166">
        <f t="shared" si="16"/>
        <v>0</v>
      </c>
      <c r="Y24" s="33">
        <f t="shared" si="17"/>
        <v>47825.355802249571</v>
      </c>
      <c r="Z24" s="167">
        <f t="shared" si="18"/>
        <v>2630.3945691237263</v>
      </c>
      <c r="AA24" s="165">
        <v>0</v>
      </c>
      <c r="AB24" s="166">
        <f t="shared" si="19"/>
        <v>0</v>
      </c>
      <c r="AC24" s="33">
        <f t="shared" si="20"/>
        <v>50655.750371373295</v>
      </c>
      <c r="AD24" s="167">
        <f t="shared" si="21"/>
        <v>2786.0662704255315</v>
      </c>
      <c r="AE24" s="165">
        <v>0</v>
      </c>
      <c r="AF24" s="166">
        <f t="shared" si="22"/>
        <v>0</v>
      </c>
      <c r="AG24" s="33">
        <f t="shared" si="23"/>
        <v>53641.816641798825</v>
      </c>
      <c r="AH24" s="167">
        <f t="shared" si="24"/>
        <v>2950.2999152989355</v>
      </c>
      <c r="AI24" s="165">
        <v>0</v>
      </c>
      <c r="AJ24" s="166">
        <f t="shared" si="25"/>
        <v>0</v>
      </c>
      <c r="AK24" s="33">
        <f t="shared" si="26"/>
        <v>56792.116557097761</v>
      </c>
      <c r="AL24" s="167">
        <f t="shared" si="27"/>
        <v>3123.5664106403769</v>
      </c>
      <c r="AM24" s="165">
        <v>0</v>
      </c>
      <c r="AN24" s="166">
        <f t="shared" si="28"/>
        <v>0</v>
      </c>
      <c r="AO24" s="33">
        <f t="shared" si="29"/>
        <v>60115.682967738139</v>
      </c>
      <c r="AP24" s="167">
        <f t="shared" si="30"/>
        <v>3306.3625632255976</v>
      </c>
      <c r="AQ24" s="165">
        <v>0</v>
      </c>
      <c r="AR24" s="166">
        <f t="shared" si="31"/>
        <v>0</v>
      </c>
      <c r="AS24" s="33">
        <f t="shared" si="32"/>
        <v>63622.04553096374</v>
      </c>
      <c r="AT24" s="167">
        <f t="shared" si="33"/>
        <v>4453.5431871674618</v>
      </c>
      <c r="AU24" s="165">
        <v>0</v>
      </c>
      <c r="AV24" s="166">
        <f t="shared" si="34"/>
        <v>0</v>
      </c>
      <c r="AW24" s="33">
        <f t="shared" si="35"/>
        <v>68275.588718131199</v>
      </c>
      <c r="AX24" s="167">
        <f t="shared" si="36"/>
        <v>4779.2912102691844</v>
      </c>
      <c r="AY24" s="165">
        <v>0</v>
      </c>
      <c r="AZ24" s="166">
        <f t="shared" si="37"/>
        <v>0</v>
      </c>
      <c r="BA24" s="33">
        <f t="shared" si="38"/>
        <v>73254.879928400391</v>
      </c>
      <c r="BB24" s="167">
        <f t="shared" si="39"/>
        <v>5127.8415949880282</v>
      </c>
      <c r="BC24" s="165">
        <v>0</v>
      </c>
      <c r="BD24" s="166">
        <f t="shared" si="40"/>
        <v>0</v>
      </c>
      <c r="BE24" s="33">
        <f t="shared" si="41"/>
        <v>78582.72152338842</v>
      </c>
      <c r="BF24" s="167">
        <f t="shared" si="42"/>
        <v>5500.7905066371895</v>
      </c>
      <c r="BG24" s="165">
        <v>0</v>
      </c>
      <c r="BH24" s="166">
        <f t="shared" si="43"/>
        <v>0</v>
      </c>
      <c r="BI24" s="33">
        <f t="shared" si="44"/>
        <v>84283.512030025609</v>
      </c>
      <c r="BJ24" s="167">
        <f t="shared" si="45"/>
        <v>5899.8458421017931</v>
      </c>
      <c r="BK24" s="87">
        <f t="shared" si="46"/>
        <v>0</v>
      </c>
      <c r="BL24" s="33">
        <f>'2023-2024'!BL24+'2024-2025'!BK24</f>
        <v>500</v>
      </c>
    </row>
    <row r="25" spans="1:64">
      <c r="A25" s="10" t="s">
        <v>596</v>
      </c>
      <c r="B25" s="10" t="s">
        <v>120</v>
      </c>
      <c r="C25" s="80">
        <v>0</v>
      </c>
      <c r="D25" s="79">
        <f t="shared" si="0"/>
        <v>2400</v>
      </c>
      <c r="E25" s="78">
        <f>'2023-2024'!I25</f>
        <v>-3821.1108586142491</v>
      </c>
      <c r="F25" s="187">
        <f t="shared" si="1"/>
        <v>2400</v>
      </c>
      <c r="G25" s="33">
        <f t="shared" si="2"/>
        <v>5500</v>
      </c>
      <c r="H25" s="190">
        <f t="shared" si="3"/>
        <v>-3100</v>
      </c>
      <c r="I25" s="78">
        <f t="shared" si="4"/>
        <v>-14411.321489311636</v>
      </c>
      <c r="J25" s="78">
        <f t="shared" si="5"/>
        <v>0</v>
      </c>
      <c r="K25" s="78">
        <f t="shared" si="6"/>
        <v>302.5</v>
      </c>
      <c r="L25" s="78">
        <f t="shared" si="7"/>
        <v>-7490.2106306973865</v>
      </c>
      <c r="M25" s="194">
        <f t="shared" si="8"/>
        <v>-7490.2106306973865</v>
      </c>
      <c r="N25" s="78">
        <f t="shared" si="9"/>
        <v>13292.710630697387</v>
      </c>
      <c r="O25" s="165">
        <v>300</v>
      </c>
      <c r="P25" s="166">
        <f t="shared" si="10"/>
        <v>0</v>
      </c>
      <c r="Q25" s="119">
        <f t="shared" si="11"/>
        <v>-3621.1108586142491</v>
      </c>
      <c r="R25" s="167">
        <f t="shared" si="12"/>
        <v>-215.66109722378371</v>
      </c>
      <c r="S25" s="165">
        <v>1500</v>
      </c>
      <c r="T25" s="166">
        <f t="shared" si="13"/>
        <v>0</v>
      </c>
      <c r="U25" s="33">
        <f t="shared" si="14"/>
        <v>-5136.7719558380331</v>
      </c>
      <c r="V25" s="167">
        <f t="shared" si="15"/>
        <v>-365.02245757109182</v>
      </c>
      <c r="W25" s="165">
        <f>2500+300</f>
        <v>2800</v>
      </c>
      <c r="X25" s="166">
        <f t="shared" si="16"/>
        <v>0</v>
      </c>
      <c r="Y25" s="33">
        <f t="shared" si="17"/>
        <v>-8101.7944134091249</v>
      </c>
      <c r="Z25" s="167">
        <f t="shared" si="18"/>
        <v>-599.59869273750189</v>
      </c>
      <c r="AA25" s="165">
        <v>300</v>
      </c>
      <c r="AB25" s="166">
        <f t="shared" si="19"/>
        <v>0</v>
      </c>
      <c r="AC25" s="33">
        <f t="shared" si="20"/>
        <v>-8801.3931061466265</v>
      </c>
      <c r="AD25" s="167">
        <f t="shared" si="21"/>
        <v>-500.57662083806446</v>
      </c>
      <c r="AE25" s="165">
        <v>0</v>
      </c>
      <c r="AF25" s="166">
        <f t="shared" si="22"/>
        <v>0</v>
      </c>
      <c r="AG25" s="33">
        <f t="shared" si="23"/>
        <v>-9101.9697269846911</v>
      </c>
      <c r="AH25" s="167">
        <f t="shared" si="24"/>
        <v>-500.60833498415803</v>
      </c>
      <c r="AI25" s="165">
        <v>300</v>
      </c>
      <c r="AJ25" s="166">
        <f t="shared" si="25"/>
        <v>0</v>
      </c>
      <c r="AK25" s="33">
        <f t="shared" si="26"/>
        <v>-9702.5780619688485</v>
      </c>
      <c r="AL25" s="167">
        <f t="shared" si="27"/>
        <v>-550.14179340828662</v>
      </c>
      <c r="AM25" s="165">
        <v>300</v>
      </c>
      <c r="AN25" s="166">
        <f t="shared" si="28"/>
        <v>0</v>
      </c>
      <c r="AO25" s="33">
        <f t="shared" si="29"/>
        <v>-10352.719855377136</v>
      </c>
      <c r="AP25" s="167">
        <f t="shared" si="30"/>
        <v>-585.89959204574245</v>
      </c>
      <c r="AQ25" s="165">
        <v>0</v>
      </c>
      <c r="AR25" s="166">
        <f t="shared" si="31"/>
        <v>0</v>
      </c>
      <c r="AS25" s="33">
        <f t="shared" si="32"/>
        <v>-10738.619447422878</v>
      </c>
      <c r="AT25" s="167">
        <f t="shared" si="33"/>
        <v>-751.70336131960153</v>
      </c>
      <c r="AU25" s="165">
        <v>0</v>
      </c>
      <c r="AV25" s="166">
        <f t="shared" si="34"/>
        <v>0</v>
      </c>
      <c r="AW25" s="33">
        <f t="shared" si="35"/>
        <v>-11290.32280874248</v>
      </c>
      <c r="AX25" s="167">
        <f t="shared" si="36"/>
        <v>-790.32259661197361</v>
      </c>
      <c r="AY25" s="165">
        <v>0</v>
      </c>
      <c r="AZ25" s="166">
        <f t="shared" si="37"/>
        <v>0</v>
      </c>
      <c r="BA25" s="33">
        <f t="shared" si="38"/>
        <v>-11880.645405354453</v>
      </c>
      <c r="BB25" s="167">
        <f t="shared" si="39"/>
        <v>-831.64517837481174</v>
      </c>
      <c r="BC25" s="165">
        <v>0</v>
      </c>
      <c r="BD25" s="166">
        <f t="shared" si="40"/>
        <v>0</v>
      </c>
      <c r="BE25" s="33">
        <f t="shared" si="41"/>
        <v>-12512.290583729266</v>
      </c>
      <c r="BF25" s="167">
        <f t="shared" si="42"/>
        <v>-875.86034086104871</v>
      </c>
      <c r="BG25" s="165">
        <v>0</v>
      </c>
      <c r="BH25" s="166">
        <f t="shared" si="43"/>
        <v>0</v>
      </c>
      <c r="BI25" s="33">
        <f t="shared" si="44"/>
        <v>-13188.150924590314</v>
      </c>
      <c r="BJ25" s="167">
        <f t="shared" si="45"/>
        <v>-923.17056472132208</v>
      </c>
      <c r="BK25" s="87">
        <f t="shared" si="46"/>
        <v>5500</v>
      </c>
      <c r="BL25" s="33">
        <f>'2023-2024'!BL25+'2024-2025'!BK25</f>
        <v>22900</v>
      </c>
    </row>
    <row r="26" spans="1:64">
      <c r="A26" s="10" t="s">
        <v>597</v>
      </c>
      <c r="B26" s="10" t="s">
        <v>121</v>
      </c>
      <c r="C26" s="80">
        <v>0</v>
      </c>
      <c r="D26" s="79">
        <f t="shared" si="0"/>
        <v>2400</v>
      </c>
      <c r="E26" s="78">
        <f>'2023-2024'!I26</f>
        <v>15128.857702510119</v>
      </c>
      <c r="F26" s="187">
        <f t="shared" si="1"/>
        <v>2400</v>
      </c>
      <c r="G26" s="33">
        <f t="shared" si="2"/>
        <v>750</v>
      </c>
      <c r="H26" s="190">
        <f t="shared" si="3"/>
        <v>1650</v>
      </c>
      <c r="I26" s="78">
        <f t="shared" si="4"/>
        <v>33283.418003299317</v>
      </c>
      <c r="J26" s="78">
        <f t="shared" si="5"/>
        <v>0</v>
      </c>
      <c r="K26" s="78">
        <f t="shared" si="6"/>
        <v>41.25</v>
      </c>
      <c r="L26" s="78">
        <f t="shared" si="7"/>
        <v>16504.560300789199</v>
      </c>
      <c r="M26" s="194">
        <f t="shared" si="8"/>
        <v>16504.560300789199</v>
      </c>
      <c r="N26" s="78">
        <f t="shared" si="9"/>
        <v>-15713.310300789199</v>
      </c>
      <c r="O26" s="165">
        <v>0</v>
      </c>
      <c r="P26" s="166">
        <f t="shared" si="10"/>
        <v>0</v>
      </c>
      <c r="Q26" s="119">
        <f t="shared" si="11"/>
        <v>15328.857702510119</v>
      </c>
      <c r="R26" s="167">
        <f t="shared" si="12"/>
        <v>843.08717363805647</v>
      </c>
      <c r="S26" s="165">
        <v>0</v>
      </c>
      <c r="T26" s="166">
        <f t="shared" si="13"/>
        <v>0</v>
      </c>
      <c r="U26" s="33">
        <f t="shared" si="14"/>
        <v>16371.944876148174</v>
      </c>
      <c r="V26" s="167">
        <f t="shared" si="15"/>
        <v>900.45696818814963</v>
      </c>
      <c r="W26" s="165">
        <v>250</v>
      </c>
      <c r="X26" s="166">
        <f t="shared" si="16"/>
        <v>0</v>
      </c>
      <c r="Y26" s="33">
        <f t="shared" si="17"/>
        <v>17222.401844336324</v>
      </c>
      <c r="Z26" s="167">
        <f t="shared" si="18"/>
        <v>933.48210143849781</v>
      </c>
      <c r="AA26" s="165">
        <v>0</v>
      </c>
      <c r="AB26" s="166">
        <f t="shared" si="19"/>
        <v>0</v>
      </c>
      <c r="AC26" s="33">
        <f t="shared" si="20"/>
        <v>18355.883945774822</v>
      </c>
      <c r="AD26" s="167">
        <f t="shared" si="21"/>
        <v>1009.5736170176152</v>
      </c>
      <c r="AE26" s="165">
        <v>0</v>
      </c>
      <c r="AF26" s="166">
        <f t="shared" si="22"/>
        <v>0</v>
      </c>
      <c r="AG26" s="33">
        <f t="shared" si="23"/>
        <v>19565.457562792439</v>
      </c>
      <c r="AH26" s="167">
        <f t="shared" si="24"/>
        <v>1076.1001659535841</v>
      </c>
      <c r="AI26" s="165">
        <v>0</v>
      </c>
      <c r="AJ26" s="166">
        <f t="shared" si="25"/>
        <v>0</v>
      </c>
      <c r="AK26" s="33">
        <f t="shared" si="26"/>
        <v>20841.557728746022</v>
      </c>
      <c r="AL26" s="167">
        <f t="shared" si="27"/>
        <v>1146.2856750810313</v>
      </c>
      <c r="AM26" s="165">
        <v>500</v>
      </c>
      <c r="AN26" s="166">
        <f t="shared" si="28"/>
        <v>0</v>
      </c>
      <c r="AO26" s="33">
        <f t="shared" si="29"/>
        <v>21687.843403827053</v>
      </c>
      <c r="AP26" s="167">
        <f t="shared" si="30"/>
        <v>1165.3313872104879</v>
      </c>
      <c r="AQ26" s="165">
        <v>0</v>
      </c>
      <c r="AR26" s="166">
        <f t="shared" si="31"/>
        <v>0</v>
      </c>
      <c r="AS26" s="33">
        <f t="shared" si="32"/>
        <v>23053.174791037542</v>
      </c>
      <c r="AT26" s="167">
        <f t="shared" si="33"/>
        <v>1613.7222353726281</v>
      </c>
      <c r="AU26" s="165">
        <v>0</v>
      </c>
      <c r="AV26" s="166">
        <f t="shared" si="34"/>
        <v>0</v>
      </c>
      <c r="AW26" s="33">
        <f t="shared" si="35"/>
        <v>24866.89702641017</v>
      </c>
      <c r="AX26" s="167">
        <f t="shared" si="36"/>
        <v>1740.682791848712</v>
      </c>
      <c r="AY26" s="165">
        <v>0</v>
      </c>
      <c r="AZ26" s="166">
        <f t="shared" si="37"/>
        <v>0</v>
      </c>
      <c r="BA26" s="33">
        <f t="shared" si="38"/>
        <v>26807.579818258881</v>
      </c>
      <c r="BB26" s="167">
        <f t="shared" si="39"/>
        <v>1876.5305872781219</v>
      </c>
      <c r="BC26" s="165">
        <v>0</v>
      </c>
      <c r="BD26" s="166">
        <f t="shared" si="40"/>
        <v>0</v>
      </c>
      <c r="BE26" s="33">
        <f t="shared" si="41"/>
        <v>28884.110405537001</v>
      </c>
      <c r="BF26" s="167">
        <f t="shared" si="42"/>
        <v>2021.8877283875902</v>
      </c>
      <c r="BG26" s="165">
        <v>0</v>
      </c>
      <c r="BH26" s="166">
        <f t="shared" si="43"/>
        <v>0</v>
      </c>
      <c r="BI26" s="33">
        <f t="shared" si="44"/>
        <v>31105.998133924593</v>
      </c>
      <c r="BJ26" s="167">
        <f t="shared" si="45"/>
        <v>2177.4198693747217</v>
      </c>
      <c r="BK26" s="87">
        <f t="shared" si="46"/>
        <v>750</v>
      </c>
      <c r="BL26" s="33">
        <f>'2023-2024'!BL26+'2024-2025'!BK26</f>
        <v>12400</v>
      </c>
    </row>
    <row r="27" spans="1:64">
      <c r="A27" s="10" t="s">
        <v>598</v>
      </c>
      <c r="B27" s="10" t="s">
        <v>110</v>
      </c>
      <c r="C27" s="80">
        <v>0</v>
      </c>
      <c r="D27" s="79">
        <f t="shared" si="0"/>
        <v>2400</v>
      </c>
      <c r="E27" s="78">
        <f>'2023-2024'!I27</f>
        <v>33481.992882441489</v>
      </c>
      <c r="F27" s="187">
        <f t="shared" si="1"/>
        <v>2400</v>
      </c>
      <c r="G27" s="33">
        <f t="shared" si="2"/>
        <v>0</v>
      </c>
      <c r="H27" s="190">
        <f t="shared" si="3"/>
        <v>2400</v>
      </c>
      <c r="I27" s="78">
        <f t="shared" si="4"/>
        <v>71989.213322152704</v>
      </c>
      <c r="J27" s="78">
        <f t="shared" si="5"/>
        <v>0</v>
      </c>
      <c r="K27" s="78">
        <f t="shared" si="6"/>
        <v>0</v>
      </c>
      <c r="L27" s="78">
        <f t="shared" si="7"/>
        <v>36107.220439711222</v>
      </c>
      <c r="M27" s="194">
        <f t="shared" si="8"/>
        <v>36107.220439711222</v>
      </c>
      <c r="N27" s="78">
        <f t="shared" si="9"/>
        <v>-36107.220439711222</v>
      </c>
      <c r="O27" s="165">
        <v>0</v>
      </c>
      <c r="P27" s="166">
        <f t="shared" si="10"/>
        <v>0</v>
      </c>
      <c r="Q27" s="119">
        <f t="shared" si="11"/>
        <v>33681.992882441489</v>
      </c>
      <c r="R27" s="167">
        <f t="shared" si="12"/>
        <v>1852.5096085342818</v>
      </c>
      <c r="S27" s="165">
        <v>0</v>
      </c>
      <c r="T27" s="166">
        <f t="shared" si="13"/>
        <v>0</v>
      </c>
      <c r="U27" s="33">
        <f t="shared" si="14"/>
        <v>35734.50249097577</v>
      </c>
      <c r="V27" s="167">
        <f t="shared" si="15"/>
        <v>1965.3976370036673</v>
      </c>
      <c r="W27" s="165">
        <v>0</v>
      </c>
      <c r="X27" s="166">
        <f t="shared" si="16"/>
        <v>0</v>
      </c>
      <c r="Y27" s="33">
        <f t="shared" si="17"/>
        <v>37899.900127979439</v>
      </c>
      <c r="Z27" s="167">
        <f t="shared" si="18"/>
        <v>2084.494507038869</v>
      </c>
      <c r="AA27" s="165">
        <v>0</v>
      </c>
      <c r="AB27" s="166">
        <f t="shared" si="19"/>
        <v>0</v>
      </c>
      <c r="AC27" s="33">
        <f t="shared" si="20"/>
        <v>40184.394635018311</v>
      </c>
      <c r="AD27" s="167">
        <f t="shared" si="21"/>
        <v>2210.1417049260072</v>
      </c>
      <c r="AE27" s="165">
        <v>0</v>
      </c>
      <c r="AF27" s="166">
        <f t="shared" si="22"/>
        <v>0</v>
      </c>
      <c r="AG27" s="33">
        <f t="shared" si="23"/>
        <v>42594.536339944316</v>
      </c>
      <c r="AH27" s="167">
        <f t="shared" si="24"/>
        <v>2342.6994986969376</v>
      </c>
      <c r="AI27" s="165">
        <v>0</v>
      </c>
      <c r="AJ27" s="166">
        <f t="shared" si="25"/>
        <v>0</v>
      </c>
      <c r="AK27" s="33">
        <f t="shared" si="26"/>
        <v>45137.235838641252</v>
      </c>
      <c r="AL27" s="167">
        <f t="shared" si="27"/>
        <v>2482.5479711252688</v>
      </c>
      <c r="AM27" s="165">
        <v>0</v>
      </c>
      <c r="AN27" s="166">
        <f t="shared" si="28"/>
        <v>0</v>
      </c>
      <c r="AO27" s="33">
        <f t="shared" si="29"/>
        <v>47819.783809766523</v>
      </c>
      <c r="AP27" s="167">
        <f t="shared" si="30"/>
        <v>2630.0881095371587</v>
      </c>
      <c r="AQ27" s="165">
        <v>0</v>
      </c>
      <c r="AR27" s="166">
        <f t="shared" si="31"/>
        <v>0</v>
      </c>
      <c r="AS27" s="33">
        <f t="shared" si="32"/>
        <v>50649.871919303681</v>
      </c>
      <c r="AT27" s="167">
        <f t="shared" si="33"/>
        <v>3545.4910343512579</v>
      </c>
      <c r="AU27" s="165">
        <v>0</v>
      </c>
      <c r="AV27" s="166">
        <f t="shared" si="34"/>
        <v>0</v>
      </c>
      <c r="AW27" s="33">
        <f t="shared" si="35"/>
        <v>54395.362953654942</v>
      </c>
      <c r="AX27" s="167">
        <f t="shared" si="36"/>
        <v>3807.6754067558463</v>
      </c>
      <c r="AY27" s="165">
        <v>0</v>
      </c>
      <c r="AZ27" s="166">
        <f t="shared" si="37"/>
        <v>0</v>
      </c>
      <c r="BA27" s="33">
        <f t="shared" si="38"/>
        <v>58403.038360410785</v>
      </c>
      <c r="BB27" s="167">
        <f t="shared" si="39"/>
        <v>4088.2126852287552</v>
      </c>
      <c r="BC27" s="165">
        <v>0</v>
      </c>
      <c r="BD27" s="166">
        <f t="shared" si="40"/>
        <v>0</v>
      </c>
      <c r="BE27" s="33">
        <f t="shared" si="41"/>
        <v>62691.251045639539</v>
      </c>
      <c r="BF27" s="167">
        <f t="shared" si="42"/>
        <v>4388.3875731947683</v>
      </c>
      <c r="BG27" s="165">
        <v>0</v>
      </c>
      <c r="BH27" s="166">
        <f t="shared" si="43"/>
        <v>0</v>
      </c>
      <c r="BI27" s="33">
        <f t="shared" si="44"/>
        <v>67279.638618834302</v>
      </c>
      <c r="BJ27" s="167">
        <f t="shared" si="45"/>
        <v>4709.5747033184016</v>
      </c>
      <c r="BK27" s="87">
        <f t="shared" si="46"/>
        <v>0</v>
      </c>
      <c r="BL27" s="33">
        <f>'2023-2024'!BL27+'2024-2025'!BK27</f>
        <v>4100</v>
      </c>
    </row>
    <row r="28" spans="1:64">
      <c r="A28" s="10" t="s">
        <v>599</v>
      </c>
      <c r="B28" s="10" t="s">
        <v>116</v>
      </c>
      <c r="C28" s="80">
        <v>0</v>
      </c>
      <c r="D28" s="79">
        <f t="shared" si="0"/>
        <v>2400</v>
      </c>
      <c r="E28" s="78">
        <f>'2023-2024'!I28</f>
        <v>39901.939195270228</v>
      </c>
      <c r="F28" s="187">
        <f t="shared" si="1"/>
        <v>2400</v>
      </c>
      <c r="G28" s="33">
        <f t="shared" si="2"/>
        <v>0</v>
      </c>
      <c r="H28" s="190">
        <f t="shared" si="3"/>
        <v>2400</v>
      </c>
      <c r="I28" s="78">
        <f t="shared" si="4"/>
        <v>85087.590802110048</v>
      </c>
      <c r="J28" s="78">
        <f t="shared" si="5"/>
        <v>0</v>
      </c>
      <c r="K28" s="78">
        <f t="shared" si="6"/>
        <v>0</v>
      </c>
      <c r="L28" s="78">
        <f t="shared" si="7"/>
        <v>42785.65160683982</v>
      </c>
      <c r="M28" s="194">
        <f t="shared" si="8"/>
        <v>42785.65160683982</v>
      </c>
      <c r="N28" s="78">
        <f t="shared" si="9"/>
        <v>-42785.65160683982</v>
      </c>
      <c r="O28" s="165">
        <v>0</v>
      </c>
      <c r="P28" s="166">
        <f t="shared" si="10"/>
        <v>0</v>
      </c>
      <c r="Q28" s="119">
        <f t="shared" si="11"/>
        <v>40101.939195270228</v>
      </c>
      <c r="R28" s="167">
        <f t="shared" si="12"/>
        <v>2205.6066557398626</v>
      </c>
      <c r="S28" s="165">
        <v>0</v>
      </c>
      <c r="T28" s="166">
        <f t="shared" si="13"/>
        <v>0</v>
      </c>
      <c r="U28" s="33">
        <f t="shared" si="14"/>
        <v>42507.545851010087</v>
      </c>
      <c r="V28" s="167">
        <f t="shared" si="15"/>
        <v>2337.9150218055547</v>
      </c>
      <c r="W28" s="165">
        <v>0</v>
      </c>
      <c r="X28" s="166">
        <f t="shared" si="16"/>
        <v>0</v>
      </c>
      <c r="Y28" s="33">
        <f t="shared" si="17"/>
        <v>45045.460872815645</v>
      </c>
      <c r="Z28" s="167">
        <f t="shared" si="18"/>
        <v>2477.5003480048604</v>
      </c>
      <c r="AA28" s="165">
        <v>0</v>
      </c>
      <c r="AB28" s="166">
        <f t="shared" si="19"/>
        <v>0</v>
      </c>
      <c r="AC28" s="33">
        <f t="shared" si="20"/>
        <v>47722.961220820507</v>
      </c>
      <c r="AD28" s="167">
        <f t="shared" si="21"/>
        <v>2624.762867145128</v>
      </c>
      <c r="AE28" s="165">
        <v>0</v>
      </c>
      <c r="AF28" s="166">
        <f t="shared" si="22"/>
        <v>0</v>
      </c>
      <c r="AG28" s="33">
        <f t="shared" si="23"/>
        <v>50547.724087965638</v>
      </c>
      <c r="AH28" s="167">
        <f t="shared" si="24"/>
        <v>2780.1248248381103</v>
      </c>
      <c r="AI28" s="165">
        <v>0</v>
      </c>
      <c r="AJ28" s="166">
        <f t="shared" si="25"/>
        <v>0</v>
      </c>
      <c r="AK28" s="33">
        <f t="shared" si="26"/>
        <v>53527.848912803747</v>
      </c>
      <c r="AL28" s="167">
        <f t="shared" si="27"/>
        <v>2944.0316902042059</v>
      </c>
      <c r="AM28" s="165">
        <v>0</v>
      </c>
      <c r="AN28" s="166">
        <f t="shared" si="28"/>
        <v>0</v>
      </c>
      <c r="AO28" s="33">
        <f t="shared" si="29"/>
        <v>56671.88060300795</v>
      </c>
      <c r="AP28" s="167">
        <f t="shared" si="30"/>
        <v>3116.9534331654372</v>
      </c>
      <c r="AQ28" s="165">
        <v>0</v>
      </c>
      <c r="AR28" s="166">
        <f t="shared" si="31"/>
        <v>0</v>
      </c>
      <c r="AS28" s="33">
        <f t="shared" si="32"/>
        <v>59988.834036173386</v>
      </c>
      <c r="AT28" s="167">
        <f t="shared" si="33"/>
        <v>4199.2183825321372</v>
      </c>
      <c r="AU28" s="165">
        <v>0</v>
      </c>
      <c r="AV28" s="166">
        <f t="shared" si="34"/>
        <v>0</v>
      </c>
      <c r="AW28" s="33">
        <f t="shared" si="35"/>
        <v>64388.052418705527</v>
      </c>
      <c r="AX28" s="167">
        <f t="shared" si="36"/>
        <v>4507.1636693093869</v>
      </c>
      <c r="AY28" s="165">
        <v>0</v>
      </c>
      <c r="AZ28" s="166">
        <f t="shared" si="37"/>
        <v>0</v>
      </c>
      <c r="BA28" s="33">
        <f t="shared" si="38"/>
        <v>69095.216088014917</v>
      </c>
      <c r="BB28" s="167">
        <f t="shared" si="39"/>
        <v>4836.665126161045</v>
      </c>
      <c r="BC28" s="165">
        <v>0</v>
      </c>
      <c r="BD28" s="166">
        <f t="shared" si="40"/>
        <v>0</v>
      </c>
      <c r="BE28" s="33">
        <f t="shared" si="41"/>
        <v>74131.881214175955</v>
      </c>
      <c r="BF28" s="167">
        <f t="shared" si="42"/>
        <v>5189.2316849923172</v>
      </c>
      <c r="BG28" s="165">
        <v>0</v>
      </c>
      <c r="BH28" s="166">
        <f t="shared" si="43"/>
        <v>0</v>
      </c>
      <c r="BI28" s="33">
        <f t="shared" si="44"/>
        <v>79521.112899168278</v>
      </c>
      <c r="BJ28" s="167">
        <f t="shared" si="45"/>
        <v>5566.4779029417796</v>
      </c>
      <c r="BK28" s="87">
        <f t="shared" si="46"/>
        <v>0</v>
      </c>
      <c r="BL28" s="33">
        <f>'2023-2024'!BL28+'2024-2025'!BK28</f>
        <v>1100</v>
      </c>
    </row>
    <row r="29" spans="1:64">
      <c r="A29" s="10" t="s">
        <v>600</v>
      </c>
      <c r="B29" s="10" t="s">
        <v>141</v>
      </c>
      <c r="C29" s="80">
        <v>0</v>
      </c>
      <c r="D29" s="79">
        <f t="shared" si="0"/>
        <v>2400</v>
      </c>
      <c r="E29" s="78">
        <f>'2023-2024'!I29</f>
        <v>42399.542510051047</v>
      </c>
      <c r="F29" s="187">
        <f t="shared" si="1"/>
        <v>2400</v>
      </c>
      <c r="G29" s="33">
        <f t="shared" si="2"/>
        <v>0</v>
      </c>
      <c r="H29" s="190">
        <f t="shared" si="3"/>
        <v>2400</v>
      </c>
      <c r="I29" s="78">
        <f t="shared" si="4"/>
        <v>90183.357872127395</v>
      </c>
      <c r="J29" s="78">
        <f t="shared" si="5"/>
        <v>0</v>
      </c>
      <c r="K29" s="78">
        <f t="shared" si="6"/>
        <v>0</v>
      </c>
      <c r="L29" s="78">
        <f t="shared" si="7"/>
        <v>45383.815362076348</v>
      </c>
      <c r="M29" s="194">
        <f t="shared" si="8"/>
        <v>45383.815362076348</v>
      </c>
      <c r="N29" s="78">
        <f t="shared" si="9"/>
        <v>-45383.815362076348</v>
      </c>
      <c r="O29" s="165">
        <v>0</v>
      </c>
      <c r="P29" s="166">
        <f t="shared" si="10"/>
        <v>0</v>
      </c>
      <c r="Q29" s="119">
        <f t="shared" si="11"/>
        <v>42599.542510051047</v>
      </c>
      <c r="R29" s="167">
        <f t="shared" si="12"/>
        <v>2342.9748380528076</v>
      </c>
      <c r="S29" s="165">
        <v>0</v>
      </c>
      <c r="T29" s="166">
        <f t="shared" si="13"/>
        <v>0</v>
      </c>
      <c r="U29" s="33">
        <f t="shared" si="14"/>
        <v>45142.517348103858</v>
      </c>
      <c r="V29" s="167">
        <f t="shared" si="15"/>
        <v>2482.8384541457121</v>
      </c>
      <c r="W29" s="165">
        <v>0</v>
      </c>
      <c r="X29" s="166">
        <f t="shared" si="16"/>
        <v>0</v>
      </c>
      <c r="Y29" s="33">
        <f t="shared" si="17"/>
        <v>47825.355802249571</v>
      </c>
      <c r="Z29" s="167">
        <f t="shared" si="18"/>
        <v>2630.3945691237263</v>
      </c>
      <c r="AA29" s="165">
        <v>0</v>
      </c>
      <c r="AB29" s="166">
        <f t="shared" si="19"/>
        <v>0</v>
      </c>
      <c r="AC29" s="33">
        <f t="shared" si="20"/>
        <v>50655.750371373295</v>
      </c>
      <c r="AD29" s="167">
        <f t="shared" si="21"/>
        <v>2786.0662704255315</v>
      </c>
      <c r="AE29" s="165">
        <v>0</v>
      </c>
      <c r="AF29" s="166">
        <f t="shared" si="22"/>
        <v>0</v>
      </c>
      <c r="AG29" s="33">
        <f t="shared" si="23"/>
        <v>53641.816641798825</v>
      </c>
      <c r="AH29" s="167">
        <f t="shared" si="24"/>
        <v>2950.2999152989355</v>
      </c>
      <c r="AI29" s="165">
        <v>0</v>
      </c>
      <c r="AJ29" s="166">
        <f t="shared" si="25"/>
        <v>0</v>
      </c>
      <c r="AK29" s="33">
        <f t="shared" si="26"/>
        <v>56792.116557097761</v>
      </c>
      <c r="AL29" s="167">
        <f t="shared" si="27"/>
        <v>3123.5664106403769</v>
      </c>
      <c r="AM29" s="165">
        <v>0</v>
      </c>
      <c r="AN29" s="166">
        <f t="shared" si="28"/>
        <v>0</v>
      </c>
      <c r="AO29" s="33">
        <f t="shared" si="29"/>
        <v>60115.682967738139</v>
      </c>
      <c r="AP29" s="167">
        <f t="shared" si="30"/>
        <v>3306.3625632255976</v>
      </c>
      <c r="AQ29" s="165">
        <v>0</v>
      </c>
      <c r="AR29" s="166">
        <f t="shared" si="31"/>
        <v>0</v>
      </c>
      <c r="AS29" s="33">
        <f t="shared" si="32"/>
        <v>63622.04553096374</v>
      </c>
      <c r="AT29" s="167">
        <f t="shared" si="33"/>
        <v>4453.5431871674618</v>
      </c>
      <c r="AU29" s="165">
        <v>0</v>
      </c>
      <c r="AV29" s="166">
        <f t="shared" si="34"/>
        <v>0</v>
      </c>
      <c r="AW29" s="33">
        <f t="shared" si="35"/>
        <v>68275.588718131199</v>
      </c>
      <c r="AX29" s="167">
        <f t="shared" si="36"/>
        <v>4779.2912102691844</v>
      </c>
      <c r="AY29" s="165">
        <v>0</v>
      </c>
      <c r="AZ29" s="166">
        <f t="shared" si="37"/>
        <v>0</v>
      </c>
      <c r="BA29" s="33">
        <f t="shared" si="38"/>
        <v>73254.879928400391</v>
      </c>
      <c r="BB29" s="167">
        <f t="shared" si="39"/>
        <v>5127.8415949880282</v>
      </c>
      <c r="BC29" s="165">
        <v>0</v>
      </c>
      <c r="BD29" s="166">
        <f t="shared" si="40"/>
        <v>0</v>
      </c>
      <c r="BE29" s="33">
        <f t="shared" si="41"/>
        <v>78582.72152338842</v>
      </c>
      <c r="BF29" s="167">
        <f t="shared" si="42"/>
        <v>5500.7905066371895</v>
      </c>
      <c r="BG29" s="165">
        <v>0</v>
      </c>
      <c r="BH29" s="166">
        <f t="shared" si="43"/>
        <v>0</v>
      </c>
      <c r="BI29" s="33">
        <f t="shared" si="44"/>
        <v>84283.512030025609</v>
      </c>
      <c r="BJ29" s="167">
        <f t="shared" si="45"/>
        <v>5899.8458421017931</v>
      </c>
      <c r="BK29" s="87">
        <f t="shared" si="46"/>
        <v>0</v>
      </c>
      <c r="BL29" s="33">
        <f>'2023-2024'!BL29+'2024-2025'!BK29</f>
        <v>500</v>
      </c>
    </row>
    <row r="30" spans="1:64">
      <c r="A30" s="10" t="s">
        <v>601</v>
      </c>
      <c r="B30" s="10" t="s">
        <v>122</v>
      </c>
      <c r="C30" s="80">
        <v>0</v>
      </c>
      <c r="D30" s="79">
        <f t="shared" si="0"/>
        <v>2400</v>
      </c>
      <c r="E30" s="78">
        <f>'2023-2024'!I30</f>
        <v>21586.181553544251</v>
      </c>
      <c r="F30" s="187">
        <f t="shared" si="1"/>
        <v>2400</v>
      </c>
      <c r="G30" s="33">
        <f t="shared" si="2"/>
        <v>0</v>
      </c>
      <c r="H30" s="190">
        <f t="shared" si="3"/>
        <v>2400</v>
      </c>
      <c r="I30" s="78">
        <f t="shared" si="4"/>
        <v>47718.632288649656</v>
      </c>
      <c r="J30" s="78">
        <f t="shared" si="5"/>
        <v>0</v>
      </c>
      <c r="K30" s="78">
        <f t="shared" si="6"/>
        <v>0</v>
      </c>
      <c r="L30" s="78">
        <f t="shared" si="7"/>
        <v>23732.450735105405</v>
      </c>
      <c r="M30" s="194">
        <f t="shared" si="8"/>
        <v>23732.450735105405</v>
      </c>
      <c r="N30" s="78">
        <f t="shared" si="9"/>
        <v>-23732.450735105405</v>
      </c>
      <c r="O30" s="165">
        <v>0</v>
      </c>
      <c r="P30" s="166">
        <f t="shared" si="10"/>
        <v>0</v>
      </c>
      <c r="Q30" s="119">
        <f t="shared" si="11"/>
        <v>21786.181553544251</v>
      </c>
      <c r="R30" s="167">
        <f t="shared" si="12"/>
        <v>1198.2399854449338</v>
      </c>
      <c r="S30" s="165">
        <v>0</v>
      </c>
      <c r="T30" s="166">
        <f t="shared" si="13"/>
        <v>0</v>
      </c>
      <c r="U30" s="33">
        <f t="shared" si="14"/>
        <v>23184.421538989183</v>
      </c>
      <c r="V30" s="167">
        <f t="shared" si="15"/>
        <v>1275.143184644405</v>
      </c>
      <c r="W30" s="165">
        <v>0</v>
      </c>
      <c r="X30" s="166">
        <f t="shared" si="16"/>
        <v>0</v>
      </c>
      <c r="Y30" s="33">
        <f t="shared" si="17"/>
        <v>24659.56472363359</v>
      </c>
      <c r="Z30" s="167">
        <f t="shared" si="18"/>
        <v>1356.2760597998474</v>
      </c>
      <c r="AA30" s="165">
        <v>0</v>
      </c>
      <c r="AB30" s="166">
        <f t="shared" si="19"/>
        <v>0</v>
      </c>
      <c r="AC30" s="33">
        <f t="shared" si="20"/>
        <v>26215.840783433436</v>
      </c>
      <c r="AD30" s="167">
        <f t="shared" si="21"/>
        <v>1441.871243088839</v>
      </c>
      <c r="AE30" s="165">
        <v>0</v>
      </c>
      <c r="AF30" s="166">
        <f t="shared" si="22"/>
        <v>0</v>
      </c>
      <c r="AG30" s="33">
        <f t="shared" si="23"/>
        <v>27857.712026522277</v>
      </c>
      <c r="AH30" s="167">
        <f t="shared" si="24"/>
        <v>1532.1741614587252</v>
      </c>
      <c r="AI30" s="165">
        <v>0</v>
      </c>
      <c r="AJ30" s="166">
        <f t="shared" si="25"/>
        <v>0</v>
      </c>
      <c r="AK30" s="33">
        <f t="shared" si="26"/>
        <v>29589.886187981003</v>
      </c>
      <c r="AL30" s="167">
        <f t="shared" si="27"/>
        <v>1627.4437403389552</v>
      </c>
      <c r="AM30" s="165">
        <v>0</v>
      </c>
      <c r="AN30" s="166">
        <f t="shared" si="28"/>
        <v>0</v>
      </c>
      <c r="AO30" s="33">
        <f t="shared" si="29"/>
        <v>31417.329928319959</v>
      </c>
      <c r="AP30" s="167">
        <f t="shared" si="30"/>
        <v>1727.9531460575977</v>
      </c>
      <c r="AQ30" s="165">
        <v>0</v>
      </c>
      <c r="AR30" s="166">
        <f t="shared" si="31"/>
        <v>0</v>
      </c>
      <c r="AS30" s="33">
        <f t="shared" si="32"/>
        <v>33345.283074377556</v>
      </c>
      <c r="AT30" s="167">
        <f t="shared" si="33"/>
        <v>2334.1698152064291</v>
      </c>
      <c r="AU30" s="165">
        <v>0</v>
      </c>
      <c r="AV30" s="166">
        <f t="shared" si="34"/>
        <v>0</v>
      </c>
      <c r="AW30" s="33">
        <f t="shared" si="35"/>
        <v>35879.452889583983</v>
      </c>
      <c r="AX30" s="167">
        <f t="shared" si="36"/>
        <v>2511.5617022708789</v>
      </c>
      <c r="AY30" s="165">
        <v>0</v>
      </c>
      <c r="AZ30" s="166">
        <f t="shared" si="37"/>
        <v>0</v>
      </c>
      <c r="BA30" s="33">
        <f t="shared" si="38"/>
        <v>38591.014591854859</v>
      </c>
      <c r="BB30" s="167">
        <f t="shared" si="39"/>
        <v>2701.3710214298403</v>
      </c>
      <c r="BC30" s="165">
        <v>0</v>
      </c>
      <c r="BD30" s="166">
        <f t="shared" si="40"/>
        <v>0</v>
      </c>
      <c r="BE30" s="33">
        <f t="shared" si="41"/>
        <v>41492.3856132847</v>
      </c>
      <c r="BF30" s="167">
        <f t="shared" si="42"/>
        <v>2904.4669929299293</v>
      </c>
      <c r="BG30" s="165">
        <v>0</v>
      </c>
      <c r="BH30" s="166">
        <f t="shared" si="43"/>
        <v>0</v>
      </c>
      <c r="BI30" s="33">
        <f t="shared" si="44"/>
        <v>44596.852606214627</v>
      </c>
      <c r="BJ30" s="167">
        <f t="shared" si="45"/>
        <v>3121.7796824350244</v>
      </c>
      <c r="BK30" s="87">
        <f t="shared" si="46"/>
        <v>0</v>
      </c>
      <c r="BL30" s="33">
        <f>'2023-2024'!BL30+'2024-2025'!BK30</f>
        <v>5600</v>
      </c>
    </row>
    <row r="31" spans="1:64">
      <c r="A31" s="10" t="s">
        <v>602</v>
      </c>
      <c r="B31" s="10" t="s">
        <v>116</v>
      </c>
      <c r="C31" s="80">
        <v>0</v>
      </c>
      <c r="D31" s="79">
        <f t="shared" si="0"/>
        <v>2400</v>
      </c>
      <c r="E31" s="78">
        <f>'2023-2024'!I31</f>
        <v>5391.428978364881</v>
      </c>
      <c r="F31" s="187">
        <f t="shared" si="1"/>
        <v>2400</v>
      </c>
      <c r="G31" s="33">
        <f t="shared" si="2"/>
        <v>1000</v>
      </c>
      <c r="H31" s="190">
        <f t="shared" si="3"/>
        <v>1400</v>
      </c>
      <c r="I31" s="78">
        <f t="shared" si="4"/>
        <v>13120.249037103989</v>
      </c>
      <c r="J31" s="78">
        <f t="shared" si="5"/>
        <v>0</v>
      </c>
      <c r="K31" s="78">
        <f t="shared" si="6"/>
        <v>55</v>
      </c>
      <c r="L31" s="78">
        <f t="shared" si="7"/>
        <v>6328.8200587391093</v>
      </c>
      <c r="M31" s="194">
        <f t="shared" si="8"/>
        <v>6328.8200587391093</v>
      </c>
      <c r="N31" s="78">
        <f t="shared" si="9"/>
        <v>-5273.8200587391093</v>
      </c>
      <c r="O31" s="165">
        <v>0</v>
      </c>
      <c r="P31" s="166">
        <f t="shared" si="10"/>
        <v>0</v>
      </c>
      <c r="Q31" s="119">
        <f t="shared" si="11"/>
        <v>5591.428978364881</v>
      </c>
      <c r="R31" s="167">
        <f t="shared" si="12"/>
        <v>307.52859381006846</v>
      </c>
      <c r="S31" s="165">
        <v>0</v>
      </c>
      <c r="T31" s="166">
        <f t="shared" si="13"/>
        <v>0</v>
      </c>
      <c r="U31" s="33">
        <f t="shared" si="14"/>
        <v>6098.9575721749497</v>
      </c>
      <c r="V31" s="167">
        <f t="shared" si="15"/>
        <v>335.44266646962222</v>
      </c>
      <c r="W31" s="165">
        <v>0</v>
      </c>
      <c r="X31" s="166">
        <f t="shared" si="16"/>
        <v>0</v>
      </c>
      <c r="Y31" s="33">
        <f t="shared" si="17"/>
        <v>6634.4002386445718</v>
      </c>
      <c r="Z31" s="167">
        <f t="shared" si="18"/>
        <v>364.89201312545146</v>
      </c>
      <c r="AA31" s="165">
        <v>0</v>
      </c>
      <c r="AB31" s="166">
        <f t="shared" si="19"/>
        <v>0</v>
      </c>
      <c r="AC31" s="33">
        <f t="shared" si="20"/>
        <v>7199.2922517700235</v>
      </c>
      <c r="AD31" s="167">
        <f t="shared" si="21"/>
        <v>395.96107384735132</v>
      </c>
      <c r="AE31" s="165">
        <v>0</v>
      </c>
      <c r="AF31" s="166">
        <f t="shared" si="22"/>
        <v>0</v>
      </c>
      <c r="AG31" s="33">
        <f t="shared" si="23"/>
        <v>7795.2533256173747</v>
      </c>
      <c r="AH31" s="167">
        <f t="shared" si="24"/>
        <v>428.73893290895563</v>
      </c>
      <c r="AI31" s="165">
        <v>0</v>
      </c>
      <c r="AJ31" s="166">
        <f t="shared" si="25"/>
        <v>0</v>
      </c>
      <c r="AK31" s="33">
        <f t="shared" si="26"/>
        <v>8423.9922585263303</v>
      </c>
      <c r="AL31" s="167">
        <f t="shared" si="27"/>
        <v>463.31957421894816</v>
      </c>
      <c r="AM31" s="165">
        <v>1000</v>
      </c>
      <c r="AN31" s="166">
        <f t="shared" si="28"/>
        <v>0</v>
      </c>
      <c r="AO31" s="33">
        <f t="shared" si="29"/>
        <v>8087.3118327452785</v>
      </c>
      <c r="AP31" s="167">
        <f t="shared" si="30"/>
        <v>389.80215080099032</v>
      </c>
      <c r="AQ31" s="165">
        <v>0</v>
      </c>
      <c r="AR31" s="166">
        <f t="shared" si="31"/>
        <v>0</v>
      </c>
      <c r="AS31" s="33">
        <f t="shared" si="32"/>
        <v>8677.1139835462691</v>
      </c>
      <c r="AT31" s="167">
        <f t="shared" si="33"/>
        <v>607.39797884823895</v>
      </c>
      <c r="AU31" s="165">
        <v>0</v>
      </c>
      <c r="AV31" s="166">
        <f t="shared" si="34"/>
        <v>0</v>
      </c>
      <c r="AW31" s="33">
        <f t="shared" si="35"/>
        <v>9484.5119623945084</v>
      </c>
      <c r="AX31" s="167">
        <f t="shared" si="36"/>
        <v>663.91583736761561</v>
      </c>
      <c r="AY31" s="165">
        <v>0</v>
      </c>
      <c r="AZ31" s="166">
        <f t="shared" si="37"/>
        <v>0</v>
      </c>
      <c r="BA31" s="33">
        <f t="shared" si="38"/>
        <v>10348.427799762125</v>
      </c>
      <c r="BB31" s="167">
        <f t="shared" si="39"/>
        <v>724.38994598334875</v>
      </c>
      <c r="BC31" s="165">
        <v>0</v>
      </c>
      <c r="BD31" s="166">
        <f t="shared" si="40"/>
        <v>0</v>
      </c>
      <c r="BE31" s="33">
        <f t="shared" si="41"/>
        <v>11272.817745745473</v>
      </c>
      <c r="BF31" s="167">
        <f t="shared" si="42"/>
        <v>789.09724220218322</v>
      </c>
      <c r="BG31" s="165">
        <v>0</v>
      </c>
      <c r="BH31" s="166">
        <f t="shared" si="43"/>
        <v>0</v>
      </c>
      <c r="BI31" s="33">
        <f t="shared" si="44"/>
        <v>12261.914987947657</v>
      </c>
      <c r="BJ31" s="167">
        <f t="shared" si="45"/>
        <v>858.33404915633605</v>
      </c>
      <c r="BK31" s="87">
        <f t="shared" si="46"/>
        <v>1000</v>
      </c>
      <c r="BL31" s="33">
        <f>'2023-2024'!BL31+'2024-2025'!BK31</f>
        <v>14000</v>
      </c>
    </row>
    <row r="32" spans="1:64">
      <c r="A32" s="10" t="s">
        <v>603</v>
      </c>
      <c r="B32" s="10" t="s">
        <v>115</v>
      </c>
      <c r="C32" s="80">
        <v>0</v>
      </c>
      <c r="D32" s="79">
        <f t="shared" si="0"/>
        <v>2400</v>
      </c>
      <c r="E32" s="78">
        <f>'2023-2024'!I32</f>
        <v>-2002.2012335850127</v>
      </c>
      <c r="F32" s="187">
        <f t="shared" si="1"/>
        <v>2400</v>
      </c>
      <c r="G32" s="33">
        <f t="shared" si="2"/>
        <v>0</v>
      </c>
      <c r="H32" s="190">
        <f t="shared" si="3"/>
        <v>2400</v>
      </c>
      <c r="I32" s="78">
        <f t="shared" si="4"/>
        <v>-407.86703582991277</v>
      </c>
      <c r="J32" s="78">
        <f t="shared" si="5"/>
        <v>0</v>
      </c>
      <c r="K32" s="78">
        <f t="shared" si="6"/>
        <v>0</v>
      </c>
      <c r="L32" s="78">
        <f t="shared" si="7"/>
        <v>-805.66580224490008</v>
      </c>
      <c r="M32" s="194">
        <f t="shared" si="8"/>
        <v>-805.66580224490008</v>
      </c>
      <c r="N32" s="78">
        <f t="shared" si="9"/>
        <v>805.66580224490008</v>
      </c>
      <c r="O32" s="165">
        <v>0</v>
      </c>
      <c r="P32" s="166">
        <f t="shared" si="10"/>
        <v>0</v>
      </c>
      <c r="Q32" s="119">
        <f t="shared" si="11"/>
        <v>-1802.2012335850127</v>
      </c>
      <c r="R32" s="167">
        <f t="shared" si="12"/>
        <v>-99.121067847175695</v>
      </c>
      <c r="S32" s="165">
        <v>0</v>
      </c>
      <c r="T32" s="166">
        <f t="shared" si="13"/>
        <v>0</v>
      </c>
      <c r="U32" s="33">
        <f t="shared" si="14"/>
        <v>-1701.3223014321884</v>
      </c>
      <c r="V32" s="167">
        <f t="shared" si="15"/>
        <v>-93.572726578770357</v>
      </c>
      <c r="W32" s="165">
        <v>0</v>
      </c>
      <c r="X32" s="166">
        <f t="shared" si="16"/>
        <v>0</v>
      </c>
      <c r="Y32" s="33">
        <f t="shared" si="17"/>
        <v>-1594.8950280109589</v>
      </c>
      <c r="Z32" s="167">
        <f t="shared" si="18"/>
        <v>-87.719226540602733</v>
      </c>
      <c r="AA32" s="165">
        <v>0</v>
      </c>
      <c r="AB32" s="166">
        <f t="shared" si="19"/>
        <v>0</v>
      </c>
      <c r="AC32" s="33">
        <f t="shared" si="20"/>
        <v>-1482.6142545515615</v>
      </c>
      <c r="AD32" s="167">
        <f t="shared" si="21"/>
        <v>-81.54378400033589</v>
      </c>
      <c r="AE32" s="165">
        <v>0</v>
      </c>
      <c r="AF32" s="166">
        <f t="shared" si="22"/>
        <v>0</v>
      </c>
      <c r="AG32" s="33">
        <f t="shared" si="23"/>
        <v>-1364.1580385518973</v>
      </c>
      <c r="AH32" s="167">
        <f t="shared" si="24"/>
        <v>-75.02869212035435</v>
      </c>
      <c r="AI32" s="165">
        <v>0</v>
      </c>
      <c r="AJ32" s="166">
        <f t="shared" si="25"/>
        <v>0</v>
      </c>
      <c r="AK32" s="33">
        <f t="shared" si="26"/>
        <v>-1239.1867306722518</v>
      </c>
      <c r="AL32" s="167">
        <f t="shared" si="27"/>
        <v>-68.155270186973851</v>
      </c>
      <c r="AM32" s="165">
        <v>0</v>
      </c>
      <c r="AN32" s="166">
        <f t="shared" si="28"/>
        <v>0</v>
      </c>
      <c r="AO32" s="33">
        <f t="shared" si="29"/>
        <v>-1107.3420008592257</v>
      </c>
      <c r="AP32" s="167">
        <f t="shared" si="30"/>
        <v>-60.903810047257409</v>
      </c>
      <c r="AQ32" s="165">
        <v>0</v>
      </c>
      <c r="AR32" s="166">
        <f t="shared" si="31"/>
        <v>0</v>
      </c>
      <c r="AS32" s="33">
        <f t="shared" si="32"/>
        <v>-968.24581090648303</v>
      </c>
      <c r="AT32" s="167">
        <f t="shared" si="33"/>
        <v>-67.777206763453819</v>
      </c>
      <c r="AU32" s="165">
        <v>0</v>
      </c>
      <c r="AV32" s="166">
        <f t="shared" si="34"/>
        <v>0</v>
      </c>
      <c r="AW32" s="33">
        <f t="shared" si="35"/>
        <v>-836.02301766993685</v>
      </c>
      <c r="AX32" s="167">
        <f t="shared" si="36"/>
        <v>-58.521611236895588</v>
      </c>
      <c r="AY32" s="165">
        <v>0</v>
      </c>
      <c r="AZ32" s="166">
        <f t="shared" si="37"/>
        <v>0</v>
      </c>
      <c r="BA32" s="33">
        <f t="shared" si="38"/>
        <v>-694.54462890683249</v>
      </c>
      <c r="BB32" s="167">
        <f t="shared" si="39"/>
        <v>-48.618124023478281</v>
      </c>
      <c r="BC32" s="165">
        <v>0</v>
      </c>
      <c r="BD32" s="166">
        <f t="shared" si="40"/>
        <v>0</v>
      </c>
      <c r="BE32" s="33">
        <f t="shared" si="41"/>
        <v>-543.16275293031072</v>
      </c>
      <c r="BF32" s="167">
        <f t="shared" si="42"/>
        <v>-38.021392705121755</v>
      </c>
      <c r="BG32" s="165">
        <v>0</v>
      </c>
      <c r="BH32" s="166">
        <f t="shared" si="43"/>
        <v>0</v>
      </c>
      <c r="BI32" s="33">
        <f t="shared" si="44"/>
        <v>-381.18414563543246</v>
      </c>
      <c r="BJ32" s="167">
        <f t="shared" si="45"/>
        <v>-26.682890194480276</v>
      </c>
      <c r="BK32" s="87">
        <f t="shared" si="46"/>
        <v>0</v>
      </c>
      <c r="BL32" s="33">
        <f>'2023-2024'!BL32+'2024-2025'!BK32</f>
        <v>15600</v>
      </c>
    </row>
    <row r="33" spans="1:64">
      <c r="A33" s="10" t="s">
        <v>604</v>
      </c>
      <c r="B33" s="10" t="s">
        <v>123</v>
      </c>
      <c r="C33" s="80">
        <v>0</v>
      </c>
      <c r="D33" s="79">
        <f t="shared" si="0"/>
        <v>2400</v>
      </c>
      <c r="E33" s="78">
        <f>'2023-2024'!I33</f>
        <v>39485.671976140082</v>
      </c>
      <c r="F33" s="187">
        <f t="shared" si="1"/>
        <v>2400</v>
      </c>
      <c r="G33" s="33">
        <f t="shared" si="2"/>
        <v>0</v>
      </c>
      <c r="H33" s="190">
        <f t="shared" si="3"/>
        <v>2400</v>
      </c>
      <c r="I33" s="78">
        <f t="shared" si="4"/>
        <v>84238.296290440485</v>
      </c>
      <c r="J33" s="78">
        <f t="shared" si="5"/>
        <v>0</v>
      </c>
      <c r="K33" s="78">
        <f t="shared" si="6"/>
        <v>0</v>
      </c>
      <c r="L33" s="78">
        <f t="shared" si="7"/>
        <v>42352.624314300403</v>
      </c>
      <c r="M33" s="194">
        <f t="shared" si="8"/>
        <v>42352.624314300403</v>
      </c>
      <c r="N33" s="78">
        <f t="shared" si="9"/>
        <v>-42352.624314300403</v>
      </c>
      <c r="O33" s="165">
        <v>0</v>
      </c>
      <c r="P33" s="166">
        <f t="shared" si="10"/>
        <v>0</v>
      </c>
      <c r="Q33" s="119">
        <f t="shared" si="11"/>
        <v>39685.671976140082</v>
      </c>
      <c r="R33" s="167">
        <f t="shared" si="12"/>
        <v>2182.7119586877047</v>
      </c>
      <c r="S33" s="165">
        <v>0</v>
      </c>
      <c r="T33" s="166">
        <f t="shared" si="13"/>
        <v>0</v>
      </c>
      <c r="U33" s="33">
        <f t="shared" si="14"/>
        <v>42068.383934827783</v>
      </c>
      <c r="V33" s="167">
        <f t="shared" si="15"/>
        <v>2313.7611164155282</v>
      </c>
      <c r="W33" s="165">
        <v>0</v>
      </c>
      <c r="X33" s="166">
        <f t="shared" si="16"/>
        <v>0</v>
      </c>
      <c r="Y33" s="33">
        <f t="shared" si="17"/>
        <v>44582.145051243315</v>
      </c>
      <c r="Z33" s="167">
        <f t="shared" si="18"/>
        <v>2452.0179778183824</v>
      </c>
      <c r="AA33" s="165">
        <v>0</v>
      </c>
      <c r="AB33" s="166">
        <f t="shared" si="19"/>
        <v>0</v>
      </c>
      <c r="AC33" s="33">
        <f t="shared" si="20"/>
        <v>47234.163029061696</v>
      </c>
      <c r="AD33" s="167">
        <f t="shared" si="21"/>
        <v>2597.8789665983932</v>
      </c>
      <c r="AE33" s="165">
        <v>0</v>
      </c>
      <c r="AF33" s="166">
        <f t="shared" si="22"/>
        <v>0</v>
      </c>
      <c r="AG33" s="33">
        <f t="shared" si="23"/>
        <v>50032.041995660089</v>
      </c>
      <c r="AH33" s="167">
        <f t="shared" si="24"/>
        <v>2751.762309761305</v>
      </c>
      <c r="AI33" s="165">
        <v>0</v>
      </c>
      <c r="AJ33" s="166">
        <f t="shared" si="25"/>
        <v>0</v>
      </c>
      <c r="AK33" s="33">
        <f t="shared" si="26"/>
        <v>52983.804305421392</v>
      </c>
      <c r="AL33" s="167">
        <f t="shared" si="27"/>
        <v>2914.1092367981764</v>
      </c>
      <c r="AM33" s="165">
        <v>0</v>
      </c>
      <c r="AN33" s="166">
        <f t="shared" si="28"/>
        <v>0</v>
      </c>
      <c r="AO33" s="33">
        <f t="shared" si="29"/>
        <v>56097.913542219569</v>
      </c>
      <c r="AP33" s="167">
        <f t="shared" si="30"/>
        <v>3085.3852448220764</v>
      </c>
      <c r="AQ33" s="165">
        <v>0</v>
      </c>
      <c r="AR33" s="166">
        <f t="shared" si="31"/>
        <v>0</v>
      </c>
      <c r="AS33" s="33">
        <f t="shared" si="32"/>
        <v>59383.298787041647</v>
      </c>
      <c r="AT33" s="167">
        <f t="shared" si="33"/>
        <v>4156.8309150929153</v>
      </c>
      <c r="AU33" s="165">
        <v>0</v>
      </c>
      <c r="AV33" s="166">
        <f t="shared" si="34"/>
        <v>0</v>
      </c>
      <c r="AW33" s="33">
        <f t="shared" si="35"/>
        <v>63740.12970213456</v>
      </c>
      <c r="AX33" s="167">
        <f t="shared" si="36"/>
        <v>4461.8090791494196</v>
      </c>
      <c r="AY33" s="165">
        <v>0</v>
      </c>
      <c r="AZ33" s="166">
        <f t="shared" si="37"/>
        <v>0</v>
      </c>
      <c r="BA33" s="33">
        <f t="shared" si="38"/>
        <v>68401.938781283985</v>
      </c>
      <c r="BB33" s="167">
        <f t="shared" si="39"/>
        <v>4788.135714689879</v>
      </c>
      <c r="BC33" s="165">
        <v>0</v>
      </c>
      <c r="BD33" s="166">
        <f t="shared" si="40"/>
        <v>0</v>
      </c>
      <c r="BE33" s="33">
        <f t="shared" si="41"/>
        <v>73390.074495973866</v>
      </c>
      <c r="BF33" s="167">
        <f t="shared" si="42"/>
        <v>5137.3052147181706</v>
      </c>
      <c r="BG33" s="165">
        <v>0</v>
      </c>
      <c r="BH33" s="166">
        <f t="shared" si="43"/>
        <v>0</v>
      </c>
      <c r="BI33" s="33">
        <f t="shared" si="44"/>
        <v>78727.379710692039</v>
      </c>
      <c r="BJ33" s="167">
        <f t="shared" si="45"/>
        <v>5510.9165797484429</v>
      </c>
      <c r="BK33" s="87">
        <f t="shared" si="46"/>
        <v>0</v>
      </c>
      <c r="BL33" s="33">
        <f>'2023-2024'!BL33+'2024-2025'!BK33</f>
        <v>1300</v>
      </c>
    </row>
    <row r="34" spans="1:64">
      <c r="A34" s="10" t="s">
        <v>605</v>
      </c>
      <c r="B34" s="10"/>
      <c r="C34" s="80">
        <v>0</v>
      </c>
      <c r="D34" s="79">
        <f t="shared" si="0"/>
        <v>2400</v>
      </c>
      <c r="E34" s="78">
        <f>'2023-2024'!I34</f>
        <v>43232.076948311311</v>
      </c>
      <c r="F34" s="187">
        <f t="shared" si="1"/>
        <v>2400</v>
      </c>
      <c r="G34" s="33">
        <f t="shared" si="2"/>
        <v>0</v>
      </c>
      <c r="H34" s="190">
        <f t="shared" si="3"/>
        <v>2400</v>
      </c>
      <c r="I34" s="78">
        <f t="shared" si="4"/>
        <v>91881.946895466477</v>
      </c>
      <c r="J34" s="78">
        <f t="shared" si="5"/>
        <v>0</v>
      </c>
      <c r="K34" s="78">
        <f t="shared" si="6"/>
        <v>0</v>
      </c>
      <c r="L34" s="78">
        <f t="shared" si="7"/>
        <v>46249.869947155166</v>
      </c>
      <c r="M34" s="194">
        <f t="shared" si="8"/>
        <v>46249.869947155166</v>
      </c>
      <c r="N34" s="78">
        <f t="shared" si="9"/>
        <v>-46249.869947155166</v>
      </c>
      <c r="O34" s="165">
        <v>0</v>
      </c>
      <c r="P34" s="166">
        <f t="shared" si="10"/>
        <v>0</v>
      </c>
      <c r="Q34" s="119">
        <f t="shared" si="11"/>
        <v>43432.076948311311</v>
      </c>
      <c r="R34" s="167">
        <f t="shared" si="12"/>
        <v>2388.764232157122</v>
      </c>
      <c r="S34" s="165">
        <v>0</v>
      </c>
      <c r="T34" s="166">
        <f t="shared" si="13"/>
        <v>0</v>
      </c>
      <c r="U34" s="33">
        <f t="shared" si="14"/>
        <v>46020.841180468429</v>
      </c>
      <c r="V34" s="167">
        <f t="shared" si="15"/>
        <v>2531.1462649257637</v>
      </c>
      <c r="W34" s="165">
        <v>0</v>
      </c>
      <c r="X34" s="166">
        <f t="shared" si="16"/>
        <v>0</v>
      </c>
      <c r="Y34" s="33">
        <f t="shared" si="17"/>
        <v>48751.987445394196</v>
      </c>
      <c r="Z34" s="167">
        <f t="shared" si="18"/>
        <v>2681.3593094966809</v>
      </c>
      <c r="AA34" s="165">
        <v>0</v>
      </c>
      <c r="AB34" s="166">
        <f t="shared" si="19"/>
        <v>0</v>
      </c>
      <c r="AC34" s="33">
        <f t="shared" si="20"/>
        <v>51633.346754890874</v>
      </c>
      <c r="AD34" s="167">
        <f t="shared" si="21"/>
        <v>2839.8340715189979</v>
      </c>
      <c r="AE34" s="165">
        <v>0</v>
      </c>
      <c r="AF34" s="166">
        <f t="shared" si="22"/>
        <v>0</v>
      </c>
      <c r="AG34" s="33">
        <f t="shared" si="23"/>
        <v>54673.180826409873</v>
      </c>
      <c r="AH34" s="167">
        <f t="shared" si="24"/>
        <v>3007.0249454525429</v>
      </c>
      <c r="AI34" s="165">
        <v>0</v>
      </c>
      <c r="AJ34" s="166">
        <f t="shared" si="25"/>
        <v>0</v>
      </c>
      <c r="AK34" s="33">
        <f t="shared" si="26"/>
        <v>57880.205771862413</v>
      </c>
      <c r="AL34" s="167">
        <f t="shared" si="27"/>
        <v>3183.4113174524327</v>
      </c>
      <c r="AM34" s="165">
        <v>0</v>
      </c>
      <c r="AN34" s="166">
        <f t="shared" si="28"/>
        <v>0</v>
      </c>
      <c r="AO34" s="33">
        <f t="shared" si="29"/>
        <v>61263.617089314845</v>
      </c>
      <c r="AP34" s="167">
        <f t="shared" si="30"/>
        <v>3369.4989399123165</v>
      </c>
      <c r="AQ34" s="165">
        <v>0</v>
      </c>
      <c r="AR34" s="166">
        <f t="shared" si="31"/>
        <v>0</v>
      </c>
      <c r="AS34" s="33">
        <f t="shared" si="32"/>
        <v>64833.11602922716</v>
      </c>
      <c r="AT34" s="167">
        <f t="shared" si="33"/>
        <v>4538.3181220459019</v>
      </c>
      <c r="AU34" s="165">
        <v>0</v>
      </c>
      <c r="AV34" s="166">
        <f t="shared" si="34"/>
        <v>0</v>
      </c>
      <c r="AW34" s="33">
        <f t="shared" si="35"/>
        <v>69571.434151273061</v>
      </c>
      <c r="AX34" s="167">
        <f t="shared" si="36"/>
        <v>4870.0003905891144</v>
      </c>
      <c r="AY34" s="165">
        <v>0</v>
      </c>
      <c r="AZ34" s="166">
        <f t="shared" si="37"/>
        <v>0</v>
      </c>
      <c r="BA34" s="33">
        <f t="shared" si="38"/>
        <v>74641.434541862182</v>
      </c>
      <c r="BB34" s="167">
        <f t="shared" si="39"/>
        <v>5224.9004179303529</v>
      </c>
      <c r="BC34" s="165">
        <v>0</v>
      </c>
      <c r="BD34" s="166">
        <f t="shared" si="40"/>
        <v>0</v>
      </c>
      <c r="BE34" s="33">
        <f t="shared" si="41"/>
        <v>80066.334959792541</v>
      </c>
      <c r="BF34" s="167">
        <f t="shared" si="42"/>
        <v>5604.6434471854782</v>
      </c>
      <c r="BG34" s="165">
        <v>0</v>
      </c>
      <c r="BH34" s="166">
        <f t="shared" si="43"/>
        <v>0</v>
      </c>
      <c r="BI34" s="33">
        <f t="shared" si="44"/>
        <v>85870.978406978014</v>
      </c>
      <c r="BJ34" s="167">
        <f t="shared" si="45"/>
        <v>6010.9684884884618</v>
      </c>
      <c r="BK34" s="87">
        <f t="shared" si="46"/>
        <v>0</v>
      </c>
      <c r="BL34" s="33">
        <f>'2023-2024'!BL34+'2024-2025'!BK34</f>
        <v>500</v>
      </c>
    </row>
    <row r="35" spans="1:64">
      <c r="A35" s="10" t="s">
        <v>606</v>
      </c>
      <c r="B35" s="10" t="s">
        <v>113</v>
      </c>
      <c r="C35" s="80">
        <v>0</v>
      </c>
      <c r="D35" s="79">
        <f t="shared" si="0"/>
        <v>2400</v>
      </c>
      <c r="E35" s="78">
        <f>'2023-2024'!I35</f>
        <v>39401.257135612192</v>
      </c>
      <c r="F35" s="187">
        <f t="shared" si="1"/>
        <v>2400</v>
      </c>
      <c r="G35" s="33">
        <f t="shared" si="2"/>
        <v>1600</v>
      </c>
      <c r="H35" s="190">
        <f t="shared" si="3"/>
        <v>800</v>
      </c>
      <c r="I35" s="78">
        <f t="shared" si="4"/>
        <v>81124.778648714899</v>
      </c>
      <c r="J35" s="78">
        <f t="shared" si="5"/>
        <v>0</v>
      </c>
      <c r="K35" s="78">
        <f t="shared" si="6"/>
        <v>88</v>
      </c>
      <c r="L35" s="78">
        <f t="shared" si="7"/>
        <v>40923.521513102707</v>
      </c>
      <c r="M35" s="194">
        <f t="shared" si="8"/>
        <v>40923.521513102707</v>
      </c>
      <c r="N35" s="78">
        <f t="shared" si="9"/>
        <v>-39235.521513102707</v>
      </c>
      <c r="O35" s="165">
        <v>0</v>
      </c>
      <c r="P35" s="166">
        <f t="shared" si="10"/>
        <v>0</v>
      </c>
      <c r="Q35" s="119">
        <f t="shared" si="11"/>
        <v>39601.257135612192</v>
      </c>
      <c r="R35" s="167">
        <f t="shared" si="12"/>
        <v>2178.0691424586707</v>
      </c>
      <c r="S35" s="165">
        <v>200</v>
      </c>
      <c r="T35" s="166">
        <f t="shared" si="13"/>
        <v>0</v>
      </c>
      <c r="U35" s="33">
        <f t="shared" si="14"/>
        <v>41779.326278070861</v>
      </c>
      <c r="V35" s="167">
        <f t="shared" si="15"/>
        <v>2286.8629452938972</v>
      </c>
      <c r="W35" s="165">
        <f>250+200</f>
        <v>450</v>
      </c>
      <c r="X35" s="166">
        <f t="shared" si="16"/>
        <v>0</v>
      </c>
      <c r="Y35" s="33">
        <f t="shared" si="17"/>
        <v>43816.18922336476</v>
      </c>
      <c r="Z35" s="167">
        <f t="shared" si="18"/>
        <v>2385.1404072850619</v>
      </c>
      <c r="AA35" s="165">
        <f>250+200</f>
        <v>450</v>
      </c>
      <c r="AB35" s="166">
        <f t="shared" si="19"/>
        <v>0</v>
      </c>
      <c r="AC35" s="33">
        <f t="shared" si="20"/>
        <v>45951.329630649823</v>
      </c>
      <c r="AD35" s="167">
        <f t="shared" si="21"/>
        <v>2502.5731296857402</v>
      </c>
      <c r="AE35" s="165">
        <v>250</v>
      </c>
      <c r="AF35" s="166">
        <f t="shared" si="22"/>
        <v>0</v>
      </c>
      <c r="AG35" s="33">
        <f t="shared" si="23"/>
        <v>48403.902760335564</v>
      </c>
      <c r="AH35" s="167">
        <f t="shared" si="24"/>
        <v>2648.4646518184559</v>
      </c>
      <c r="AI35" s="165">
        <v>250</v>
      </c>
      <c r="AJ35" s="166">
        <f t="shared" si="25"/>
        <v>0</v>
      </c>
      <c r="AK35" s="33">
        <f t="shared" si="26"/>
        <v>51002.367412154017</v>
      </c>
      <c r="AL35" s="167">
        <f t="shared" si="27"/>
        <v>2791.380207668471</v>
      </c>
      <c r="AM35" s="165">
        <v>0</v>
      </c>
      <c r="AN35" s="166">
        <f t="shared" si="28"/>
        <v>0</v>
      </c>
      <c r="AO35" s="33">
        <f t="shared" si="29"/>
        <v>53993.74761982249</v>
      </c>
      <c r="AP35" s="167">
        <f t="shared" si="30"/>
        <v>2969.6561190902371</v>
      </c>
      <c r="AQ35" s="165">
        <v>0</v>
      </c>
      <c r="AR35" s="166">
        <f t="shared" si="31"/>
        <v>0</v>
      </c>
      <c r="AS35" s="33">
        <f t="shared" si="32"/>
        <v>57163.403738912726</v>
      </c>
      <c r="AT35" s="167">
        <f t="shared" si="33"/>
        <v>4001.4382617238912</v>
      </c>
      <c r="AU35" s="165">
        <v>0</v>
      </c>
      <c r="AV35" s="166">
        <f t="shared" si="34"/>
        <v>0</v>
      </c>
      <c r="AW35" s="33">
        <f t="shared" si="35"/>
        <v>61364.842000636614</v>
      </c>
      <c r="AX35" s="167">
        <f t="shared" si="36"/>
        <v>4295.5389400445638</v>
      </c>
      <c r="AY35" s="165">
        <v>0</v>
      </c>
      <c r="AZ35" s="166">
        <f t="shared" si="37"/>
        <v>0</v>
      </c>
      <c r="BA35" s="33">
        <f t="shared" si="38"/>
        <v>65860.380940681178</v>
      </c>
      <c r="BB35" s="167">
        <f t="shared" si="39"/>
        <v>4610.2266658476829</v>
      </c>
      <c r="BC35" s="165">
        <v>0</v>
      </c>
      <c r="BD35" s="166">
        <f t="shared" si="40"/>
        <v>0</v>
      </c>
      <c r="BE35" s="33">
        <f t="shared" si="41"/>
        <v>70670.607606528865</v>
      </c>
      <c r="BF35" s="167">
        <f t="shared" si="42"/>
        <v>4946.9425324570211</v>
      </c>
      <c r="BG35" s="165">
        <v>0</v>
      </c>
      <c r="BH35" s="166">
        <f t="shared" si="43"/>
        <v>0</v>
      </c>
      <c r="BI35" s="33">
        <f t="shared" si="44"/>
        <v>75817.550138985884</v>
      </c>
      <c r="BJ35" s="167">
        <f t="shared" si="45"/>
        <v>5307.2285097290123</v>
      </c>
      <c r="BK35" s="87">
        <f t="shared" si="46"/>
        <v>1600</v>
      </c>
      <c r="BL35" s="33">
        <f>'2023-2024'!BL35+'2024-2025'!BK35</f>
        <v>4300</v>
      </c>
    </row>
    <row r="36" spans="1:64">
      <c r="A36" s="10" t="s">
        <v>607</v>
      </c>
      <c r="B36" s="10"/>
      <c r="C36" s="80">
        <v>0</v>
      </c>
      <c r="D36" s="79">
        <f t="shared" si="0"/>
        <v>2400</v>
      </c>
      <c r="E36" s="78">
        <f>'2023-2024'!I36</f>
        <v>38399.34615017772</v>
      </c>
      <c r="F36" s="187">
        <f t="shared" si="1"/>
        <v>2400</v>
      </c>
      <c r="G36" s="33">
        <f t="shared" si="2"/>
        <v>900</v>
      </c>
      <c r="H36" s="190">
        <f t="shared" si="3"/>
        <v>1500</v>
      </c>
      <c r="I36" s="78">
        <f t="shared" si="4"/>
        <v>80334.246333986463</v>
      </c>
      <c r="J36" s="78">
        <f t="shared" si="5"/>
        <v>0</v>
      </c>
      <c r="K36" s="78">
        <f t="shared" si="6"/>
        <v>49.5</v>
      </c>
      <c r="L36" s="78">
        <f t="shared" si="7"/>
        <v>40434.900183808735</v>
      </c>
      <c r="M36" s="194">
        <f t="shared" si="8"/>
        <v>40434.900183808735</v>
      </c>
      <c r="N36" s="78">
        <f t="shared" si="9"/>
        <v>-39485.400183808735</v>
      </c>
      <c r="O36" s="165">
        <v>0</v>
      </c>
      <c r="P36" s="166">
        <f t="shared" si="10"/>
        <v>0</v>
      </c>
      <c r="Q36" s="119">
        <f t="shared" si="11"/>
        <v>38599.34615017772</v>
      </c>
      <c r="R36" s="167">
        <f t="shared" si="12"/>
        <v>2122.9640382597745</v>
      </c>
      <c r="S36" s="165">
        <v>200</v>
      </c>
      <c r="T36" s="166">
        <f t="shared" si="13"/>
        <v>0</v>
      </c>
      <c r="U36" s="33">
        <f t="shared" si="14"/>
        <v>40722.310188437492</v>
      </c>
      <c r="V36" s="167">
        <f t="shared" si="15"/>
        <v>2228.7270603640623</v>
      </c>
      <c r="W36" s="165">
        <v>200</v>
      </c>
      <c r="X36" s="166">
        <f t="shared" si="16"/>
        <v>0</v>
      </c>
      <c r="Y36" s="33">
        <f t="shared" si="17"/>
        <v>42951.037248801556</v>
      </c>
      <c r="Z36" s="167">
        <f t="shared" si="18"/>
        <v>2351.3070486840857</v>
      </c>
      <c r="AA36" s="165">
        <v>300</v>
      </c>
      <c r="AB36" s="166">
        <f t="shared" si="19"/>
        <v>0</v>
      </c>
      <c r="AC36" s="33">
        <f t="shared" si="20"/>
        <v>45202.344297485644</v>
      </c>
      <c r="AD36" s="167">
        <f t="shared" si="21"/>
        <v>2469.6289363617107</v>
      </c>
      <c r="AE36" s="165">
        <v>200</v>
      </c>
      <c r="AF36" s="166">
        <f t="shared" si="22"/>
        <v>0</v>
      </c>
      <c r="AG36" s="33">
        <f t="shared" si="23"/>
        <v>47671.973233847355</v>
      </c>
      <c r="AH36" s="167">
        <f t="shared" si="24"/>
        <v>2610.9585278616046</v>
      </c>
      <c r="AI36" s="165">
        <v>0</v>
      </c>
      <c r="AJ36" s="166">
        <f t="shared" si="25"/>
        <v>0</v>
      </c>
      <c r="AK36" s="33">
        <f t="shared" si="26"/>
        <v>50482.931761708962</v>
      </c>
      <c r="AL36" s="167">
        <f t="shared" si="27"/>
        <v>2776.561246893993</v>
      </c>
      <c r="AM36" s="165">
        <v>0</v>
      </c>
      <c r="AN36" s="166">
        <f t="shared" si="28"/>
        <v>0</v>
      </c>
      <c r="AO36" s="33">
        <f t="shared" si="29"/>
        <v>53459.493008602956</v>
      </c>
      <c r="AP36" s="167">
        <f t="shared" si="30"/>
        <v>2940.2721154731626</v>
      </c>
      <c r="AQ36" s="165">
        <v>0</v>
      </c>
      <c r="AR36" s="166">
        <f t="shared" si="31"/>
        <v>0</v>
      </c>
      <c r="AS36" s="33">
        <f t="shared" si="32"/>
        <v>56599.765124076119</v>
      </c>
      <c r="AT36" s="167">
        <f t="shared" si="33"/>
        <v>3961.9835586853287</v>
      </c>
      <c r="AU36" s="165">
        <v>0</v>
      </c>
      <c r="AV36" s="166">
        <f t="shared" si="34"/>
        <v>0</v>
      </c>
      <c r="AW36" s="33">
        <f t="shared" si="35"/>
        <v>60761.748682761448</v>
      </c>
      <c r="AX36" s="167">
        <f t="shared" si="36"/>
        <v>4253.3224077933019</v>
      </c>
      <c r="AY36" s="165">
        <v>0</v>
      </c>
      <c r="AZ36" s="166">
        <f t="shared" si="37"/>
        <v>0</v>
      </c>
      <c r="BA36" s="33">
        <f t="shared" si="38"/>
        <v>65215.071090554753</v>
      </c>
      <c r="BB36" s="167">
        <f t="shared" si="39"/>
        <v>4565.0549763388335</v>
      </c>
      <c r="BC36" s="165">
        <v>0</v>
      </c>
      <c r="BD36" s="166">
        <f t="shared" si="40"/>
        <v>0</v>
      </c>
      <c r="BE36" s="33">
        <f t="shared" si="41"/>
        <v>69980.126066893587</v>
      </c>
      <c r="BF36" s="167">
        <f t="shared" si="42"/>
        <v>4898.6088246825511</v>
      </c>
      <c r="BG36" s="165">
        <v>0</v>
      </c>
      <c r="BH36" s="166">
        <f t="shared" si="43"/>
        <v>0</v>
      </c>
      <c r="BI36" s="33">
        <f t="shared" si="44"/>
        <v>75078.734891576139</v>
      </c>
      <c r="BJ36" s="167">
        <f t="shared" si="45"/>
        <v>5255.5114424103303</v>
      </c>
      <c r="BK36" s="87">
        <f t="shared" si="46"/>
        <v>900</v>
      </c>
      <c r="BL36" s="33">
        <f>'2023-2024'!BL36+'2024-2025'!BK36</f>
        <v>5400</v>
      </c>
    </row>
    <row r="37" spans="1:64">
      <c r="A37" s="10" t="s">
        <v>608</v>
      </c>
      <c r="B37" s="10" t="s">
        <v>142</v>
      </c>
      <c r="C37" s="80">
        <v>0</v>
      </c>
      <c r="D37" s="79">
        <f t="shared" si="0"/>
        <v>2400</v>
      </c>
      <c r="E37" s="78">
        <f>'2023-2024'!I37</f>
        <v>30744.06037440724</v>
      </c>
      <c r="F37" s="187">
        <f t="shared" si="1"/>
        <v>2400</v>
      </c>
      <c r="G37" s="33">
        <f t="shared" si="2"/>
        <v>0</v>
      </c>
      <c r="H37" s="190">
        <f t="shared" si="3"/>
        <v>2400</v>
      </c>
      <c r="I37" s="78">
        <f t="shared" si="4"/>
        <v>66403.111545379856</v>
      </c>
      <c r="J37" s="78">
        <f t="shared" si="5"/>
        <v>0</v>
      </c>
      <c r="K37" s="78">
        <f t="shared" si="6"/>
        <v>0</v>
      </c>
      <c r="L37" s="78">
        <f t="shared" si="7"/>
        <v>33259.05117097262</v>
      </c>
      <c r="M37" s="194">
        <f t="shared" si="8"/>
        <v>33259.05117097262</v>
      </c>
      <c r="N37" s="78">
        <f t="shared" si="9"/>
        <v>-33259.05117097262</v>
      </c>
      <c r="O37" s="165">
        <v>0</v>
      </c>
      <c r="P37" s="166">
        <f t="shared" si="10"/>
        <v>0</v>
      </c>
      <c r="Q37" s="119">
        <f t="shared" si="11"/>
        <v>30944.06037440724</v>
      </c>
      <c r="R37" s="167">
        <f t="shared" si="12"/>
        <v>1701.9233205923981</v>
      </c>
      <c r="S37" s="165">
        <v>0</v>
      </c>
      <c r="T37" s="166">
        <f t="shared" si="13"/>
        <v>0</v>
      </c>
      <c r="U37" s="33">
        <f t="shared" si="14"/>
        <v>32845.983694999639</v>
      </c>
      <c r="V37" s="167">
        <f t="shared" si="15"/>
        <v>1806.5291032249802</v>
      </c>
      <c r="W37" s="165">
        <v>0</v>
      </c>
      <c r="X37" s="166">
        <f t="shared" si="16"/>
        <v>0</v>
      </c>
      <c r="Y37" s="33">
        <f t="shared" si="17"/>
        <v>34852.512798224619</v>
      </c>
      <c r="Z37" s="167">
        <f t="shared" si="18"/>
        <v>1916.888203902354</v>
      </c>
      <c r="AA37" s="165">
        <v>0</v>
      </c>
      <c r="AB37" s="166">
        <f t="shared" si="19"/>
        <v>0</v>
      </c>
      <c r="AC37" s="33">
        <f t="shared" si="20"/>
        <v>36969.401002126971</v>
      </c>
      <c r="AD37" s="167">
        <f t="shared" si="21"/>
        <v>2033.3170551169835</v>
      </c>
      <c r="AE37" s="165">
        <v>0</v>
      </c>
      <c r="AF37" s="166">
        <f t="shared" si="22"/>
        <v>0</v>
      </c>
      <c r="AG37" s="33">
        <f t="shared" si="23"/>
        <v>39202.718057243954</v>
      </c>
      <c r="AH37" s="167">
        <f t="shared" si="24"/>
        <v>2156.1494931484176</v>
      </c>
      <c r="AI37" s="165">
        <v>0</v>
      </c>
      <c r="AJ37" s="166">
        <f t="shared" si="25"/>
        <v>0</v>
      </c>
      <c r="AK37" s="33">
        <f t="shared" si="26"/>
        <v>41558.867550392373</v>
      </c>
      <c r="AL37" s="167">
        <f t="shared" si="27"/>
        <v>2285.7377152715803</v>
      </c>
      <c r="AM37" s="165">
        <v>0</v>
      </c>
      <c r="AN37" s="166">
        <f t="shared" si="28"/>
        <v>0</v>
      </c>
      <c r="AO37" s="33">
        <f t="shared" si="29"/>
        <v>44044.605265663951</v>
      </c>
      <c r="AP37" s="167">
        <f t="shared" si="30"/>
        <v>2422.4532896115174</v>
      </c>
      <c r="AQ37" s="165">
        <v>0</v>
      </c>
      <c r="AR37" s="166">
        <f t="shared" si="31"/>
        <v>0</v>
      </c>
      <c r="AS37" s="33">
        <f t="shared" si="32"/>
        <v>46667.058555275471</v>
      </c>
      <c r="AT37" s="167">
        <f t="shared" si="33"/>
        <v>3266.6940988692832</v>
      </c>
      <c r="AU37" s="165">
        <v>0</v>
      </c>
      <c r="AV37" s="166">
        <f t="shared" si="34"/>
        <v>0</v>
      </c>
      <c r="AW37" s="33">
        <f t="shared" si="35"/>
        <v>50133.752654144751</v>
      </c>
      <c r="AX37" s="167">
        <f t="shared" si="36"/>
        <v>3509.3626857901331</v>
      </c>
      <c r="AY37" s="165">
        <v>0</v>
      </c>
      <c r="AZ37" s="166">
        <f t="shared" si="37"/>
        <v>0</v>
      </c>
      <c r="BA37" s="33">
        <f t="shared" si="38"/>
        <v>53843.115339934884</v>
      </c>
      <c r="BB37" s="167">
        <f t="shared" si="39"/>
        <v>3769.0180737954424</v>
      </c>
      <c r="BC37" s="165">
        <v>0</v>
      </c>
      <c r="BD37" s="166">
        <f t="shared" si="40"/>
        <v>0</v>
      </c>
      <c r="BE37" s="33">
        <f t="shared" si="41"/>
        <v>57812.133413730327</v>
      </c>
      <c r="BF37" s="167">
        <f t="shared" si="42"/>
        <v>4046.8493389611235</v>
      </c>
      <c r="BG37" s="165">
        <v>0</v>
      </c>
      <c r="BH37" s="166">
        <f t="shared" si="43"/>
        <v>0</v>
      </c>
      <c r="BI37" s="33">
        <f t="shared" si="44"/>
        <v>62058.982752691452</v>
      </c>
      <c r="BJ37" s="167">
        <f t="shared" si="45"/>
        <v>4344.1287926884024</v>
      </c>
      <c r="BK37" s="87">
        <f t="shared" si="46"/>
        <v>0</v>
      </c>
      <c r="BL37" s="33">
        <f>'2023-2024'!BL37+'2024-2025'!BK37</f>
        <v>3300</v>
      </c>
    </row>
    <row r="38" spans="1:64">
      <c r="A38" s="10" t="s">
        <v>609</v>
      </c>
      <c r="B38" s="10" t="s">
        <v>124</v>
      </c>
      <c r="C38" s="80">
        <v>0</v>
      </c>
      <c r="D38" s="79">
        <f t="shared" si="0"/>
        <v>2400</v>
      </c>
      <c r="E38" s="78">
        <f>'2023-2024'!I38</f>
        <v>30535.926764842166</v>
      </c>
      <c r="F38" s="187">
        <f t="shared" si="1"/>
        <v>2400</v>
      </c>
      <c r="G38" s="33">
        <f t="shared" si="2"/>
        <v>0</v>
      </c>
      <c r="H38" s="190">
        <f t="shared" si="3"/>
        <v>2400</v>
      </c>
      <c r="I38" s="78">
        <f t="shared" si="4"/>
        <v>65978.464289545067</v>
      </c>
      <c r="J38" s="78">
        <f t="shared" si="5"/>
        <v>0</v>
      </c>
      <c r="K38" s="78">
        <f t="shared" si="6"/>
        <v>0</v>
      </c>
      <c r="L38" s="78">
        <f t="shared" si="7"/>
        <v>33042.537524702901</v>
      </c>
      <c r="M38" s="194">
        <f t="shared" si="8"/>
        <v>33042.537524702901</v>
      </c>
      <c r="N38" s="78">
        <f t="shared" si="9"/>
        <v>-33042.537524702901</v>
      </c>
      <c r="O38" s="165">
        <v>0</v>
      </c>
      <c r="P38" s="166">
        <f t="shared" si="10"/>
        <v>0</v>
      </c>
      <c r="Q38" s="119">
        <f t="shared" si="11"/>
        <v>30735.926764842166</v>
      </c>
      <c r="R38" s="167">
        <f t="shared" si="12"/>
        <v>1690.4759720663192</v>
      </c>
      <c r="S38" s="165">
        <v>0</v>
      </c>
      <c r="T38" s="166">
        <f t="shared" si="13"/>
        <v>0</v>
      </c>
      <c r="U38" s="33">
        <f t="shared" si="14"/>
        <v>32626.402736908487</v>
      </c>
      <c r="V38" s="167">
        <f t="shared" si="15"/>
        <v>1794.4521505299667</v>
      </c>
      <c r="W38" s="165">
        <v>0</v>
      </c>
      <c r="X38" s="166">
        <f t="shared" si="16"/>
        <v>0</v>
      </c>
      <c r="Y38" s="33">
        <f t="shared" si="17"/>
        <v>34620.854887438451</v>
      </c>
      <c r="Z38" s="167">
        <f t="shared" si="18"/>
        <v>1904.1470188091148</v>
      </c>
      <c r="AA38" s="165">
        <v>0</v>
      </c>
      <c r="AB38" s="166">
        <f t="shared" si="19"/>
        <v>0</v>
      </c>
      <c r="AC38" s="33">
        <f t="shared" si="20"/>
        <v>36725.001906247562</v>
      </c>
      <c r="AD38" s="167">
        <f t="shared" si="21"/>
        <v>2019.8751048436159</v>
      </c>
      <c r="AE38" s="165">
        <v>0</v>
      </c>
      <c r="AF38" s="166">
        <f t="shared" si="22"/>
        <v>0</v>
      </c>
      <c r="AG38" s="33">
        <f t="shared" si="23"/>
        <v>38944.877011091179</v>
      </c>
      <c r="AH38" s="167">
        <f t="shared" si="24"/>
        <v>2141.9682356100147</v>
      </c>
      <c r="AI38" s="165">
        <v>0</v>
      </c>
      <c r="AJ38" s="166">
        <f t="shared" si="25"/>
        <v>0</v>
      </c>
      <c r="AK38" s="33">
        <f t="shared" si="26"/>
        <v>41286.845246701196</v>
      </c>
      <c r="AL38" s="167">
        <f t="shared" si="27"/>
        <v>2270.7764885685656</v>
      </c>
      <c r="AM38" s="165">
        <v>0</v>
      </c>
      <c r="AN38" s="166">
        <f t="shared" si="28"/>
        <v>0</v>
      </c>
      <c r="AO38" s="33">
        <f t="shared" si="29"/>
        <v>43757.621735269764</v>
      </c>
      <c r="AP38" s="167">
        <f t="shared" si="30"/>
        <v>2406.669195439837</v>
      </c>
      <c r="AQ38" s="165">
        <v>0</v>
      </c>
      <c r="AR38" s="166">
        <f t="shared" si="31"/>
        <v>0</v>
      </c>
      <c r="AS38" s="33">
        <f t="shared" si="32"/>
        <v>46364.290930709598</v>
      </c>
      <c r="AT38" s="167">
        <f t="shared" si="33"/>
        <v>3245.5003651496722</v>
      </c>
      <c r="AU38" s="165">
        <v>0</v>
      </c>
      <c r="AV38" s="166">
        <f t="shared" si="34"/>
        <v>0</v>
      </c>
      <c r="AW38" s="33">
        <f t="shared" si="35"/>
        <v>49809.791295859271</v>
      </c>
      <c r="AX38" s="167">
        <f t="shared" si="36"/>
        <v>3486.6853907101495</v>
      </c>
      <c r="AY38" s="165">
        <v>0</v>
      </c>
      <c r="AZ38" s="166">
        <f t="shared" si="37"/>
        <v>0</v>
      </c>
      <c r="BA38" s="33">
        <f t="shared" si="38"/>
        <v>53496.476686569418</v>
      </c>
      <c r="BB38" s="167">
        <f t="shared" si="39"/>
        <v>3744.7533680598594</v>
      </c>
      <c r="BC38" s="165">
        <v>0</v>
      </c>
      <c r="BD38" s="166">
        <f t="shared" si="40"/>
        <v>0</v>
      </c>
      <c r="BE38" s="33">
        <f t="shared" si="41"/>
        <v>57441.230054629275</v>
      </c>
      <c r="BF38" s="167">
        <f t="shared" si="42"/>
        <v>4020.8861038240498</v>
      </c>
      <c r="BG38" s="165">
        <v>0</v>
      </c>
      <c r="BH38" s="166">
        <f t="shared" si="43"/>
        <v>0</v>
      </c>
      <c r="BI38" s="33">
        <f t="shared" si="44"/>
        <v>61662.116158453326</v>
      </c>
      <c r="BJ38" s="167">
        <f t="shared" si="45"/>
        <v>4316.3481310917332</v>
      </c>
      <c r="BK38" s="87">
        <f t="shared" si="46"/>
        <v>0</v>
      </c>
      <c r="BL38" s="33">
        <f>'2023-2024'!BL38+'2024-2025'!BK38</f>
        <v>3750</v>
      </c>
    </row>
    <row r="39" spans="1:64">
      <c r="A39" s="10" t="s">
        <v>610</v>
      </c>
      <c r="B39" s="10" t="s">
        <v>140</v>
      </c>
      <c r="C39" s="80">
        <v>0</v>
      </c>
      <c r="D39" s="79">
        <f t="shared" si="0"/>
        <v>2400</v>
      </c>
      <c r="E39" s="78">
        <f>'2023-2024'!I39</f>
        <v>42399.542510051047</v>
      </c>
      <c r="F39" s="187">
        <f t="shared" si="1"/>
        <v>2400</v>
      </c>
      <c r="G39" s="33">
        <f t="shared" si="2"/>
        <v>0</v>
      </c>
      <c r="H39" s="190">
        <f t="shared" si="3"/>
        <v>2400</v>
      </c>
      <c r="I39" s="78">
        <f t="shared" si="4"/>
        <v>90183.357872127395</v>
      </c>
      <c r="J39" s="78">
        <f t="shared" si="5"/>
        <v>0</v>
      </c>
      <c r="K39" s="78">
        <f t="shared" si="6"/>
        <v>0</v>
      </c>
      <c r="L39" s="78">
        <f t="shared" si="7"/>
        <v>45383.815362076348</v>
      </c>
      <c r="M39" s="194">
        <f t="shared" si="8"/>
        <v>45383.815362076348</v>
      </c>
      <c r="N39" s="78">
        <f t="shared" si="9"/>
        <v>-45383.815362076348</v>
      </c>
      <c r="O39" s="165">
        <v>0</v>
      </c>
      <c r="P39" s="166">
        <f t="shared" si="10"/>
        <v>0</v>
      </c>
      <c r="Q39" s="119">
        <f t="shared" si="11"/>
        <v>42599.542510051047</v>
      </c>
      <c r="R39" s="167">
        <f t="shared" si="12"/>
        <v>2342.9748380528076</v>
      </c>
      <c r="S39" s="165">
        <v>0</v>
      </c>
      <c r="T39" s="166">
        <f t="shared" si="13"/>
        <v>0</v>
      </c>
      <c r="U39" s="33">
        <f t="shared" si="14"/>
        <v>45142.517348103858</v>
      </c>
      <c r="V39" s="167">
        <f t="shared" si="15"/>
        <v>2482.8384541457121</v>
      </c>
      <c r="W39" s="165">
        <v>0</v>
      </c>
      <c r="X39" s="166">
        <f t="shared" si="16"/>
        <v>0</v>
      </c>
      <c r="Y39" s="33">
        <f t="shared" si="17"/>
        <v>47825.355802249571</v>
      </c>
      <c r="Z39" s="167">
        <f t="shared" si="18"/>
        <v>2630.3945691237263</v>
      </c>
      <c r="AA39" s="165">
        <v>0</v>
      </c>
      <c r="AB39" s="166">
        <f t="shared" si="19"/>
        <v>0</v>
      </c>
      <c r="AC39" s="33">
        <f t="shared" si="20"/>
        <v>50655.750371373295</v>
      </c>
      <c r="AD39" s="167">
        <f t="shared" si="21"/>
        <v>2786.0662704255315</v>
      </c>
      <c r="AE39" s="165">
        <v>0</v>
      </c>
      <c r="AF39" s="166">
        <f t="shared" si="22"/>
        <v>0</v>
      </c>
      <c r="AG39" s="33">
        <f t="shared" si="23"/>
        <v>53641.816641798825</v>
      </c>
      <c r="AH39" s="167">
        <f t="shared" si="24"/>
        <v>2950.2999152989355</v>
      </c>
      <c r="AI39" s="165">
        <v>0</v>
      </c>
      <c r="AJ39" s="166">
        <f t="shared" si="25"/>
        <v>0</v>
      </c>
      <c r="AK39" s="33">
        <f t="shared" si="26"/>
        <v>56792.116557097761</v>
      </c>
      <c r="AL39" s="167">
        <f t="shared" si="27"/>
        <v>3123.5664106403769</v>
      </c>
      <c r="AM39" s="165">
        <v>0</v>
      </c>
      <c r="AN39" s="166">
        <f t="shared" si="28"/>
        <v>0</v>
      </c>
      <c r="AO39" s="33">
        <f t="shared" si="29"/>
        <v>60115.682967738139</v>
      </c>
      <c r="AP39" s="167">
        <f t="shared" si="30"/>
        <v>3306.3625632255976</v>
      </c>
      <c r="AQ39" s="165">
        <v>0</v>
      </c>
      <c r="AR39" s="166">
        <f t="shared" si="31"/>
        <v>0</v>
      </c>
      <c r="AS39" s="33">
        <f t="shared" si="32"/>
        <v>63622.04553096374</v>
      </c>
      <c r="AT39" s="167">
        <f t="shared" si="33"/>
        <v>4453.5431871674618</v>
      </c>
      <c r="AU39" s="165">
        <v>0</v>
      </c>
      <c r="AV39" s="166">
        <f t="shared" si="34"/>
        <v>0</v>
      </c>
      <c r="AW39" s="33">
        <f t="shared" si="35"/>
        <v>68275.588718131199</v>
      </c>
      <c r="AX39" s="167">
        <f t="shared" si="36"/>
        <v>4779.2912102691844</v>
      </c>
      <c r="AY39" s="165">
        <v>0</v>
      </c>
      <c r="AZ39" s="166">
        <f t="shared" si="37"/>
        <v>0</v>
      </c>
      <c r="BA39" s="33">
        <f t="shared" si="38"/>
        <v>73254.879928400391</v>
      </c>
      <c r="BB39" s="167">
        <f t="shared" si="39"/>
        <v>5127.8415949880282</v>
      </c>
      <c r="BC39" s="165">
        <v>0</v>
      </c>
      <c r="BD39" s="166">
        <f t="shared" si="40"/>
        <v>0</v>
      </c>
      <c r="BE39" s="33">
        <f t="shared" si="41"/>
        <v>78582.72152338842</v>
      </c>
      <c r="BF39" s="167">
        <f t="shared" si="42"/>
        <v>5500.7905066371895</v>
      </c>
      <c r="BG39" s="165">
        <v>0</v>
      </c>
      <c r="BH39" s="166">
        <f t="shared" si="43"/>
        <v>0</v>
      </c>
      <c r="BI39" s="33">
        <f t="shared" si="44"/>
        <v>84283.512030025609</v>
      </c>
      <c r="BJ39" s="167">
        <f t="shared" si="45"/>
        <v>5899.8458421017931</v>
      </c>
      <c r="BK39" s="87">
        <f t="shared" si="46"/>
        <v>0</v>
      </c>
      <c r="BL39" s="33">
        <f>'2023-2024'!BL39+'2024-2025'!BK39</f>
        <v>500</v>
      </c>
    </row>
    <row r="40" spans="1:64">
      <c r="A40" s="10" t="s">
        <v>611</v>
      </c>
      <c r="B40" s="10" t="s">
        <v>125</v>
      </c>
      <c r="C40" s="80">
        <v>0</v>
      </c>
      <c r="D40" s="79">
        <f t="shared" si="0"/>
        <v>2400</v>
      </c>
      <c r="E40" s="78">
        <f>'2023-2024'!I40</f>
        <v>35281.373062925719</v>
      </c>
      <c r="F40" s="187">
        <f t="shared" si="1"/>
        <v>2400</v>
      </c>
      <c r="G40" s="33">
        <f t="shared" si="2"/>
        <v>0</v>
      </c>
      <c r="H40" s="190">
        <f t="shared" si="3"/>
        <v>2400</v>
      </c>
      <c r="I40" s="78">
        <f t="shared" si="4"/>
        <v>75660.421722578001</v>
      </c>
      <c r="J40" s="78">
        <f t="shared" si="5"/>
        <v>0</v>
      </c>
      <c r="K40" s="78">
        <f t="shared" si="6"/>
        <v>0</v>
      </c>
      <c r="L40" s="78">
        <f t="shared" si="7"/>
        <v>37979.048659652282</v>
      </c>
      <c r="M40" s="194">
        <f t="shared" si="8"/>
        <v>37979.048659652282</v>
      </c>
      <c r="N40" s="78">
        <f t="shared" si="9"/>
        <v>-37979.048659652282</v>
      </c>
      <c r="O40" s="165">
        <v>0</v>
      </c>
      <c r="P40" s="166">
        <f t="shared" si="10"/>
        <v>0</v>
      </c>
      <c r="Q40" s="119">
        <f t="shared" si="11"/>
        <v>35481.373062925719</v>
      </c>
      <c r="R40" s="167">
        <f t="shared" si="12"/>
        <v>1951.4755184609146</v>
      </c>
      <c r="S40" s="165">
        <v>0</v>
      </c>
      <c r="T40" s="166">
        <f t="shared" si="13"/>
        <v>0</v>
      </c>
      <c r="U40" s="33">
        <f t="shared" si="14"/>
        <v>37632.848581386635</v>
      </c>
      <c r="V40" s="167">
        <f t="shared" si="15"/>
        <v>2069.8066719762651</v>
      </c>
      <c r="W40" s="165">
        <v>0</v>
      </c>
      <c r="X40" s="166">
        <f t="shared" si="16"/>
        <v>0</v>
      </c>
      <c r="Y40" s="33">
        <f t="shared" si="17"/>
        <v>39902.6552533629</v>
      </c>
      <c r="Z40" s="167">
        <f t="shared" si="18"/>
        <v>2194.6460389349595</v>
      </c>
      <c r="AA40" s="165">
        <v>0</v>
      </c>
      <c r="AB40" s="166">
        <f t="shared" si="19"/>
        <v>0</v>
      </c>
      <c r="AC40" s="33">
        <f t="shared" si="20"/>
        <v>42297.30129229786</v>
      </c>
      <c r="AD40" s="167">
        <f t="shared" si="21"/>
        <v>2326.3515710763822</v>
      </c>
      <c r="AE40" s="165">
        <v>0</v>
      </c>
      <c r="AF40" s="166">
        <f t="shared" si="22"/>
        <v>0</v>
      </c>
      <c r="AG40" s="33">
        <f t="shared" si="23"/>
        <v>44823.652863374242</v>
      </c>
      <c r="AH40" s="167">
        <f t="shared" si="24"/>
        <v>2465.3009074855831</v>
      </c>
      <c r="AI40" s="165">
        <v>0</v>
      </c>
      <c r="AJ40" s="166">
        <f t="shared" si="25"/>
        <v>0</v>
      </c>
      <c r="AK40" s="33">
        <f t="shared" si="26"/>
        <v>47488.953770859822</v>
      </c>
      <c r="AL40" s="167">
        <f t="shared" si="27"/>
        <v>2611.8924573972904</v>
      </c>
      <c r="AM40" s="165">
        <v>0</v>
      </c>
      <c r="AN40" s="166">
        <f t="shared" si="28"/>
        <v>0</v>
      </c>
      <c r="AO40" s="33">
        <f t="shared" si="29"/>
        <v>50300.846228257113</v>
      </c>
      <c r="AP40" s="167">
        <f t="shared" si="30"/>
        <v>2766.5465425541411</v>
      </c>
      <c r="AQ40" s="165">
        <v>0</v>
      </c>
      <c r="AR40" s="166">
        <f t="shared" si="31"/>
        <v>0</v>
      </c>
      <c r="AS40" s="33">
        <f t="shared" si="32"/>
        <v>53267.392770811253</v>
      </c>
      <c r="AT40" s="167">
        <f t="shared" si="33"/>
        <v>3728.7174939567881</v>
      </c>
      <c r="AU40" s="165">
        <v>0</v>
      </c>
      <c r="AV40" s="166">
        <f t="shared" si="34"/>
        <v>0</v>
      </c>
      <c r="AW40" s="33">
        <f t="shared" si="35"/>
        <v>57196.110264768038</v>
      </c>
      <c r="AX40" s="167">
        <f t="shared" si="36"/>
        <v>4003.727718533763</v>
      </c>
      <c r="AY40" s="165">
        <v>0</v>
      </c>
      <c r="AZ40" s="166">
        <f t="shared" si="37"/>
        <v>0</v>
      </c>
      <c r="BA40" s="33">
        <f t="shared" si="38"/>
        <v>61399.837983301804</v>
      </c>
      <c r="BB40" s="167">
        <f t="shared" si="39"/>
        <v>4297.9886588311265</v>
      </c>
      <c r="BC40" s="165">
        <v>0</v>
      </c>
      <c r="BD40" s="166">
        <f t="shared" si="40"/>
        <v>0</v>
      </c>
      <c r="BE40" s="33">
        <f t="shared" si="41"/>
        <v>65897.826642132932</v>
      </c>
      <c r="BF40" s="167">
        <f t="shared" si="42"/>
        <v>4612.8478649493054</v>
      </c>
      <c r="BG40" s="165">
        <v>0</v>
      </c>
      <c r="BH40" s="166">
        <f t="shared" si="43"/>
        <v>0</v>
      </c>
      <c r="BI40" s="33">
        <f t="shared" si="44"/>
        <v>70710.674507082236</v>
      </c>
      <c r="BJ40" s="167">
        <f t="shared" si="45"/>
        <v>4949.7472154957568</v>
      </c>
      <c r="BK40" s="87">
        <f t="shared" si="46"/>
        <v>0</v>
      </c>
      <c r="BL40" s="33">
        <f>'2023-2024'!BL40+'2024-2025'!BK40</f>
        <v>3000</v>
      </c>
    </row>
    <row r="41" spans="1:64">
      <c r="A41" s="10" t="s">
        <v>612</v>
      </c>
      <c r="B41" s="10" t="s">
        <v>144</v>
      </c>
      <c r="C41" s="80">
        <v>0</v>
      </c>
      <c r="D41" s="79">
        <f t="shared" si="0"/>
        <v>2400</v>
      </c>
      <c r="E41" s="78">
        <f>'2023-2024'!I41</f>
        <v>17007.242143112755</v>
      </c>
      <c r="F41" s="187">
        <f t="shared" si="1"/>
        <v>2400</v>
      </c>
      <c r="G41" s="33">
        <f t="shared" si="2"/>
        <v>0</v>
      </c>
      <c r="H41" s="190">
        <f t="shared" si="3"/>
        <v>2400</v>
      </c>
      <c r="I41" s="78">
        <f t="shared" si="4"/>
        <v>38376.39266028456</v>
      </c>
      <c r="J41" s="78">
        <f t="shared" si="5"/>
        <v>0</v>
      </c>
      <c r="K41" s="78">
        <f t="shared" si="6"/>
        <v>0</v>
      </c>
      <c r="L41" s="78">
        <f t="shared" si="7"/>
        <v>18969.150517171802</v>
      </c>
      <c r="M41" s="194">
        <f t="shared" si="8"/>
        <v>18969.150517171802</v>
      </c>
      <c r="N41" s="78">
        <f t="shared" si="9"/>
        <v>-18969.150517171802</v>
      </c>
      <c r="O41" s="165">
        <v>0</v>
      </c>
      <c r="P41" s="166">
        <f t="shared" si="10"/>
        <v>0</v>
      </c>
      <c r="Q41" s="119">
        <f t="shared" si="11"/>
        <v>17207.242143112755</v>
      </c>
      <c r="R41" s="167">
        <f t="shared" si="12"/>
        <v>946.39831787120158</v>
      </c>
      <c r="S41" s="165">
        <v>0</v>
      </c>
      <c r="T41" s="166">
        <f t="shared" si="13"/>
        <v>0</v>
      </c>
      <c r="U41" s="33">
        <f t="shared" si="14"/>
        <v>18353.640460983956</v>
      </c>
      <c r="V41" s="167">
        <f t="shared" si="15"/>
        <v>1009.4502253541176</v>
      </c>
      <c r="W41" s="165">
        <v>0</v>
      </c>
      <c r="X41" s="166">
        <f t="shared" si="16"/>
        <v>0</v>
      </c>
      <c r="Y41" s="33">
        <f t="shared" si="17"/>
        <v>19563.090686338073</v>
      </c>
      <c r="Z41" s="167">
        <f t="shared" si="18"/>
        <v>1075.9699877485941</v>
      </c>
      <c r="AA41" s="165">
        <v>0</v>
      </c>
      <c r="AB41" s="166">
        <f t="shared" si="19"/>
        <v>0</v>
      </c>
      <c r="AC41" s="33">
        <f t="shared" si="20"/>
        <v>20839.060674086668</v>
      </c>
      <c r="AD41" s="167">
        <f t="shared" si="21"/>
        <v>1146.1483370747667</v>
      </c>
      <c r="AE41" s="165">
        <v>0</v>
      </c>
      <c r="AF41" s="166">
        <f t="shared" si="22"/>
        <v>0</v>
      </c>
      <c r="AG41" s="33">
        <f t="shared" si="23"/>
        <v>22185.209011161434</v>
      </c>
      <c r="AH41" s="167">
        <f t="shared" si="24"/>
        <v>1220.1864956138788</v>
      </c>
      <c r="AI41" s="165">
        <v>0</v>
      </c>
      <c r="AJ41" s="166">
        <f t="shared" si="25"/>
        <v>0</v>
      </c>
      <c r="AK41" s="33">
        <f t="shared" si="26"/>
        <v>23605.395506775312</v>
      </c>
      <c r="AL41" s="167">
        <f t="shared" si="27"/>
        <v>1298.2967528726422</v>
      </c>
      <c r="AM41" s="165">
        <v>0</v>
      </c>
      <c r="AN41" s="166">
        <f t="shared" si="28"/>
        <v>0</v>
      </c>
      <c r="AO41" s="33">
        <f t="shared" si="29"/>
        <v>25103.692259647956</v>
      </c>
      <c r="AP41" s="167">
        <f t="shared" si="30"/>
        <v>1380.7030742806376</v>
      </c>
      <c r="AQ41" s="165">
        <v>0</v>
      </c>
      <c r="AR41" s="166">
        <f t="shared" si="31"/>
        <v>0</v>
      </c>
      <c r="AS41" s="33">
        <f t="shared" si="32"/>
        <v>26684.395333928594</v>
      </c>
      <c r="AT41" s="167">
        <f t="shared" si="33"/>
        <v>1867.9076733750019</v>
      </c>
      <c r="AU41" s="165">
        <v>0</v>
      </c>
      <c r="AV41" s="166">
        <f t="shared" si="34"/>
        <v>0</v>
      </c>
      <c r="AW41" s="33">
        <f t="shared" si="35"/>
        <v>28752.303007303595</v>
      </c>
      <c r="AX41" s="167">
        <f t="shared" si="36"/>
        <v>2012.661210511252</v>
      </c>
      <c r="AY41" s="165">
        <v>0</v>
      </c>
      <c r="AZ41" s="166">
        <f t="shared" si="37"/>
        <v>0</v>
      </c>
      <c r="BA41" s="33">
        <f t="shared" si="38"/>
        <v>30964.964217814846</v>
      </c>
      <c r="BB41" s="167">
        <f t="shared" si="39"/>
        <v>2167.5474952470395</v>
      </c>
      <c r="BC41" s="165">
        <v>0</v>
      </c>
      <c r="BD41" s="166">
        <f t="shared" si="40"/>
        <v>0</v>
      </c>
      <c r="BE41" s="33">
        <f t="shared" si="41"/>
        <v>33332.511713061889</v>
      </c>
      <c r="BF41" s="167">
        <f t="shared" si="42"/>
        <v>2333.2758199143323</v>
      </c>
      <c r="BG41" s="165">
        <v>0</v>
      </c>
      <c r="BH41" s="166">
        <f t="shared" si="43"/>
        <v>0</v>
      </c>
      <c r="BI41" s="33">
        <f t="shared" si="44"/>
        <v>35865.787532976225</v>
      </c>
      <c r="BJ41" s="167">
        <f t="shared" si="45"/>
        <v>2510.6051273083358</v>
      </c>
      <c r="BK41" s="87">
        <f t="shared" si="46"/>
        <v>0</v>
      </c>
      <c r="BL41" s="33">
        <f>'2023-2024'!BL41+'2024-2025'!BK41</f>
        <v>6700</v>
      </c>
    </row>
    <row r="42" spans="1:64">
      <c r="A42" s="10" t="s">
        <v>613</v>
      </c>
      <c r="B42" s="10" t="s">
        <v>143</v>
      </c>
      <c r="C42" s="80">
        <v>0</v>
      </c>
      <c r="D42" s="79">
        <f t="shared" si="0"/>
        <v>2400</v>
      </c>
      <c r="E42" s="78">
        <f>'2023-2024'!I42</f>
        <v>31576.594812667503</v>
      </c>
      <c r="F42" s="187">
        <f t="shared" si="1"/>
        <v>2400</v>
      </c>
      <c r="G42" s="33">
        <f t="shared" si="2"/>
        <v>0</v>
      </c>
      <c r="H42" s="190">
        <f t="shared" si="3"/>
        <v>2400</v>
      </c>
      <c r="I42" s="78">
        <f t="shared" si="4"/>
        <v>68101.700568718952</v>
      </c>
      <c r="J42" s="78">
        <f t="shared" si="5"/>
        <v>0</v>
      </c>
      <c r="K42" s="78">
        <f t="shared" si="6"/>
        <v>0</v>
      </c>
      <c r="L42" s="78">
        <f t="shared" si="7"/>
        <v>34125.105756051445</v>
      </c>
      <c r="M42" s="194">
        <f t="shared" si="8"/>
        <v>34125.105756051445</v>
      </c>
      <c r="N42" s="78">
        <f t="shared" si="9"/>
        <v>-34125.105756051445</v>
      </c>
      <c r="O42" s="165">
        <v>0</v>
      </c>
      <c r="P42" s="166">
        <f t="shared" si="10"/>
        <v>0</v>
      </c>
      <c r="Q42" s="119">
        <f t="shared" si="11"/>
        <v>31776.594812667503</v>
      </c>
      <c r="R42" s="167">
        <f t="shared" si="12"/>
        <v>1747.7127146967127</v>
      </c>
      <c r="S42" s="165">
        <v>0</v>
      </c>
      <c r="T42" s="166">
        <f t="shared" si="13"/>
        <v>0</v>
      </c>
      <c r="U42" s="33">
        <f t="shared" si="14"/>
        <v>33724.307527364217</v>
      </c>
      <c r="V42" s="167">
        <f t="shared" si="15"/>
        <v>1854.836914005032</v>
      </c>
      <c r="W42" s="165">
        <v>0</v>
      </c>
      <c r="X42" s="166">
        <f t="shared" si="16"/>
        <v>0</v>
      </c>
      <c r="Y42" s="33">
        <f t="shared" si="17"/>
        <v>35779.144441369252</v>
      </c>
      <c r="Z42" s="167">
        <f t="shared" si="18"/>
        <v>1967.8529442753088</v>
      </c>
      <c r="AA42" s="165">
        <v>0</v>
      </c>
      <c r="AB42" s="166">
        <f t="shared" si="19"/>
        <v>0</v>
      </c>
      <c r="AC42" s="33">
        <f t="shared" si="20"/>
        <v>37946.997385644558</v>
      </c>
      <c r="AD42" s="167">
        <f t="shared" si="21"/>
        <v>2087.0848562104507</v>
      </c>
      <c r="AE42" s="165">
        <v>0</v>
      </c>
      <c r="AF42" s="166">
        <f t="shared" si="22"/>
        <v>0</v>
      </c>
      <c r="AG42" s="33">
        <f t="shared" si="23"/>
        <v>40234.082241855009</v>
      </c>
      <c r="AH42" s="167">
        <f t="shared" si="24"/>
        <v>2212.8745233020254</v>
      </c>
      <c r="AI42" s="165">
        <v>0</v>
      </c>
      <c r="AJ42" s="166">
        <f t="shared" si="25"/>
        <v>0</v>
      </c>
      <c r="AK42" s="33">
        <f t="shared" si="26"/>
        <v>42646.956765157032</v>
      </c>
      <c r="AL42" s="167">
        <f t="shared" si="27"/>
        <v>2345.5826220836366</v>
      </c>
      <c r="AM42" s="165">
        <v>0</v>
      </c>
      <c r="AN42" s="166">
        <f t="shared" si="28"/>
        <v>0</v>
      </c>
      <c r="AO42" s="33">
        <f t="shared" si="29"/>
        <v>45192.539387240671</v>
      </c>
      <c r="AP42" s="167">
        <f t="shared" si="30"/>
        <v>2485.5896662982368</v>
      </c>
      <c r="AQ42" s="165">
        <v>0</v>
      </c>
      <c r="AR42" s="166">
        <f t="shared" si="31"/>
        <v>0</v>
      </c>
      <c r="AS42" s="33">
        <f t="shared" si="32"/>
        <v>47878.129053538905</v>
      </c>
      <c r="AT42" s="167">
        <f t="shared" si="33"/>
        <v>3351.4690337477236</v>
      </c>
      <c r="AU42" s="165">
        <v>0</v>
      </c>
      <c r="AV42" s="166">
        <f t="shared" si="34"/>
        <v>0</v>
      </c>
      <c r="AW42" s="33">
        <f t="shared" si="35"/>
        <v>51429.598087286628</v>
      </c>
      <c r="AX42" s="167">
        <f t="shared" si="36"/>
        <v>3600.0718661100641</v>
      </c>
      <c r="AY42" s="165">
        <v>0</v>
      </c>
      <c r="AZ42" s="166">
        <f t="shared" si="37"/>
        <v>0</v>
      </c>
      <c r="BA42" s="33">
        <f t="shared" si="38"/>
        <v>55229.669953396689</v>
      </c>
      <c r="BB42" s="167">
        <f t="shared" si="39"/>
        <v>3866.0768967377685</v>
      </c>
      <c r="BC42" s="165">
        <v>0</v>
      </c>
      <c r="BD42" s="166">
        <f t="shared" si="40"/>
        <v>0</v>
      </c>
      <c r="BE42" s="33">
        <f t="shared" si="41"/>
        <v>59295.746850134456</v>
      </c>
      <c r="BF42" s="167">
        <f t="shared" si="42"/>
        <v>4150.7022795094126</v>
      </c>
      <c r="BG42" s="165">
        <v>0</v>
      </c>
      <c r="BH42" s="166">
        <f t="shared" si="43"/>
        <v>0</v>
      </c>
      <c r="BI42" s="33">
        <f t="shared" si="44"/>
        <v>63646.449129643865</v>
      </c>
      <c r="BJ42" s="167">
        <f t="shared" si="45"/>
        <v>4455.2514390750712</v>
      </c>
      <c r="BK42" s="87">
        <f t="shared" si="46"/>
        <v>0</v>
      </c>
      <c r="BL42" s="33">
        <f>'2023-2024'!BL42+'2024-2025'!BK42</f>
        <v>3100</v>
      </c>
    </row>
    <row r="43" spans="1:64">
      <c r="A43" s="10" t="s">
        <v>614</v>
      </c>
      <c r="B43" s="10" t="s">
        <v>150</v>
      </c>
      <c r="C43" s="80">
        <v>0</v>
      </c>
      <c r="D43" s="79">
        <f t="shared" si="0"/>
        <v>2400</v>
      </c>
      <c r="E43" s="78">
        <f>'2023-2024'!I43</f>
        <v>23766.144979957906</v>
      </c>
      <c r="F43" s="187">
        <f t="shared" si="1"/>
        <v>2400</v>
      </c>
      <c r="G43" s="33">
        <f t="shared" si="2"/>
        <v>0</v>
      </c>
      <c r="H43" s="190">
        <f t="shared" si="3"/>
        <v>2400</v>
      </c>
      <c r="I43" s="78">
        <f t="shared" si="4"/>
        <v>52166.330518556795</v>
      </c>
      <c r="J43" s="78">
        <f t="shared" si="5"/>
        <v>0</v>
      </c>
      <c r="K43" s="78">
        <f t="shared" si="6"/>
        <v>0</v>
      </c>
      <c r="L43" s="78">
        <f t="shared" si="7"/>
        <v>26000.185538598889</v>
      </c>
      <c r="M43" s="194">
        <f t="shared" si="8"/>
        <v>26000.185538598889</v>
      </c>
      <c r="N43" s="78">
        <f t="shared" si="9"/>
        <v>-26000.185538598889</v>
      </c>
      <c r="O43" s="165">
        <v>0</v>
      </c>
      <c r="P43" s="166">
        <f t="shared" si="10"/>
        <v>0</v>
      </c>
      <c r="Q43" s="119">
        <f t="shared" si="11"/>
        <v>23966.144979957906</v>
      </c>
      <c r="R43" s="167">
        <f t="shared" si="12"/>
        <v>1318.1379738976848</v>
      </c>
      <c r="S43" s="165">
        <v>0</v>
      </c>
      <c r="T43" s="166">
        <f t="shared" si="13"/>
        <v>0</v>
      </c>
      <c r="U43" s="33">
        <f t="shared" si="14"/>
        <v>25484.282953855589</v>
      </c>
      <c r="V43" s="167">
        <f t="shared" si="15"/>
        <v>1401.6355624620574</v>
      </c>
      <c r="W43" s="165">
        <v>0</v>
      </c>
      <c r="X43" s="166">
        <f t="shared" si="16"/>
        <v>0</v>
      </c>
      <c r="Y43" s="33">
        <f t="shared" si="17"/>
        <v>27085.918516317644</v>
      </c>
      <c r="Z43" s="167">
        <f t="shared" si="18"/>
        <v>1489.7255183974705</v>
      </c>
      <c r="AA43" s="165">
        <v>0</v>
      </c>
      <c r="AB43" s="166">
        <f t="shared" si="19"/>
        <v>0</v>
      </c>
      <c r="AC43" s="33">
        <f t="shared" si="20"/>
        <v>28775.644034715115</v>
      </c>
      <c r="AD43" s="167">
        <f t="shared" si="21"/>
        <v>1582.6604219093313</v>
      </c>
      <c r="AE43" s="165">
        <v>0</v>
      </c>
      <c r="AF43" s="166">
        <f t="shared" si="22"/>
        <v>0</v>
      </c>
      <c r="AG43" s="33">
        <f t="shared" si="23"/>
        <v>30558.304456624446</v>
      </c>
      <c r="AH43" s="167">
        <f t="shared" si="24"/>
        <v>1680.7067451143446</v>
      </c>
      <c r="AI43" s="165">
        <v>0</v>
      </c>
      <c r="AJ43" s="166">
        <f t="shared" si="25"/>
        <v>0</v>
      </c>
      <c r="AK43" s="33">
        <f t="shared" si="26"/>
        <v>32439.011201738791</v>
      </c>
      <c r="AL43" s="167">
        <f t="shared" si="27"/>
        <v>1784.1456160956336</v>
      </c>
      <c r="AM43" s="165">
        <v>0</v>
      </c>
      <c r="AN43" s="166">
        <f t="shared" si="28"/>
        <v>0</v>
      </c>
      <c r="AO43" s="33">
        <f t="shared" si="29"/>
        <v>34423.156817834424</v>
      </c>
      <c r="AP43" s="167">
        <f t="shared" si="30"/>
        <v>1893.2736249808934</v>
      </c>
      <c r="AQ43" s="165">
        <v>0</v>
      </c>
      <c r="AR43" s="166">
        <f t="shared" si="31"/>
        <v>0</v>
      </c>
      <c r="AS43" s="33">
        <f t="shared" si="32"/>
        <v>36516.430442815319</v>
      </c>
      <c r="AT43" s="167">
        <f t="shared" si="33"/>
        <v>2556.1501309970727</v>
      </c>
      <c r="AU43" s="165">
        <v>0</v>
      </c>
      <c r="AV43" s="166">
        <f t="shared" si="34"/>
        <v>0</v>
      </c>
      <c r="AW43" s="33">
        <f t="shared" si="35"/>
        <v>39272.580573812389</v>
      </c>
      <c r="AX43" s="167">
        <f t="shared" si="36"/>
        <v>2749.0806401668674</v>
      </c>
      <c r="AY43" s="165">
        <v>0</v>
      </c>
      <c r="AZ43" s="166">
        <f t="shared" si="37"/>
        <v>0</v>
      </c>
      <c r="BA43" s="33">
        <f t="shared" si="38"/>
        <v>42221.661213979256</v>
      </c>
      <c r="BB43" s="167">
        <f t="shared" si="39"/>
        <v>2955.5162849785484</v>
      </c>
      <c r="BC43" s="165">
        <v>0</v>
      </c>
      <c r="BD43" s="166">
        <f t="shared" si="40"/>
        <v>0</v>
      </c>
      <c r="BE43" s="33">
        <f t="shared" si="41"/>
        <v>45377.177498957804</v>
      </c>
      <c r="BF43" s="167">
        <f t="shared" si="42"/>
        <v>3176.4024249270465</v>
      </c>
      <c r="BG43" s="165">
        <v>0</v>
      </c>
      <c r="BH43" s="166">
        <f t="shared" si="43"/>
        <v>0</v>
      </c>
      <c r="BI43" s="33">
        <f t="shared" si="44"/>
        <v>48753.579923884849</v>
      </c>
      <c r="BJ43" s="167">
        <f t="shared" si="45"/>
        <v>3412.7505946719398</v>
      </c>
      <c r="BK43" s="87">
        <f t="shared" si="46"/>
        <v>0</v>
      </c>
      <c r="BL43" s="33">
        <f>'2023-2024'!BL43+'2024-2025'!BK43</f>
        <v>6988.8899999999994</v>
      </c>
    </row>
    <row r="44" spans="1:64">
      <c r="A44" s="10" t="s">
        <v>615</v>
      </c>
      <c r="B44" s="10" t="s">
        <v>159</v>
      </c>
      <c r="C44" s="80">
        <v>0</v>
      </c>
      <c r="D44" s="79">
        <f t="shared" si="0"/>
        <v>2400</v>
      </c>
      <c r="E44" s="78">
        <f>'2023-2024'!I44</f>
        <v>612.87058666965982</v>
      </c>
      <c r="F44" s="187">
        <f t="shared" si="1"/>
        <v>2400</v>
      </c>
      <c r="G44" s="33">
        <f t="shared" si="2"/>
        <v>0</v>
      </c>
      <c r="H44" s="190">
        <f t="shared" si="3"/>
        <v>2400</v>
      </c>
      <c r="I44" s="78">
        <f t="shared" si="4"/>
        <v>4927.5666531478255</v>
      </c>
      <c r="J44" s="78">
        <f t="shared" si="5"/>
        <v>0</v>
      </c>
      <c r="K44" s="78">
        <f t="shared" si="6"/>
        <v>0</v>
      </c>
      <c r="L44" s="78">
        <f t="shared" si="7"/>
        <v>1914.6960664781654</v>
      </c>
      <c r="M44" s="194">
        <f t="shared" si="8"/>
        <v>1914.6960664781654</v>
      </c>
      <c r="N44" s="78">
        <f t="shared" si="9"/>
        <v>-1914.6960664781654</v>
      </c>
      <c r="O44" s="165">
        <v>0</v>
      </c>
      <c r="P44" s="166">
        <f t="shared" si="10"/>
        <v>0</v>
      </c>
      <c r="Q44" s="119">
        <f t="shared" si="11"/>
        <v>812.87058666965982</v>
      </c>
      <c r="R44" s="167">
        <f t="shared" si="12"/>
        <v>44.707882266831291</v>
      </c>
      <c r="S44" s="165">
        <v>0</v>
      </c>
      <c r="T44" s="166">
        <f t="shared" si="13"/>
        <v>0</v>
      </c>
      <c r="U44" s="33">
        <f t="shared" si="14"/>
        <v>1057.5784689364912</v>
      </c>
      <c r="V44" s="167">
        <f t="shared" si="15"/>
        <v>58.166815791507013</v>
      </c>
      <c r="W44" s="165">
        <v>0</v>
      </c>
      <c r="X44" s="166">
        <f t="shared" si="16"/>
        <v>0</v>
      </c>
      <c r="Y44" s="33">
        <f t="shared" si="17"/>
        <v>1315.7452847279981</v>
      </c>
      <c r="Z44" s="167">
        <f t="shared" si="18"/>
        <v>72.365990660039898</v>
      </c>
      <c r="AA44" s="165">
        <v>0</v>
      </c>
      <c r="AB44" s="166">
        <f t="shared" si="19"/>
        <v>0</v>
      </c>
      <c r="AC44" s="33">
        <f t="shared" si="20"/>
        <v>1588.1112753880379</v>
      </c>
      <c r="AD44" s="167">
        <f t="shared" si="21"/>
        <v>87.346120146342088</v>
      </c>
      <c r="AE44" s="165">
        <v>0</v>
      </c>
      <c r="AF44" s="166">
        <f t="shared" si="22"/>
        <v>0</v>
      </c>
      <c r="AG44" s="33">
        <f t="shared" si="23"/>
        <v>1875.4573955343801</v>
      </c>
      <c r="AH44" s="167">
        <f t="shared" si="24"/>
        <v>103.15015675439091</v>
      </c>
      <c r="AI44" s="165">
        <v>0</v>
      </c>
      <c r="AJ44" s="166">
        <f t="shared" si="25"/>
        <v>0</v>
      </c>
      <c r="AK44" s="33">
        <f t="shared" si="26"/>
        <v>2178.6075522887713</v>
      </c>
      <c r="AL44" s="167">
        <f t="shared" si="27"/>
        <v>119.82341537588242</v>
      </c>
      <c r="AM44" s="165">
        <v>0</v>
      </c>
      <c r="AN44" s="166">
        <f t="shared" si="28"/>
        <v>0</v>
      </c>
      <c r="AO44" s="33">
        <f t="shared" si="29"/>
        <v>2498.430967664654</v>
      </c>
      <c r="AP44" s="167">
        <f t="shared" si="30"/>
        <v>137.41370322155598</v>
      </c>
      <c r="AQ44" s="165">
        <v>0</v>
      </c>
      <c r="AR44" s="166">
        <f t="shared" si="31"/>
        <v>0</v>
      </c>
      <c r="AS44" s="33">
        <f t="shared" si="32"/>
        <v>2835.8446708862098</v>
      </c>
      <c r="AT44" s="167">
        <f t="shared" si="33"/>
        <v>198.50912696203471</v>
      </c>
      <c r="AU44" s="165">
        <v>0</v>
      </c>
      <c r="AV44" s="166">
        <f t="shared" si="34"/>
        <v>0</v>
      </c>
      <c r="AW44" s="33">
        <f t="shared" si="35"/>
        <v>3234.3537978482445</v>
      </c>
      <c r="AX44" s="167">
        <f t="shared" si="36"/>
        <v>226.40476584937713</v>
      </c>
      <c r="AY44" s="165">
        <v>0</v>
      </c>
      <c r="AZ44" s="166">
        <f t="shared" si="37"/>
        <v>0</v>
      </c>
      <c r="BA44" s="33">
        <f t="shared" si="38"/>
        <v>3660.7585636976219</v>
      </c>
      <c r="BB44" s="167">
        <f t="shared" si="39"/>
        <v>256.25309945883356</v>
      </c>
      <c r="BC44" s="165">
        <v>0</v>
      </c>
      <c r="BD44" s="166">
        <f t="shared" si="40"/>
        <v>0</v>
      </c>
      <c r="BE44" s="33">
        <f t="shared" si="41"/>
        <v>4117.0116631564551</v>
      </c>
      <c r="BF44" s="167">
        <f t="shared" si="42"/>
        <v>288.19081642095188</v>
      </c>
      <c r="BG44" s="165">
        <v>0</v>
      </c>
      <c r="BH44" s="166">
        <f t="shared" si="43"/>
        <v>0</v>
      </c>
      <c r="BI44" s="33">
        <f t="shared" si="44"/>
        <v>4605.2024795774068</v>
      </c>
      <c r="BJ44" s="167">
        <f t="shared" si="45"/>
        <v>322.36417357041853</v>
      </c>
      <c r="BK44" s="87">
        <f t="shared" si="46"/>
        <v>0</v>
      </c>
      <c r="BL44" s="33">
        <f>'2023-2024'!BL44+'2024-2025'!BK44</f>
        <v>13430</v>
      </c>
    </row>
    <row r="45" spans="1:64">
      <c r="A45" s="10" t="s">
        <v>616</v>
      </c>
      <c r="B45" s="10" t="s">
        <v>126</v>
      </c>
      <c r="C45" s="80">
        <v>0</v>
      </c>
      <c r="D45" s="79">
        <f t="shared" si="0"/>
        <v>2400</v>
      </c>
      <c r="E45" s="78">
        <f>'2023-2024'!I45</f>
        <v>21169.914334414112</v>
      </c>
      <c r="F45" s="187">
        <f t="shared" si="1"/>
        <v>2400</v>
      </c>
      <c r="G45" s="33">
        <f t="shared" si="2"/>
        <v>0</v>
      </c>
      <c r="H45" s="190">
        <f t="shared" si="3"/>
        <v>2400</v>
      </c>
      <c r="I45" s="78">
        <f t="shared" si="4"/>
        <v>46869.337776980101</v>
      </c>
      <c r="J45" s="78">
        <f t="shared" si="5"/>
        <v>0</v>
      </c>
      <c r="K45" s="78">
        <f t="shared" si="6"/>
        <v>0</v>
      </c>
      <c r="L45" s="78">
        <f t="shared" si="7"/>
        <v>23299.423442565985</v>
      </c>
      <c r="M45" s="194">
        <f t="shared" si="8"/>
        <v>23299.423442565985</v>
      </c>
      <c r="N45" s="78">
        <f t="shared" si="9"/>
        <v>-23299.423442565985</v>
      </c>
      <c r="O45" s="165">
        <v>0</v>
      </c>
      <c r="P45" s="166">
        <f t="shared" si="10"/>
        <v>0</v>
      </c>
      <c r="Q45" s="119">
        <f t="shared" si="11"/>
        <v>21369.914334414112</v>
      </c>
      <c r="R45" s="167">
        <f t="shared" si="12"/>
        <v>1175.3452883927762</v>
      </c>
      <c r="S45" s="165">
        <v>0</v>
      </c>
      <c r="T45" s="166">
        <f t="shared" si="13"/>
        <v>0</v>
      </c>
      <c r="U45" s="33">
        <f t="shared" si="14"/>
        <v>22745.259622806887</v>
      </c>
      <c r="V45" s="167">
        <f t="shared" si="15"/>
        <v>1250.9892792543787</v>
      </c>
      <c r="W45" s="165">
        <v>0</v>
      </c>
      <c r="X45" s="166">
        <f t="shared" si="16"/>
        <v>0</v>
      </c>
      <c r="Y45" s="33">
        <f t="shared" si="17"/>
        <v>24196.248902061267</v>
      </c>
      <c r="Z45" s="167">
        <f t="shared" si="18"/>
        <v>1330.7936896133697</v>
      </c>
      <c r="AA45" s="165">
        <v>0</v>
      </c>
      <c r="AB45" s="166">
        <f t="shared" si="19"/>
        <v>0</v>
      </c>
      <c r="AC45" s="33">
        <f t="shared" si="20"/>
        <v>25727.042591674635</v>
      </c>
      <c r="AD45" s="167">
        <f t="shared" si="21"/>
        <v>1414.9873425421049</v>
      </c>
      <c r="AE45" s="165">
        <v>0</v>
      </c>
      <c r="AF45" s="166">
        <f t="shared" si="22"/>
        <v>0</v>
      </c>
      <c r="AG45" s="33">
        <f t="shared" si="23"/>
        <v>27342.029934216742</v>
      </c>
      <c r="AH45" s="167">
        <f t="shared" si="24"/>
        <v>1503.8116463819208</v>
      </c>
      <c r="AI45" s="165">
        <v>0</v>
      </c>
      <c r="AJ45" s="166">
        <f t="shared" si="25"/>
        <v>0</v>
      </c>
      <c r="AK45" s="33">
        <f t="shared" si="26"/>
        <v>29045.841580598662</v>
      </c>
      <c r="AL45" s="167">
        <f t="shared" si="27"/>
        <v>1597.5212869329264</v>
      </c>
      <c r="AM45" s="165">
        <v>0</v>
      </c>
      <c r="AN45" s="166">
        <f t="shared" si="28"/>
        <v>0</v>
      </c>
      <c r="AO45" s="33">
        <f t="shared" si="29"/>
        <v>30843.362867531589</v>
      </c>
      <c r="AP45" s="167">
        <f t="shared" si="30"/>
        <v>1696.3849577142373</v>
      </c>
      <c r="AQ45" s="165">
        <v>0</v>
      </c>
      <c r="AR45" s="166">
        <f t="shared" si="31"/>
        <v>0</v>
      </c>
      <c r="AS45" s="33">
        <f t="shared" si="32"/>
        <v>32739.747825245824</v>
      </c>
      <c r="AT45" s="167">
        <f t="shared" si="33"/>
        <v>2291.7823477672077</v>
      </c>
      <c r="AU45" s="165">
        <v>0</v>
      </c>
      <c r="AV45" s="166">
        <f t="shared" si="34"/>
        <v>0</v>
      </c>
      <c r="AW45" s="33">
        <f t="shared" si="35"/>
        <v>35231.53017301303</v>
      </c>
      <c r="AX45" s="167">
        <f t="shared" si="36"/>
        <v>2466.2071121109125</v>
      </c>
      <c r="AY45" s="165">
        <v>0</v>
      </c>
      <c r="AZ45" s="166">
        <f t="shared" si="37"/>
        <v>0</v>
      </c>
      <c r="BA45" s="33">
        <f t="shared" si="38"/>
        <v>37897.737285123942</v>
      </c>
      <c r="BB45" s="167">
        <f t="shared" si="39"/>
        <v>2652.8416099586761</v>
      </c>
      <c r="BC45" s="165">
        <v>0</v>
      </c>
      <c r="BD45" s="166">
        <f t="shared" si="40"/>
        <v>0</v>
      </c>
      <c r="BE45" s="33">
        <f t="shared" si="41"/>
        <v>40750.578895082617</v>
      </c>
      <c r="BF45" s="167">
        <f t="shared" si="42"/>
        <v>2852.5405226557837</v>
      </c>
      <c r="BG45" s="165">
        <v>0</v>
      </c>
      <c r="BH45" s="166">
        <f t="shared" si="43"/>
        <v>0</v>
      </c>
      <c r="BI45" s="33">
        <f t="shared" si="44"/>
        <v>43803.119417738402</v>
      </c>
      <c r="BJ45" s="167">
        <f t="shared" si="45"/>
        <v>3066.2183592416886</v>
      </c>
      <c r="BK45" s="87">
        <f t="shared" si="46"/>
        <v>0</v>
      </c>
      <c r="BL45" s="33">
        <f>'2023-2024'!BL45+'2024-2025'!BK45</f>
        <v>5700</v>
      </c>
    </row>
    <row r="46" spans="1:64">
      <c r="A46" s="10" t="s">
        <v>617</v>
      </c>
      <c r="B46" s="10" t="s">
        <v>151</v>
      </c>
      <c r="C46" s="80">
        <v>0</v>
      </c>
      <c r="D46" s="79">
        <f t="shared" si="0"/>
        <v>2400</v>
      </c>
      <c r="E46" s="78">
        <f>'2023-2024'!I46</f>
        <v>-2021.655161285106</v>
      </c>
      <c r="F46" s="187">
        <f t="shared" si="1"/>
        <v>2400</v>
      </c>
      <c r="G46" s="33">
        <f t="shared" si="2"/>
        <v>2100</v>
      </c>
      <c r="H46" s="190">
        <f t="shared" si="3"/>
        <v>300</v>
      </c>
      <c r="I46" s="78">
        <f t="shared" si="4"/>
        <v>-3996.5298327786386</v>
      </c>
      <c r="J46" s="78">
        <f t="shared" si="5"/>
        <v>0</v>
      </c>
      <c r="K46" s="78">
        <f t="shared" si="6"/>
        <v>115.5</v>
      </c>
      <c r="L46" s="78">
        <f t="shared" si="7"/>
        <v>-2274.8746714935323</v>
      </c>
      <c r="M46" s="194">
        <f t="shared" si="8"/>
        <v>-2274.8746714935323</v>
      </c>
      <c r="N46" s="78">
        <f t="shared" si="9"/>
        <v>4490.3746714935323</v>
      </c>
      <c r="O46" s="165">
        <v>300</v>
      </c>
      <c r="P46" s="166">
        <f t="shared" si="10"/>
        <v>0</v>
      </c>
      <c r="Q46" s="119">
        <f t="shared" si="11"/>
        <v>-1821.655161285106</v>
      </c>
      <c r="R46" s="167">
        <f t="shared" si="12"/>
        <v>-116.69103387068084</v>
      </c>
      <c r="S46" s="165">
        <v>300</v>
      </c>
      <c r="T46" s="166">
        <f t="shared" si="13"/>
        <v>0</v>
      </c>
      <c r="U46" s="33">
        <f t="shared" si="14"/>
        <v>-2038.3461951557872</v>
      </c>
      <c r="V46" s="167">
        <f t="shared" si="15"/>
        <v>-128.60904073356832</v>
      </c>
      <c r="W46" s="165">
        <v>300</v>
      </c>
      <c r="X46" s="166">
        <f t="shared" si="16"/>
        <v>0</v>
      </c>
      <c r="Y46" s="33">
        <f t="shared" si="17"/>
        <v>-2266.9552358893557</v>
      </c>
      <c r="Z46" s="167">
        <f t="shared" si="18"/>
        <v>-141.18253797391455</v>
      </c>
      <c r="AA46" s="165">
        <v>300</v>
      </c>
      <c r="AB46" s="166">
        <f t="shared" si="19"/>
        <v>0</v>
      </c>
      <c r="AC46" s="33">
        <f t="shared" si="20"/>
        <v>-2508.13777386327</v>
      </c>
      <c r="AD46" s="167">
        <f t="shared" si="21"/>
        <v>-154.44757756247986</v>
      </c>
      <c r="AE46" s="165">
        <v>300</v>
      </c>
      <c r="AF46" s="166">
        <f t="shared" si="22"/>
        <v>0</v>
      </c>
      <c r="AG46" s="33">
        <f t="shared" si="23"/>
        <v>-2762.5853514257496</v>
      </c>
      <c r="AH46" s="167">
        <f t="shared" si="24"/>
        <v>-168.44219432841624</v>
      </c>
      <c r="AI46" s="165">
        <v>300</v>
      </c>
      <c r="AJ46" s="166">
        <f t="shared" si="25"/>
        <v>0</v>
      </c>
      <c r="AK46" s="33">
        <f t="shared" si="26"/>
        <v>-3031.0275457541657</v>
      </c>
      <c r="AL46" s="167">
        <f t="shared" si="27"/>
        <v>-183.2065150164791</v>
      </c>
      <c r="AM46" s="165">
        <v>300</v>
      </c>
      <c r="AN46" s="166">
        <f t="shared" si="28"/>
        <v>0</v>
      </c>
      <c r="AO46" s="33">
        <f t="shared" si="29"/>
        <v>-3314.2340607706446</v>
      </c>
      <c r="AP46" s="167">
        <f t="shared" si="30"/>
        <v>-198.78287334238544</v>
      </c>
      <c r="AQ46" s="165">
        <v>0</v>
      </c>
      <c r="AR46" s="166">
        <f t="shared" si="31"/>
        <v>0</v>
      </c>
      <c r="AS46" s="33">
        <f t="shared" si="32"/>
        <v>-3313.0169341130299</v>
      </c>
      <c r="AT46" s="167">
        <f t="shared" si="33"/>
        <v>-231.91118538791213</v>
      </c>
      <c r="AU46" s="165">
        <v>0</v>
      </c>
      <c r="AV46" s="166">
        <f t="shared" si="34"/>
        <v>0</v>
      </c>
      <c r="AW46" s="33">
        <f t="shared" si="35"/>
        <v>-3344.9281195009421</v>
      </c>
      <c r="AX46" s="167">
        <f t="shared" si="36"/>
        <v>-234.14496836506598</v>
      </c>
      <c r="AY46" s="165">
        <v>0</v>
      </c>
      <c r="AZ46" s="166">
        <f t="shared" si="37"/>
        <v>0</v>
      </c>
      <c r="BA46" s="33">
        <f t="shared" si="38"/>
        <v>-3379.0730878660079</v>
      </c>
      <c r="BB46" s="167">
        <f t="shared" si="39"/>
        <v>-236.53511615062058</v>
      </c>
      <c r="BC46" s="165">
        <v>0</v>
      </c>
      <c r="BD46" s="166">
        <f t="shared" si="40"/>
        <v>0</v>
      </c>
      <c r="BE46" s="33">
        <f t="shared" si="41"/>
        <v>-3415.6082040166284</v>
      </c>
      <c r="BF46" s="167">
        <f t="shared" si="42"/>
        <v>-239.09257428116402</v>
      </c>
      <c r="BG46" s="165">
        <v>0</v>
      </c>
      <c r="BH46" s="166">
        <f t="shared" si="43"/>
        <v>0</v>
      </c>
      <c r="BI46" s="33">
        <f t="shared" si="44"/>
        <v>-3454.7007782977926</v>
      </c>
      <c r="BJ46" s="167">
        <f t="shared" si="45"/>
        <v>-241.82905448084551</v>
      </c>
      <c r="BK46" s="87">
        <f t="shared" si="46"/>
        <v>2100</v>
      </c>
      <c r="BL46" s="33">
        <f>'2023-2024'!BL46+'2024-2025'!BK46</f>
        <v>18600</v>
      </c>
    </row>
    <row r="47" spans="1:64">
      <c r="A47" s="10" t="s">
        <v>618</v>
      </c>
      <c r="B47" s="10" t="s">
        <v>116</v>
      </c>
      <c r="C47" s="80">
        <v>0</v>
      </c>
      <c r="D47" s="79">
        <f t="shared" si="0"/>
        <v>2400</v>
      </c>
      <c r="E47" s="78">
        <f>'2023-2024'!I47</f>
        <v>33682.642327448324</v>
      </c>
      <c r="F47" s="187">
        <f t="shared" si="1"/>
        <v>2400</v>
      </c>
      <c r="G47" s="33">
        <f t="shared" si="2"/>
        <v>0</v>
      </c>
      <c r="H47" s="190">
        <f t="shared" si="3"/>
        <v>2400</v>
      </c>
      <c r="I47" s="78">
        <f t="shared" si="4"/>
        <v>72398.590915636887</v>
      </c>
      <c r="J47" s="78">
        <f t="shared" si="5"/>
        <v>0</v>
      </c>
      <c r="K47" s="78">
        <f t="shared" si="6"/>
        <v>0</v>
      </c>
      <c r="L47" s="78">
        <f t="shared" si="7"/>
        <v>36315.948588188563</v>
      </c>
      <c r="M47" s="194">
        <f t="shared" si="8"/>
        <v>36315.948588188563</v>
      </c>
      <c r="N47" s="78">
        <f t="shared" si="9"/>
        <v>-36315.948588188563</v>
      </c>
      <c r="O47" s="165">
        <v>0</v>
      </c>
      <c r="P47" s="166">
        <f t="shared" si="10"/>
        <v>0</v>
      </c>
      <c r="Q47" s="119">
        <f t="shared" si="11"/>
        <v>33882.642327448324</v>
      </c>
      <c r="R47" s="167">
        <f t="shared" si="12"/>
        <v>1863.5453280096579</v>
      </c>
      <c r="S47" s="165">
        <v>0</v>
      </c>
      <c r="T47" s="166">
        <f t="shared" si="13"/>
        <v>0</v>
      </c>
      <c r="U47" s="33">
        <f t="shared" si="14"/>
        <v>35946.187655457979</v>
      </c>
      <c r="V47" s="167">
        <f t="shared" si="15"/>
        <v>1977.0403210501888</v>
      </c>
      <c r="W47" s="165">
        <v>0</v>
      </c>
      <c r="X47" s="166">
        <f t="shared" si="16"/>
        <v>0</v>
      </c>
      <c r="Y47" s="33">
        <f t="shared" si="17"/>
        <v>38123.227976508169</v>
      </c>
      <c r="Z47" s="167">
        <f t="shared" si="18"/>
        <v>2096.7775387079491</v>
      </c>
      <c r="AA47" s="165">
        <v>0</v>
      </c>
      <c r="AB47" s="166">
        <f t="shared" si="19"/>
        <v>0</v>
      </c>
      <c r="AC47" s="33">
        <f t="shared" si="20"/>
        <v>40420.005515216122</v>
      </c>
      <c r="AD47" s="167">
        <f t="shared" si="21"/>
        <v>2223.1003033368866</v>
      </c>
      <c r="AE47" s="165">
        <v>0</v>
      </c>
      <c r="AF47" s="166">
        <f t="shared" si="22"/>
        <v>0</v>
      </c>
      <c r="AG47" s="33">
        <f t="shared" si="23"/>
        <v>42843.105818553006</v>
      </c>
      <c r="AH47" s="167">
        <f t="shared" si="24"/>
        <v>2356.3708200204155</v>
      </c>
      <c r="AI47" s="165">
        <v>0</v>
      </c>
      <c r="AJ47" s="166">
        <f t="shared" si="25"/>
        <v>0</v>
      </c>
      <c r="AK47" s="33">
        <f t="shared" si="26"/>
        <v>45399.476638573418</v>
      </c>
      <c r="AL47" s="167">
        <f t="shared" si="27"/>
        <v>2496.9712151215381</v>
      </c>
      <c r="AM47" s="165">
        <v>0</v>
      </c>
      <c r="AN47" s="166">
        <f t="shared" si="28"/>
        <v>0</v>
      </c>
      <c r="AO47" s="33">
        <f t="shared" si="29"/>
        <v>48096.447853694954</v>
      </c>
      <c r="AP47" s="167">
        <f t="shared" si="30"/>
        <v>2645.3046319532223</v>
      </c>
      <c r="AQ47" s="165">
        <v>0</v>
      </c>
      <c r="AR47" s="166">
        <f t="shared" si="31"/>
        <v>0</v>
      </c>
      <c r="AS47" s="33">
        <f t="shared" si="32"/>
        <v>50941.752485648176</v>
      </c>
      <c r="AT47" s="167">
        <f t="shared" si="33"/>
        <v>3565.9226739953729</v>
      </c>
      <c r="AU47" s="165">
        <v>0</v>
      </c>
      <c r="AV47" s="166">
        <f t="shared" si="34"/>
        <v>0</v>
      </c>
      <c r="AW47" s="33">
        <f t="shared" si="35"/>
        <v>54707.67515964355</v>
      </c>
      <c r="AX47" s="167">
        <f t="shared" si="36"/>
        <v>3829.537261175049</v>
      </c>
      <c r="AY47" s="165">
        <v>0</v>
      </c>
      <c r="AZ47" s="166">
        <f t="shared" si="37"/>
        <v>0</v>
      </c>
      <c r="BA47" s="33">
        <f t="shared" si="38"/>
        <v>58737.2124208186</v>
      </c>
      <c r="BB47" s="167">
        <f t="shared" si="39"/>
        <v>4111.6048694573028</v>
      </c>
      <c r="BC47" s="165">
        <v>0</v>
      </c>
      <c r="BD47" s="166">
        <f t="shared" si="40"/>
        <v>0</v>
      </c>
      <c r="BE47" s="33">
        <f t="shared" si="41"/>
        <v>63048.817290275903</v>
      </c>
      <c r="BF47" s="167">
        <f t="shared" si="42"/>
        <v>4413.4172103193141</v>
      </c>
      <c r="BG47" s="165">
        <v>0</v>
      </c>
      <c r="BH47" s="166">
        <f t="shared" si="43"/>
        <v>0</v>
      </c>
      <c r="BI47" s="33">
        <f t="shared" si="44"/>
        <v>67662.234500595223</v>
      </c>
      <c r="BJ47" s="167">
        <f t="shared" si="45"/>
        <v>4736.356415041666</v>
      </c>
      <c r="BK47" s="87">
        <f t="shared" si="46"/>
        <v>0</v>
      </c>
      <c r="BL47" s="33">
        <f>'2023-2024'!BL47+'2024-2025'!BK47</f>
        <v>2800</v>
      </c>
    </row>
    <row r="48" spans="1:64">
      <c r="A48" s="10" t="s">
        <v>619</v>
      </c>
      <c r="B48" s="10" t="s">
        <v>135</v>
      </c>
      <c r="C48" s="80">
        <v>0</v>
      </c>
      <c r="D48" s="79">
        <f t="shared" si="0"/>
        <v>2400</v>
      </c>
      <c r="E48" s="78">
        <f>'2023-2024'!I48</f>
        <v>-618.65567415842668</v>
      </c>
      <c r="F48" s="187">
        <f t="shared" si="1"/>
        <v>2400</v>
      </c>
      <c r="G48" s="33">
        <f t="shared" si="2"/>
        <v>1000</v>
      </c>
      <c r="H48" s="190">
        <f t="shared" si="3"/>
        <v>1400</v>
      </c>
      <c r="I48" s="78">
        <f t="shared" si="4"/>
        <v>560.38566454867976</v>
      </c>
      <c r="J48" s="78">
        <f t="shared" si="5"/>
        <v>0</v>
      </c>
      <c r="K48" s="78">
        <f t="shared" si="6"/>
        <v>55</v>
      </c>
      <c r="L48" s="78">
        <f t="shared" si="7"/>
        <v>-220.95866129289357</v>
      </c>
      <c r="M48" s="194">
        <f t="shared" si="8"/>
        <v>-220.95866129289357</v>
      </c>
      <c r="N48" s="78">
        <f t="shared" si="9"/>
        <v>1275.9586612928936</v>
      </c>
      <c r="O48" s="165">
        <v>0</v>
      </c>
      <c r="P48" s="166">
        <f t="shared" si="10"/>
        <v>0</v>
      </c>
      <c r="Q48" s="119">
        <f t="shared" si="11"/>
        <v>-418.65567415842668</v>
      </c>
      <c r="R48" s="167">
        <f t="shared" si="12"/>
        <v>-23.026062078713469</v>
      </c>
      <c r="S48" s="165">
        <v>0</v>
      </c>
      <c r="T48" s="166">
        <f t="shared" si="13"/>
        <v>0</v>
      </c>
      <c r="U48" s="33">
        <f t="shared" si="14"/>
        <v>-241.68173623714014</v>
      </c>
      <c r="V48" s="167">
        <f t="shared" si="15"/>
        <v>-13.292495493042708</v>
      </c>
      <c r="W48" s="165">
        <v>500</v>
      </c>
      <c r="X48" s="166">
        <f t="shared" si="16"/>
        <v>0</v>
      </c>
      <c r="Y48" s="33">
        <f t="shared" si="17"/>
        <v>-554.97423173018285</v>
      </c>
      <c r="Z48" s="167">
        <f t="shared" si="18"/>
        <v>-58.023582745160063</v>
      </c>
      <c r="AA48" s="165">
        <v>250</v>
      </c>
      <c r="AB48" s="166">
        <f t="shared" si="19"/>
        <v>0</v>
      </c>
      <c r="AC48" s="33">
        <f t="shared" si="20"/>
        <v>-662.99781447534292</v>
      </c>
      <c r="AD48" s="167">
        <f t="shared" si="21"/>
        <v>-50.214879796143862</v>
      </c>
      <c r="AE48" s="165">
        <v>250</v>
      </c>
      <c r="AF48" s="166">
        <f t="shared" si="22"/>
        <v>0</v>
      </c>
      <c r="AG48" s="33">
        <f t="shared" si="23"/>
        <v>-763.21269427148673</v>
      </c>
      <c r="AH48" s="167">
        <f t="shared" si="24"/>
        <v>-55.72669818493177</v>
      </c>
      <c r="AI48" s="165">
        <v>0</v>
      </c>
      <c r="AJ48" s="166">
        <f t="shared" si="25"/>
        <v>0</v>
      </c>
      <c r="AK48" s="33">
        <f t="shared" si="26"/>
        <v>-618.93939245641855</v>
      </c>
      <c r="AL48" s="167">
        <f t="shared" si="27"/>
        <v>-34.041666585103023</v>
      </c>
      <c r="AM48" s="165">
        <v>0</v>
      </c>
      <c r="AN48" s="166">
        <f t="shared" si="28"/>
        <v>0</v>
      </c>
      <c r="AO48" s="33">
        <f t="shared" si="29"/>
        <v>-452.98105904152158</v>
      </c>
      <c r="AP48" s="167">
        <f t="shared" si="30"/>
        <v>-24.913958247283688</v>
      </c>
      <c r="AQ48" s="165">
        <v>0</v>
      </c>
      <c r="AR48" s="166">
        <f t="shared" si="31"/>
        <v>0</v>
      </c>
      <c r="AS48" s="33">
        <f t="shared" si="32"/>
        <v>-277.89501728880526</v>
      </c>
      <c r="AT48" s="167">
        <f t="shared" si="33"/>
        <v>-19.45265121021637</v>
      </c>
      <c r="AU48" s="165">
        <v>0</v>
      </c>
      <c r="AV48" s="166">
        <f t="shared" si="34"/>
        <v>0</v>
      </c>
      <c r="AW48" s="33">
        <f t="shared" si="35"/>
        <v>-97.347668499021637</v>
      </c>
      <c r="AX48" s="167">
        <f t="shared" si="36"/>
        <v>-6.8143367949315152</v>
      </c>
      <c r="AY48" s="165">
        <v>0</v>
      </c>
      <c r="AZ48" s="166">
        <f t="shared" si="37"/>
        <v>0</v>
      </c>
      <c r="BA48" s="33">
        <f t="shared" si="38"/>
        <v>95.837994706046842</v>
      </c>
      <c r="BB48" s="167">
        <f t="shared" si="39"/>
        <v>6.7086596294232796</v>
      </c>
      <c r="BC48" s="165">
        <v>0</v>
      </c>
      <c r="BD48" s="166">
        <f t="shared" si="40"/>
        <v>0</v>
      </c>
      <c r="BE48" s="33">
        <f t="shared" si="41"/>
        <v>302.54665433547012</v>
      </c>
      <c r="BF48" s="167">
        <f t="shared" si="42"/>
        <v>21.178265803482912</v>
      </c>
      <c r="BG48" s="165">
        <v>0</v>
      </c>
      <c r="BH48" s="166">
        <f t="shared" si="43"/>
        <v>0</v>
      </c>
      <c r="BI48" s="33">
        <f t="shared" si="44"/>
        <v>523.72492013895305</v>
      </c>
      <c r="BJ48" s="167">
        <f t="shared" si="45"/>
        <v>36.660744409726718</v>
      </c>
      <c r="BK48" s="87">
        <f t="shared" si="46"/>
        <v>1000</v>
      </c>
      <c r="BL48" s="33">
        <f>'2023-2024'!BL48+'2024-2025'!BK48</f>
        <v>15810</v>
      </c>
    </row>
    <row r="49" spans="1:64">
      <c r="A49" s="10" t="s">
        <v>620</v>
      </c>
      <c r="B49" s="10" t="s">
        <v>115</v>
      </c>
      <c r="C49" s="80">
        <v>0</v>
      </c>
      <c r="D49" s="79">
        <f t="shared" si="0"/>
        <v>2400</v>
      </c>
      <c r="E49" s="78">
        <f>'2023-2024'!I49</f>
        <v>11485.015134199435</v>
      </c>
      <c r="F49" s="187">
        <f t="shared" si="1"/>
        <v>2400</v>
      </c>
      <c r="G49" s="33">
        <f t="shared" si="2"/>
        <v>0</v>
      </c>
      <c r="H49" s="190">
        <f t="shared" si="3"/>
        <v>2400</v>
      </c>
      <c r="I49" s="78">
        <f t="shared" si="4"/>
        <v>27109.5984585599</v>
      </c>
      <c r="J49" s="78">
        <f t="shared" si="5"/>
        <v>0</v>
      </c>
      <c r="K49" s="78">
        <f t="shared" si="6"/>
        <v>0</v>
      </c>
      <c r="L49" s="78">
        <f t="shared" si="7"/>
        <v>13224.583324360463</v>
      </c>
      <c r="M49" s="194">
        <f t="shared" si="8"/>
        <v>13224.583324360463</v>
      </c>
      <c r="N49" s="78">
        <f t="shared" si="9"/>
        <v>-13224.583324360463</v>
      </c>
      <c r="O49" s="165">
        <v>0</v>
      </c>
      <c r="P49" s="166">
        <f t="shared" si="10"/>
        <v>0</v>
      </c>
      <c r="Q49" s="119">
        <f t="shared" si="11"/>
        <v>11685.015134199435</v>
      </c>
      <c r="R49" s="167">
        <f t="shared" si="12"/>
        <v>642.67583238096893</v>
      </c>
      <c r="S49" s="165">
        <v>0</v>
      </c>
      <c r="T49" s="166">
        <f t="shared" si="13"/>
        <v>0</v>
      </c>
      <c r="U49" s="33">
        <f t="shared" si="14"/>
        <v>12527.690966580403</v>
      </c>
      <c r="V49" s="167">
        <f t="shared" si="15"/>
        <v>689.02300316192213</v>
      </c>
      <c r="W49" s="165">
        <v>0</v>
      </c>
      <c r="X49" s="166">
        <f t="shared" si="16"/>
        <v>0</v>
      </c>
      <c r="Y49" s="33">
        <f t="shared" si="17"/>
        <v>13416.713969742326</v>
      </c>
      <c r="Z49" s="167">
        <f t="shared" si="18"/>
        <v>737.91926833582795</v>
      </c>
      <c r="AA49" s="165">
        <v>0</v>
      </c>
      <c r="AB49" s="166">
        <f t="shared" si="19"/>
        <v>0</v>
      </c>
      <c r="AC49" s="33">
        <f t="shared" si="20"/>
        <v>14354.633238078155</v>
      </c>
      <c r="AD49" s="167">
        <f t="shared" si="21"/>
        <v>789.50482809429855</v>
      </c>
      <c r="AE49" s="165">
        <v>0</v>
      </c>
      <c r="AF49" s="166">
        <f t="shared" si="22"/>
        <v>0</v>
      </c>
      <c r="AG49" s="33">
        <f t="shared" si="23"/>
        <v>15344.138066172454</v>
      </c>
      <c r="AH49" s="167">
        <f t="shared" si="24"/>
        <v>843.92759363948494</v>
      </c>
      <c r="AI49" s="165">
        <v>0</v>
      </c>
      <c r="AJ49" s="166">
        <f t="shared" si="25"/>
        <v>0</v>
      </c>
      <c r="AK49" s="33">
        <f t="shared" si="26"/>
        <v>16388.065659811939</v>
      </c>
      <c r="AL49" s="167">
        <f t="shared" si="27"/>
        <v>901.34361128965668</v>
      </c>
      <c r="AM49" s="165">
        <v>0</v>
      </c>
      <c r="AN49" s="166">
        <f t="shared" si="28"/>
        <v>0</v>
      </c>
      <c r="AO49" s="33">
        <f t="shared" si="29"/>
        <v>17489.409271101595</v>
      </c>
      <c r="AP49" s="167">
        <f t="shared" si="30"/>
        <v>961.91750991058768</v>
      </c>
      <c r="AQ49" s="165">
        <v>0</v>
      </c>
      <c r="AR49" s="166">
        <f t="shared" si="31"/>
        <v>0</v>
      </c>
      <c r="AS49" s="33">
        <f t="shared" si="32"/>
        <v>18651.326781012183</v>
      </c>
      <c r="AT49" s="167">
        <f t="shared" si="33"/>
        <v>1305.592874670853</v>
      </c>
      <c r="AU49" s="165">
        <v>0</v>
      </c>
      <c r="AV49" s="166">
        <f t="shared" si="34"/>
        <v>0</v>
      </c>
      <c r="AW49" s="33">
        <f t="shared" si="35"/>
        <v>20156.919655683036</v>
      </c>
      <c r="AX49" s="167">
        <f t="shared" si="36"/>
        <v>1410.9843758978127</v>
      </c>
      <c r="AY49" s="165">
        <v>0</v>
      </c>
      <c r="AZ49" s="166">
        <f t="shared" si="37"/>
        <v>0</v>
      </c>
      <c r="BA49" s="33">
        <f t="shared" si="38"/>
        <v>21767.904031580849</v>
      </c>
      <c r="BB49" s="167">
        <f t="shared" si="39"/>
        <v>1523.7532822106596</v>
      </c>
      <c r="BC49" s="165">
        <v>0</v>
      </c>
      <c r="BD49" s="166">
        <f t="shared" si="40"/>
        <v>0</v>
      </c>
      <c r="BE49" s="33">
        <f t="shared" si="41"/>
        <v>23491.657313791507</v>
      </c>
      <c r="BF49" s="167">
        <f t="shared" si="42"/>
        <v>1644.4160119654057</v>
      </c>
      <c r="BG49" s="165">
        <v>0</v>
      </c>
      <c r="BH49" s="166">
        <f t="shared" si="43"/>
        <v>0</v>
      </c>
      <c r="BI49" s="33">
        <f t="shared" si="44"/>
        <v>25336.073325756912</v>
      </c>
      <c r="BJ49" s="167">
        <f t="shared" si="45"/>
        <v>1773.525132802984</v>
      </c>
      <c r="BK49" s="87">
        <f t="shared" si="46"/>
        <v>0</v>
      </c>
      <c r="BL49" s="33">
        <f>'2023-2024'!BL49+'2024-2025'!BK49</f>
        <v>10410</v>
      </c>
    </row>
    <row r="50" spans="1:64">
      <c r="A50" s="10" t="s">
        <v>621</v>
      </c>
      <c r="B50" s="10" t="s">
        <v>126</v>
      </c>
      <c r="C50" s="80">
        <v>0</v>
      </c>
      <c r="D50" s="79">
        <f t="shared" si="0"/>
        <v>2400</v>
      </c>
      <c r="E50" s="78">
        <f>'2023-2024'!I50</f>
        <v>42815.809729181172</v>
      </c>
      <c r="F50" s="187">
        <f t="shared" si="1"/>
        <v>2400</v>
      </c>
      <c r="G50" s="33">
        <f t="shared" si="2"/>
        <v>0</v>
      </c>
      <c r="H50" s="190">
        <f t="shared" si="3"/>
        <v>2400</v>
      </c>
      <c r="I50" s="78">
        <f t="shared" si="4"/>
        <v>91032.652383796914</v>
      </c>
      <c r="J50" s="78">
        <f t="shared" si="5"/>
        <v>0</v>
      </c>
      <c r="K50" s="78">
        <f t="shared" si="6"/>
        <v>0</v>
      </c>
      <c r="L50" s="78">
        <f t="shared" si="7"/>
        <v>45816.842654615743</v>
      </c>
      <c r="M50" s="194">
        <f t="shared" si="8"/>
        <v>45816.842654615743</v>
      </c>
      <c r="N50" s="78">
        <f t="shared" si="9"/>
        <v>-45816.842654615743</v>
      </c>
      <c r="O50" s="165">
        <v>0</v>
      </c>
      <c r="P50" s="166">
        <f t="shared" si="10"/>
        <v>0</v>
      </c>
      <c r="Q50" s="119">
        <f t="shared" si="11"/>
        <v>43015.809729181172</v>
      </c>
      <c r="R50" s="167">
        <f t="shared" si="12"/>
        <v>2365.8695351049646</v>
      </c>
      <c r="S50" s="165">
        <v>0</v>
      </c>
      <c r="T50" s="166">
        <f t="shared" si="13"/>
        <v>0</v>
      </c>
      <c r="U50" s="33">
        <f t="shared" si="14"/>
        <v>45581.67926428614</v>
      </c>
      <c r="V50" s="167">
        <f t="shared" si="15"/>
        <v>2506.9923595357377</v>
      </c>
      <c r="W50" s="165">
        <v>0</v>
      </c>
      <c r="X50" s="166">
        <f t="shared" si="16"/>
        <v>0</v>
      </c>
      <c r="Y50" s="33">
        <f t="shared" si="17"/>
        <v>48288.67162382188</v>
      </c>
      <c r="Z50" s="167">
        <f t="shared" si="18"/>
        <v>2655.8769393102034</v>
      </c>
      <c r="AA50" s="165">
        <v>0</v>
      </c>
      <c r="AB50" s="166">
        <f t="shared" si="19"/>
        <v>0</v>
      </c>
      <c r="AC50" s="33">
        <f t="shared" si="20"/>
        <v>51144.548563132084</v>
      </c>
      <c r="AD50" s="167">
        <f t="shared" si="21"/>
        <v>2812.9501709722645</v>
      </c>
      <c r="AE50" s="165">
        <v>0</v>
      </c>
      <c r="AF50" s="166">
        <f t="shared" si="22"/>
        <v>0</v>
      </c>
      <c r="AG50" s="33">
        <f t="shared" si="23"/>
        <v>54157.498734104345</v>
      </c>
      <c r="AH50" s="167">
        <f t="shared" si="24"/>
        <v>2978.6624303757389</v>
      </c>
      <c r="AI50" s="165">
        <v>0</v>
      </c>
      <c r="AJ50" s="166">
        <f t="shared" si="25"/>
        <v>0</v>
      </c>
      <c r="AK50" s="33">
        <f t="shared" si="26"/>
        <v>57336.161164480087</v>
      </c>
      <c r="AL50" s="167">
        <f t="shared" si="27"/>
        <v>3153.4888640464046</v>
      </c>
      <c r="AM50" s="165">
        <v>0</v>
      </c>
      <c r="AN50" s="166">
        <f t="shared" si="28"/>
        <v>0</v>
      </c>
      <c r="AO50" s="33">
        <f t="shared" si="29"/>
        <v>60689.650028526492</v>
      </c>
      <c r="AP50" s="167">
        <f t="shared" si="30"/>
        <v>3337.930751568957</v>
      </c>
      <c r="AQ50" s="165">
        <v>0</v>
      </c>
      <c r="AR50" s="166">
        <f t="shared" si="31"/>
        <v>0</v>
      </c>
      <c r="AS50" s="33">
        <f t="shared" si="32"/>
        <v>64227.58078009545</v>
      </c>
      <c r="AT50" s="167">
        <f t="shared" si="33"/>
        <v>4495.9306546066819</v>
      </c>
      <c r="AU50" s="165">
        <v>0</v>
      </c>
      <c r="AV50" s="166">
        <f t="shared" si="34"/>
        <v>0</v>
      </c>
      <c r="AW50" s="33">
        <f t="shared" si="35"/>
        <v>68923.51143470213</v>
      </c>
      <c r="AX50" s="167">
        <f t="shared" si="36"/>
        <v>4824.6458004291499</v>
      </c>
      <c r="AY50" s="165">
        <v>0</v>
      </c>
      <c r="AZ50" s="166">
        <f t="shared" si="37"/>
        <v>0</v>
      </c>
      <c r="BA50" s="33">
        <f t="shared" si="38"/>
        <v>73948.157235131279</v>
      </c>
      <c r="BB50" s="167">
        <f t="shared" si="39"/>
        <v>5176.3710064591896</v>
      </c>
      <c r="BC50" s="165">
        <v>0</v>
      </c>
      <c r="BD50" s="166">
        <f t="shared" si="40"/>
        <v>0</v>
      </c>
      <c r="BE50" s="33">
        <f t="shared" si="41"/>
        <v>79324.528241590466</v>
      </c>
      <c r="BF50" s="167">
        <f t="shared" si="42"/>
        <v>5552.7169769113334</v>
      </c>
      <c r="BG50" s="165">
        <v>0</v>
      </c>
      <c r="BH50" s="166">
        <f t="shared" si="43"/>
        <v>0</v>
      </c>
      <c r="BI50" s="33">
        <f t="shared" si="44"/>
        <v>85077.245218501805</v>
      </c>
      <c r="BJ50" s="167">
        <f t="shared" si="45"/>
        <v>5955.407165295127</v>
      </c>
      <c r="BK50" s="87">
        <f t="shared" si="46"/>
        <v>0</v>
      </c>
      <c r="BL50" s="33">
        <f>'2023-2024'!BL50+'2024-2025'!BK50</f>
        <v>500</v>
      </c>
    </row>
    <row r="51" spans="1:64">
      <c r="A51" s="10" t="s">
        <v>622</v>
      </c>
      <c r="B51" s="10" t="s">
        <v>117</v>
      </c>
      <c r="C51" s="80">
        <v>0</v>
      </c>
      <c r="D51" s="79">
        <f t="shared" si="0"/>
        <v>2400</v>
      </c>
      <c r="E51" s="78">
        <f>'2023-2024'!I51</f>
        <v>40734.473633530506</v>
      </c>
      <c r="F51" s="187">
        <f t="shared" si="1"/>
        <v>2400</v>
      </c>
      <c r="G51" s="33">
        <f t="shared" si="2"/>
        <v>0</v>
      </c>
      <c r="H51" s="190">
        <f t="shared" si="3"/>
        <v>2400</v>
      </c>
      <c r="I51" s="78">
        <f t="shared" si="4"/>
        <v>86786.179825449173</v>
      </c>
      <c r="J51" s="78">
        <f t="shared" si="5"/>
        <v>0</v>
      </c>
      <c r="K51" s="78">
        <f t="shared" si="6"/>
        <v>0</v>
      </c>
      <c r="L51" s="78">
        <f t="shared" si="7"/>
        <v>43651.706191918667</v>
      </c>
      <c r="M51" s="194">
        <f t="shared" si="8"/>
        <v>43651.706191918667</v>
      </c>
      <c r="N51" s="78">
        <f t="shared" si="9"/>
        <v>-43651.706191918667</v>
      </c>
      <c r="O51" s="165">
        <v>0</v>
      </c>
      <c r="P51" s="166">
        <f t="shared" si="10"/>
        <v>0</v>
      </c>
      <c r="Q51" s="119">
        <f t="shared" si="11"/>
        <v>40934.473633530506</v>
      </c>
      <c r="R51" s="167">
        <f t="shared" si="12"/>
        <v>2251.3960498441779</v>
      </c>
      <c r="S51" s="165">
        <v>0</v>
      </c>
      <c r="T51" s="166">
        <f t="shared" si="13"/>
        <v>0</v>
      </c>
      <c r="U51" s="33">
        <f t="shared" si="14"/>
        <v>43385.869683374687</v>
      </c>
      <c r="V51" s="167">
        <f t="shared" si="15"/>
        <v>2386.2228325856076</v>
      </c>
      <c r="W51" s="165">
        <v>0</v>
      </c>
      <c r="X51" s="166">
        <f t="shared" si="16"/>
        <v>0</v>
      </c>
      <c r="Y51" s="33">
        <f t="shared" si="17"/>
        <v>45972.092515960292</v>
      </c>
      <c r="Z51" s="167">
        <f t="shared" si="18"/>
        <v>2528.4650883778163</v>
      </c>
      <c r="AA51" s="165">
        <v>0</v>
      </c>
      <c r="AB51" s="166">
        <f t="shared" si="19"/>
        <v>0</v>
      </c>
      <c r="AC51" s="33">
        <f t="shared" si="20"/>
        <v>48700.557604338108</v>
      </c>
      <c r="AD51" s="167">
        <f t="shared" si="21"/>
        <v>2678.5306682385958</v>
      </c>
      <c r="AE51" s="165">
        <v>0</v>
      </c>
      <c r="AF51" s="166">
        <f t="shared" si="22"/>
        <v>0</v>
      </c>
      <c r="AG51" s="33">
        <f t="shared" si="23"/>
        <v>51579.088272576701</v>
      </c>
      <c r="AH51" s="167">
        <f t="shared" si="24"/>
        <v>2836.8498549917185</v>
      </c>
      <c r="AI51" s="165">
        <v>0</v>
      </c>
      <c r="AJ51" s="166">
        <f t="shared" si="25"/>
        <v>0</v>
      </c>
      <c r="AK51" s="33">
        <f t="shared" si="26"/>
        <v>54615.938127568421</v>
      </c>
      <c r="AL51" s="167">
        <f t="shared" si="27"/>
        <v>3003.8765970162631</v>
      </c>
      <c r="AM51" s="165">
        <v>0</v>
      </c>
      <c r="AN51" s="166">
        <f t="shared" si="28"/>
        <v>0</v>
      </c>
      <c r="AO51" s="33">
        <f t="shared" si="29"/>
        <v>57819.814724584685</v>
      </c>
      <c r="AP51" s="167">
        <f t="shared" si="30"/>
        <v>3180.0898098521575</v>
      </c>
      <c r="AQ51" s="165">
        <v>0</v>
      </c>
      <c r="AR51" s="166">
        <f t="shared" si="31"/>
        <v>0</v>
      </c>
      <c r="AS51" s="33">
        <f t="shared" si="32"/>
        <v>61199.904534436842</v>
      </c>
      <c r="AT51" s="167">
        <f t="shared" si="33"/>
        <v>4283.993317410579</v>
      </c>
      <c r="AU51" s="165">
        <v>0</v>
      </c>
      <c r="AV51" s="166">
        <f t="shared" si="34"/>
        <v>0</v>
      </c>
      <c r="AW51" s="33">
        <f t="shared" si="35"/>
        <v>65683.897851847418</v>
      </c>
      <c r="AX51" s="167">
        <f t="shared" si="36"/>
        <v>4597.8728496293197</v>
      </c>
      <c r="AY51" s="165">
        <v>0</v>
      </c>
      <c r="AZ51" s="166">
        <f t="shared" si="37"/>
        <v>0</v>
      </c>
      <c r="BA51" s="33">
        <f t="shared" si="38"/>
        <v>70481.770701476737</v>
      </c>
      <c r="BB51" s="167">
        <f t="shared" si="39"/>
        <v>4933.7239491033724</v>
      </c>
      <c r="BC51" s="165">
        <v>0</v>
      </c>
      <c r="BD51" s="166">
        <f t="shared" si="40"/>
        <v>0</v>
      </c>
      <c r="BE51" s="33">
        <f t="shared" si="41"/>
        <v>75615.494650580105</v>
      </c>
      <c r="BF51" s="167">
        <f t="shared" si="42"/>
        <v>5293.0846255406077</v>
      </c>
      <c r="BG51" s="165">
        <v>0</v>
      </c>
      <c r="BH51" s="166">
        <f t="shared" si="43"/>
        <v>0</v>
      </c>
      <c r="BI51" s="33">
        <f t="shared" si="44"/>
        <v>81108.579276120712</v>
      </c>
      <c r="BJ51" s="167">
        <f t="shared" si="45"/>
        <v>5677.6005493284501</v>
      </c>
      <c r="BK51" s="87">
        <f t="shared" si="46"/>
        <v>0</v>
      </c>
      <c r="BL51" s="33">
        <f>'2023-2024'!BL51+'2024-2025'!BK51</f>
        <v>900</v>
      </c>
    </row>
    <row r="52" spans="1:64">
      <c r="A52" s="10" t="s">
        <v>623</v>
      </c>
      <c r="B52" s="10" t="s">
        <v>112</v>
      </c>
      <c r="C52" s="80">
        <v>0</v>
      </c>
      <c r="D52" s="79">
        <f t="shared" si="0"/>
        <v>2400</v>
      </c>
      <c r="E52" s="78">
        <f>'2023-2024'!I52</f>
        <v>43856.477777006519</v>
      </c>
      <c r="F52" s="187">
        <f t="shared" si="1"/>
        <v>2400</v>
      </c>
      <c r="G52" s="33">
        <f t="shared" si="2"/>
        <v>0</v>
      </c>
      <c r="H52" s="190">
        <f t="shared" si="3"/>
        <v>2400</v>
      </c>
      <c r="I52" s="78">
        <f t="shared" si="4"/>
        <v>93155.888662970829</v>
      </c>
      <c r="J52" s="78">
        <f t="shared" si="5"/>
        <v>0</v>
      </c>
      <c r="K52" s="78">
        <f t="shared" si="6"/>
        <v>0</v>
      </c>
      <c r="L52" s="78">
        <f t="shared" si="7"/>
        <v>46899.410885964317</v>
      </c>
      <c r="M52" s="194">
        <f t="shared" si="8"/>
        <v>46899.410885964317</v>
      </c>
      <c r="N52" s="78">
        <f t="shared" si="9"/>
        <v>-46899.410885964317</v>
      </c>
      <c r="O52" s="165">
        <v>0</v>
      </c>
      <c r="P52" s="166">
        <f t="shared" si="10"/>
        <v>0</v>
      </c>
      <c r="Q52" s="119">
        <f t="shared" si="11"/>
        <v>44056.477777006519</v>
      </c>
      <c r="R52" s="167">
        <f t="shared" si="12"/>
        <v>2423.1062777353586</v>
      </c>
      <c r="S52" s="165">
        <v>0</v>
      </c>
      <c r="T52" s="166">
        <f t="shared" si="13"/>
        <v>0</v>
      </c>
      <c r="U52" s="33">
        <f t="shared" si="14"/>
        <v>46679.584054741877</v>
      </c>
      <c r="V52" s="167">
        <f t="shared" si="15"/>
        <v>2567.3771230108032</v>
      </c>
      <c r="W52" s="165">
        <v>0</v>
      </c>
      <c r="X52" s="166">
        <f t="shared" si="16"/>
        <v>0</v>
      </c>
      <c r="Y52" s="33">
        <f t="shared" si="17"/>
        <v>49446.961177752681</v>
      </c>
      <c r="Z52" s="167">
        <f t="shared" si="18"/>
        <v>2719.5828647763974</v>
      </c>
      <c r="AA52" s="165">
        <v>0</v>
      </c>
      <c r="AB52" s="166">
        <f t="shared" si="19"/>
        <v>0</v>
      </c>
      <c r="AC52" s="33">
        <f t="shared" si="20"/>
        <v>52366.54404252908</v>
      </c>
      <c r="AD52" s="167">
        <f t="shared" si="21"/>
        <v>2880.1599223390995</v>
      </c>
      <c r="AE52" s="165">
        <v>0</v>
      </c>
      <c r="AF52" s="166">
        <f t="shared" si="22"/>
        <v>0</v>
      </c>
      <c r="AG52" s="33">
        <f t="shared" si="23"/>
        <v>55446.703964868182</v>
      </c>
      <c r="AH52" s="167">
        <f t="shared" si="24"/>
        <v>3049.5687180677501</v>
      </c>
      <c r="AI52" s="165">
        <v>0</v>
      </c>
      <c r="AJ52" s="166">
        <f t="shared" si="25"/>
        <v>0</v>
      </c>
      <c r="AK52" s="33">
        <f t="shared" si="26"/>
        <v>58696.272682935931</v>
      </c>
      <c r="AL52" s="167">
        <f t="shared" si="27"/>
        <v>3228.2949975614761</v>
      </c>
      <c r="AM52" s="165">
        <v>0</v>
      </c>
      <c r="AN52" s="166">
        <f t="shared" si="28"/>
        <v>0</v>
      </c>
      <c r="AO52" s="33">
        <f t="shared" si="29"/>
        <v>62124.567680497406</v>
      </c>
      <c r="AP52" s="167">
        <f t="shared" si="30"/>
        <v>3416.8512224273572</v>
      </c>
      <c r="AQ52" s="165">
        <v>0</v>
      </c>
      <c r="AR52" s="166">
        <f t="shared" si="31"/>
        <v>0</v>
      </c>
      <c r="AS52" s="33">
        <f t="shared" si="32"/>
        <v>65741.418902924765</v>
      </c>
      <c r="AT52" s="167">
        <f t="shared" si="33"/>
        <v>4601.8993232047342</v>
      </c>
      <c r="AU52" s="165">
        <v>0</v>
      </c>
      <c r="AV52" s="166">
        <f t="shared" si="34"/>
        <v>0</v>
      </c>
      <c r="AW52" s="33">
        <f t="shared" si="35"/>
        <v>70543.318226129501</v>
      </c>
      <c r="AX52" s="167">
        <f t="shared" si="36"/>
        <v>4938.0322758290658</v>
      </c>
      <c r="AY52" s="165">
        <v>0</v>
      </c>
      <c r="AZ52" s="166">
        <f t="shared" si="37"/>
        <v>0</v>
      </c>
      <c r="BA52" s="33">
        <f t="shared" si="38"/>
        <v>75681.350501958572</v>
      </c>
      <c r="BB52" s="167">
        <f t="shared" si="39"/>
        <v>5297.6945351371005</v>
      </c>
      <c r="BC52" s="165">
        <v>0</v>
      </c>
      <c r="BD52" s="166">
        <f t="shared" si="40"/>
        <v>0</v>
      </c>
      <c r="BE52" s="33">
        <f t="shared" si="41"/>
        <v>81179.045037095668</v>
      </c>
      <c r="BF52" s="167">
        <f t="shared" si="42"/>
        <v>5682.5331525966976</v>
      </c>
      <c r="BG52" s="165">
        <v>0</v>
      </c>
      <c r="BH52" s="166">
        <f t="shared" si="43"/>
        <v>0</v>
      </c>
      <c r="BI52" s="33">
        <f t="shared" si="44"/>
        <v>87061.578189692373</v>
      </c>
      <c r="BJ52" s="167">
        <f t="shared" si="45"/>
        <v>6094.3104732784668</v>
      </c>
      <c r="BK52" s="87">
        <f t="shared" si="46"/>
        <v>0</v>
      </c>
      <c r="BL52" s="33">
        <f>'2023-2024'!BL52+'2024-2025'!BK52</f>
        <v>150</v>
      </c>
    </row>
    <row r="53" spans="1:64">
      <c r="A53" s="10" t="s">
        <v>624</v>
      </c>
      <c r="B53" s="10" t="s">
        <v>117</v>
      </c>
      <c r="C53" s="80">
        <v>0</v>
      </c>
      <c r="D53" s="79">
        <f t="shared" si="0"/>
        <v>2400</v>
      </c>
      <c r="E53" s="78">
        <f>'2023-2024'!I53</f>
        <v>20337.379896153841</v>
      </c>
      <c r="F53" s="187">
        <f t="shared" si="1"/>
        <v>2400</v>
      </c>
      <c r="G53" s="33">
        <f t="shared" si="2"/>
        <v>0</v>
      </c>
      <c r="H53" s="190">
        <f t="shared" si="3"/>
        <v>2400</v>
      </c>
      <c r="I53" s="78">
        <f t="shared" si="4"/>
        <v>45170.74875364099</v>
      </c>
      <c r="J53" s="78">
        <f t="shared" si="5"/>
        <v>0</v>
      </c>
      <c r="K53" s="78">
        <f t="shared" si="6"/>
        <v>0</v>
      </c>
      <c r="L53" s="78">
        <f t="shared" si="7"/>
        <v>22433.368857487145</v>
      </c>
      <c r="M53" s="194">
        <f t="shared" si="8"/>
        <v>22433.368857487145</v>
      </c>
      <c r="N53" s="78">
        <f t="shared" si="9"/>
        <v>-22433.368857487145</v>
      </c>
      <c r="O53" s="165">
        <v>0</v>
      </c>
      <c r="P53" s="166">
        <f t="shared" si="10"/>
        <v>0</v>
      </c>
      <c r="Q53" s="119">
        <f t="shared" si="11"/>
        <v>20537.379896153841</v>
      </c>
      <c r="R53" s="167">
        <f t="shared" si="12"/>
        <v>1129.5558942884613</v>
      </c>
      <c r="S53" s="165">
        <v>0</v>
      </c>
      <c r="T53" s="166">
        <f t="shared" si="13"/>
        <v>0</v>
      </c>
      <c r="U53" s="33">
        <f t="shared" si="14"/>
        <v>21866.935790442301</v>
      </c>
      <c r="V53" s="167">
        <f t="shared" si="15"/>
        <v>1202.6814684743265</v>
      </c>
      <c r="W53" s="165">
        <v>0</v>
      </c>
      <c r="X53" s="166">
        <f t="shared" si="16"/>
        <v>0</v>
      </c>
      <c r="Y53" s="33">
        <f t="shared" si="17"/>
        <v>23269.617258916627</v>
      </c>
      <c r="Z53" s="167">
        <f t="shared" si="18"/>
        <v>1279.8289492404144</v>
      </c>
      <c r="AA53" s="165">
        <v>0</v>
      </c>
      <c r="AB53" s="166">
        <f t="shared" si="19"/>
        <v>0</v>
      </c>
      <c r="AC53" s="33">
        <f t="shared" si="20"/>
        <v>24749.446208157042</v>
      </c>
      <c r="AD53" s="167">
        <f t="shared" si="21"/>
        <v>1361.2195414486373</v>
      </c>
      <c r="AE53" s="165">
        <v>0</v>
      </c>
      <c r="AF53" s="166">
        <f t="shared" si="22"/>
        <v>0</v>
      </c>
      <c r="AG53" s="33">
        <f t="shared" si="23"/>
        <v>26310.66574960568</v>
      </c>
      <c r="AH53" s="167">
        <f t="shared" si="24"/>
        <v>1447.0866162283123</v>
      </c>
      <c r="AI53" s="165">
        <v>0</v>
      </c>
      <c r="AJ53" s="166">
        <f t="shared" si="25"/>
        <v>0</v>
      </c>
      <c r="AK53" s="33">
        <f t="shared" si="26"/>
        <v>27957.752365833992</v>
      </c>
      <c r="AL53" s="167">
        <f t="shared" si="27"/>
        <v>1537.6763801208697</v>
      </c>
      <c r="AM53" s="165">
        <v>0</v>
      </c>
      <c r="AN53" s="166">
        <f t="shared" si="28"/>
        <v>0</v>
      </c>
      <c r="AO53" s="33">
        <f t="shared" si="29"/>
        <v>29695.428745954861</v>
      </c>
      <c r="AP53" s="167">
        <f t="shared" si="30"/>
        <v>1633.2485810275173</v>
      </c>
      <c r="AQ53" s="165">
        <v>0</v>
      </c>
      <c r="AR53" s="166">
        <f t="shared" si="31"/>
        <v>0</v>
      </c>
      <c r="AS53" s="33">
        <f t="shared" si="32"/>
        <v>31528.677326982379</v>
      </c>
      <c r="AT53" s="167">
        <f t="shared" si="33"/>
        <v>2207.0074128887668</v>
      </c>
      <c r="AU53" s="165">
        <v>0</v>
      </c>
      <c r="AV53" s="166">
        <f t="shared" si="34"/>
        <v>0</v>
      </c>
      <c r="AW53" s="33">
        <f t="shared" si="35"/>
        <v>33935.684739871147</v>
      </c>
      <c r="AX53" s="167">
        <f t="shared" si="36"/>
        <v>2375.4979317909806</v>
      </c>
      <c r="AY53" s="165">
        <v>0</v>
      </c>
      <c r="AZ53" s="166">
        <f t="shared" si="37"/>
        <v>0</v>
      </c>
      <c r="BA53" s="33">
        <f t="shared" si="38"/>
        <v>36511.182671662129</v>
      </c>
      <c r="BB53" s="167">
        <f t="shared" si="39"/>
        <v>2555.7827870163492</v>
      </c>
      <c r="BC53" s="165">
        <v>0</v>
      </c>
      <c r="BD53" s="166">
        <f t="shared" si="40"/>
        <v>0</v>
      </c>
      <c r="BE53" s="33">
        <f t="shared" si="41"/>
        <v>39266.965458678475</v>
      </c>
      <c r="BF53" s="167">
        <f t="shared" si="42"/>
        <v>2748.6875821074937</v>
      </c>
      <c r="BG53" s="165">
        <v>0</v>
      </c>
      <c r="BH53" s="166">
        <f t="shared" si="43"/>
        <v>0</v>
      </c>
      <c r="BI53" s="33">
        <f t="shared" si="44"/>
        <v>42215.653040785968</v>
      </c>
      <c r="BJ53" s="167">
        <f t="shared" si="45"/>
        <v>2955.0957128550181</v>
      </c>
      <c r="BK53" s="87">
        <f t="shared" si="46"/>
        <v>0</v>
      </c>
      <c r="BL53" s="33">
        <f>'2023-2024'!BL53+'2024-2025'!BK53</f>
        <v>5800</v>
      </c>
    </row>
    <row r="54" spans="1:64">
      <c r="A54" s="10" t="s">
        <v>625</v>
      </c>
      <c r="B54" s="10" t="s">
        <v>116</v>
      </c>
      <c r="C54" s="80">
        <v>0</v>
      </c>
      <c r="D54" s="79">
        <f t="shared" si="0"/>
        <v>2400</v>
      </c>
      <c r="E54" s="78">
        <f>'2023-2024'!I54</f>
        <v>7974.2434879888051</v>
      </c>
      <c r="F54" s="187">
        <f t="shared" si="1"/>
        <v>2400</v>
      </c>
      <c r="G54" s="33">
        <f t="shared" si="2"/>
        <v>0</v>
      </c>
      <c r="H54" s="190">
        <f t="shared" si="3"/>
        <v>2400</v>
      </c>
      <c r="I54" s="78">
        <f t="shared" si="4"/>
        <v>19946.701757055223</v>
      </c>
      <c r="J54" s="78">
        <f t="shared" si="5"/>
        <v>0</v>
      </c>
      <c r="K54" s="78">
        <f t="shared" si="6"/>
        <v>0</v>
      </c>
      <c r="L54" s="78">
        <f t="shared" si="7"/>
        <v>9572.4582690664174</v>
      </c>
      <c r="M54" s="194">
        <f t="shared" si="8"/>
        <v>9572.4582690664174</v>
      </c>
      <c r="N54" s="78">
        <f t="shared" si="9"/>
        <v>-9572.4582690664174</v>
      </c>
      <c r="O54" s="165">
        <v>0</v>
      </c>
      <c r="P54" s="166">
        <f t="shared" si="10"/>
        <v>0</v>
      </c>
      <c r="Q54" s="119">
        <f t="shared" si="11"/>
        <v>8174.2434879888051</v>
      </c>
      <c r="R54" s="167">
        <f t="shared" si="12"/>
        <v>449.58339183938426</v>
      </c>
      <c r="S54" s="165">
        <v>0</v>
      </c>
      <c r="T54" s="166">
        <f t="shared" si="13"/>
        <v>0</v>
      </c>
      <c r="U54" s="33">
        <f t="shared" si="14"/>
        <v>8823.8268798281897</v>
      </c>
      <c r="V54" s="167">
        <f t="shared" si="15"/>
        <v>485.31047839055043</v>
      </c>
      <c r="W54" s="165">
        <v>0</v>
      </c>
      <c r="X54" s="166">
        <f t="shared" si="16"/>
        <v>0</v>
      </c>
      <c r="Y54" s="33">
        <f t="shared" si="17"/>
        <v>9509.1373582187407</v>
      </c>
      <c r="Z54" s="167">
        <f t="shared" si="18"/>
        <v>523.00255470203069</v>
      </c>
      <c r="AA54" s="165">
        <v>0</v>
      </c>
      <c r="AB54" s="166">
        <f t="shared" si="19"/>
        <v>0</v>
      </c>
      <c r="AC54" s="33">
        <f t="shared" si="20"/>
        <v>10232.139912920771</v>
      </c>
      <c r="AD54" s="167">
        <f t="shared" si="21"/>
        <v>562.76769521064239</v>
      </c>
      <c r="AE54" s="165">
        <v>0</v>
      </c>
      <c r="AF54" s="166">
        <f t="shared" si="22"/>
        <v>0</v>
      </c>
      <c r="AG54" s="33">
        <f t="shared" si="23"/>
        <v>10994.907608131414</v>
      </c>
      <c r="AH54" s="167">
        <f t="shared" si="24"/>
        <v>604.71991844722777</v>
      </c>
      <c r="AI54" s="165">
        <v>0</v>
      </c>
      <c r="AJ54" s="166">
        <f t="shared" si="25"/>
        <v>0</v>
      </c>
      <c r="AK54" s="33">
        <f t="shared" si="26"/>
        <v>11799.627526578643</v>
      </c>
      <c r="AL54" s="167">
        <f t="shared" si="27"/>
        <v>648.97951396182532</v>
      </c>
      <c r="AM54" s="165">
        <v>0</v>
      </c>
      <c r="AN54" s="166">
        <f t="shared" si="28"/>
        <v>0</v>
      </c>
      <c r="AO54" s="33">
        <f t="shared" si="29"/>
        <v>12648.607040540468</v>
      </c>
      <c r="AP54" s="167">
        <f t="shared" si="30"/>
        <v>695.67338722972579</v>
      </c>
      <c r="AQ54" s="165">
        <v>0</v>
      </c>
      <c r="AR54" s="166">
        <f t="shared" si="31"/>
        <v>0</v>
      </c>
      <c r="AS54" s="33">
        <f t="shared" si="32"/>
        <v>13544.280427770194</v>
      </c>
      <c r="AT54" s="167">
        <f t="shared" si="33"/>
        <v>948.09962994391367</v>
      </c>
      <c r="AU54" s="165">
        <v>0</v>
      </c>
      <c r="AV54" s="166">
        <f t="shared" si="34"/>
        <v>0</v>
      </c>
      <c r="AW54" s="33">
        <f t="shared" si="35"/>
        <v>14692.380057714108</v>
      </c>
      <c r="AX54" s="167">
        <f t="shared" si="36"/>
        <v>1028.4666040399877</v>
      </c>
      <c r="AY54" s="165">
        <v>0</v>
      </c>
      <c r="AZ54" s="166">
        <f t="shared" si="37"/>
        <v>0</v>
      </c>
      <c r="BA54" s="33">
        <f t="shared" si="38"/>
        <v>15920.846661754096</v>
      </c>
      <c r="BB54" s="167">
        <f t="shared" si="39"/>
        <v>1114.4592663227868</v>
      </c>
      <c r="BC54" s="165">
        <v>0</v>
      </c>
      <c r="BD54" s="166">
        <f t="shared" si="40"/>
        <v>0</v>
      </c>
      <c r="BE54" s="33">
        <f t="shared" si="41"/>
        <v>17235.305928076883</v>
      </c>
      <c r="BF54" s="167">
        <f t="shared" si="42"/>
        <v>1206.4714149653819</v>
      </c>
      <c r="BG54" s="165">
        <v>0</v>
      </c>
      <c r="BH54" s="166">
        <f t="shared" si="43"/>
        <v>0</v>
      </c>
      <c r="BI54" s="33">
        <f t="shared" si="44"/>
        <v>18641.777343042264</v>
      </c>
      <c r="BJ54" s="167">
        <f t="shared" si="45"/>
        <v>1304.9244140129586</v>
      </c>
      <c r="BK54" s="87">
        <f t="shared" si="46"/>
        <v>0</v>
      </c>
      <c r="BL54" s="33">
        <f>'2023-2024'!BL54+'2024-2025'!BK54</f>
        <v>8970</v>
      </c>
    </row>
    <row r="55" spans="1:64">
      <c r="A55" s="10" t="s">
        <v>626</v>
      </c>
      <c r="B55" s="10" t="s">
        <v>124</v>
      </c>
      <c r="C55" s="80">
        <v>0</v>
      </c>
      <c r="D55" s="79">
        <f t="shared" si="0"/>
        <v>2400</v>
      </c>
      <c r="E55" s="78">
        <f>'2023-2024'!I55</f>
        <v>9786.2593535940869</v>
      </c>
      <c r="F55" s="187">
        <f t="shared" si="1"/>
        <v>2400</v>
      </c>
      <c r="G55" s="33">
        <f t="shared" si="2"/>
        <v>2000</v>
      </c>
      <c r="H55" s="190">
        <f t="shared" si="3"/>
        <v>400</v>
      </c>
      <c r="I55" s="78">
        <f t="shared" si="4"/>
        <v>20530.025433316383</v>
      </c>
      <c r="J55" s="78">
        <f t="shared" si="5"/>
        <v>0</v>
      </c>
      <c r="K55" s="78">
        <f t="shared" si="6"/>
        <v>110</v>
      </c>
      <c r="L55" s="78">
        <f t="shared" si="7"/>
        <v>10343.766079722298</v>
      </c>
      <c r="M55" s="194">
        <f t="shared" si="8"/>
        <v>10343.766079722298</v>
      </c>
      <c r="N55" s="78">
        <f t="shared" si="9"/>
        <v>-8233.7660797222979</v>
      </c>
      <c r="O55" s="165">
        <v>0</v>
      </c>
      <c r="P55" s="166">
        <f t="shared" si="10"/>
        <v>0</v>
      </c>
      <c r="Q55" s="119">
        <f t="shared" si="11"/>
        <v>9986.2593535940869</v>
      </c>
      <c r="R55" s="167">
        <f t="shared" si="12"/>
        <v>549.24426444767482</v>
      </c>
      <c r="S55" s="165">
        <v>0</v>
      </c>
      <c r="T55" s="166">
        <f t="shared" si="13"/>
        <v>0</v>
      </c>
      <c r="U55" s="33">
        <f t="shared" si="14"/>
        <v>10735.503618041761</v>
      </c>
      <c r="V55" s="167">
        <f t="shared" si="15"/>
        <v>590.45269899229686</v>
      </c>
      <c r="W55" s="165">
        <v>0</v>
      </c>
      <c r="X55" s="166">
        <f t="shared" si="16"/>
        <v>0</v>
      </c>
      <c r="Y55" s="33">
        <f t="shared" si="17"/>
        <v>11525.956317034057</v>
      </c>
      <c r="Z55" s="167">
        <f t="shared" si="18"/>
        <v>633.92759743687316</v>
      </c>
      <c r="AA55" s="165">
        <v>0</v>
      </c>
      <c r="AB55" s="166">
        <f t="shared" si="19"/>
        <v>0</v>
      </c>
      <c r="AC55" s="33">
        <f t="shared" si="20"/>
        <v>12359.883914470931</v>
      </c>
      <c r="AD55" s="167">
        <f t="shared" si="21"/>
        <v>679.79361529590119</v>
      </c>
      <c r="AE55" s="165">
        <v>0</v>
      </c>
      <c r="AF55" s="166">
        <f t="shared" si="22"/>
        <v>0</v>
      </c>
      <c r="AG55" s="33">
        <f t="shared" si="23"/>
        <v>13239.677529766832</v>
      </c>
      <c r="AH55" s="167">
        <f t="shared" si="24"/>
        <v>728.18226413717571</v>
      </c>
      <c r="AI55" s="165">
        <v>0</v>
      </c>
      <c r="AJ55" s="166">
        <f t="shared" si="25"/>
        <v>0</v>
      </c>
      <c r="AK55" s="33">
        <f t="shared" si="26"/>
        <v>14167.859793904008</v>
      </c>
      <c r="AL55" s="167">
        <f t="shared" si="27"/>
        <v>779.2322886647205</v>
      </c>
      <c r="AM55" s="165">
        <v>2000</v>
      </c>
      <c r="AN55" s="166">
        <f t="shared" si="28"/>
        <v>0</v>
      </c>
      <c r="AO55" s="33">
        <f t="shared" si="29"/>
        <v>13147.092082568728</v>
      </c>
      <c r="AP55" s="167">
        <f t="shared" si="30"/>
        <v>613.09006454128007</v>
      </c>
      <c r="AQ55" s="165">
        <v>0</v>
      </c>
      <c r="AR55" s="166">
        <f t="shared" si="31"/>
        <v>0</v>
      </c>
      <c r="AS55" s="33">
        <f t="shared" si="32"/>
        <v>13960.182147110008</v>
      </c>
      <c r="AT55" s="167">
        <f t="shared" si="33"/>
        <v>977.21275029770072</v>
      </c>
      <c r="AU55" s="165">
        <v>0</v>
      </c>
      <c r="AV55" s="166">
        <f t="shared" si="34"/>
        <v>0</v>
      </c>
      <c r="AW55" s="33">
        <f t="shared" si="35"/>
        <v>15137.394897407708</v>
      </c>
      <c r="AX55" s="167">
        <f t="shared" si="36"/>
        <v>1059.6176428185397</v>
      </c>
      <c r="AY55" s="165">
        <v>0</v>
      </c>
      <c r="AZ55" s="33">
        <f t="shared" si="37"/>
        <v>0</v>
      </c>
      <c r="BA55" s="33">
        <f t="shared" si="38"/>
        <v>16397.012540226249</v>
      </c>
      <c r="BB55" s="33">
        <f t="shared" si="39"/>
        <v>1147.7908778158376</v>
      </c>
      <c r="BC55" s="33">
        <v>0</v>
      </c>
      <c r="BD55" s="33">
        <f t="shared" si="40"/>
        <v>0</v>
      </c>
      <c r="BE55" s="33">
        <f t="shared" si="41"/>
        <v>17744.803418042087</v>
      </c>
      <c r="BF55" s="33">
        <f t="shared" si="42"/>
        <v>1242.1362392629462</v>
      </c>
      <c r="BG55" s="33">
        <v>0</v>
      </c>
      <c r="BH55" s="33">
        <f t="shared" si="43"/>
        <v>0</v>
      </c>
      <c r="BI55" s="33">
        <f t="shared" si="44"/>
        <v>19186.939657305033</v>
      </c>
      <c r="BJ55" s="33">
        <f t="shared" si="45"/>
        <v>1343.0857760113524</v>
      </c>
      <c r="BK55" s="87">
        <f t="shared" si="46"/>
        <v>2000</v>
      </c>
      <c r="BL55" s="33">
        <f>'2023-2024'!BL55+'2024-2025'!BK55</f>
        <v>13150</v>
      </c>
    </row>
    <row r="56" spans="1:64">
      <c r="A56" s="10" t="s">
        <v>627</v>
      </c>
      <c r="B56" s="10" t="s">
        <v>124</v>
      </c>
      <c r="C56" s="80">
        <v>0</v>
      </c>
      <c r="D56" s="79">
        <f t="shared" si="0"/>
        <v>2400</v>
      </c>
      <c r="E56" s="78">
        <f>'2023-2024'!I56</f>
        <v>-9589.321011955255</v>
      </c>
      <c r="F56" s="187">
        <f t="shared" si="1"/>
        <v>2400</v>
      </c>
      <c r="G56" s="33">
        <f t="shared" si="2"/>
        <v>750</v>
      </c>
      <c r="H56" s="190">
        <f t="shared" si="3"/>
        <v>1650</v>
      </c>
      <c r="I56" s="78">
        <f t="shared" si="4"/>
        <v>-17335.449373051415</v>
      </c>
      <c r="J56" s="78">
        <f t="shared" si="5"/>
        <v>0</v>
      </c>
      <c r="K56" s="78">
        <f t="shared" si="6"/>
        <v>41.25</v>
      </c>
      <c r="L56" s="78">
        <f t="shared" si="7"/>
        <v>-9396.1283610961582</v>
      </c>
      <c r="M56" s="194">
        <f t="shared" si="8"/>
        <v>-9396.1283610961582</v>
      </c>
      <c r="N56" s="78">
        <f t="shared" si="9"/>
        <v>10187.378361096158</v>
      </c>
      <c r="O56" s="165">
        <v>0</v>
      </c>
      <c r="P56" s="166">
        <f t="shared" si="10"/>
        <v>0</v>
      </c>
      <c r="Q56" s="119">
        <f t="shared" si="11"/>
        <v>-9389.321011955255</v>
      </c>
      <c r="R56" s="167">
        <f t="shared" si="12"/>
        <v>-516.41265565753906</v>
      </c>
      <c r="S56" s="165">
        <v>250</v>
      </c>
      <c r="T56" s="166">
        <f t="shared" si="13"/>
        <v>0</v>
      </c>
      <c r="U56" s="33">
        <f t="shared" si="14"/>
        <v>-9955.7336676127943</v>
      </c>
      <c r="V56" s="167">
        <f t="shared" si="15"/>
        <v>-561.31535171870371</v>
      </c>
      <c r="W56" s="165">
        <v>250</v>
      </c>
      <c r="X56" s="166">
        <f t="shared" si="16"/>
        <v>0</v>
      </c>
      <c r="Y56" s="33">
        <f t="shared" si="17"/>
        <v>-10567.049019331498</v>
      </c>
      <c r="Z56" s="167">
        <f t="shared" si="18"/>
        <v>-594.93769606323235</v>
      </c>
      <c r="AA56" s="165">
        <v>250</v>
      </c>
      <c r="AB56" s="166">
        <f t="shared" si="19"/>
        <v>0</v>
      </c>
      <c r="AC56" s="33">
        <f t="shared" si="20"/>
        <v>-11211.986715394731</v>
      </c>
      <c r="AD56" s="167">
        <f t="shared" si="21"/>
        <v>-630.40926934671018</v>
      </c>
      <c r="AE56" s="165">
        <v>0</v>
      </c>
      <c r="AF56" s="166">
        <f t="shared" si="22"/>
        <v>0</v>
      </c>
      <c r="AG56" s="33">
        <f t="shared" si="23"/>
        <v>-11642.395984741441</v>
      </c>
      <c r="AH56" s="167">
        <f t="shared" si="24"/>
        <v>-640.33177916077921</v>
      </c>
      <c r="AI56" s="165">
        <v>0</v>
      </c>
      <c r="AJ56" s="166">
        <f t="shared" si="25"/>
        <v>0</v>
      </c>
      <c r="AK56" s="33">
        <f t="shared" si="26"/>
        <v>-12082.72776390222</v>
      </c>
      <c r="AL56" s="167">
        <f t="shared" si="27"/>
        <v>-664.55002701462206</v>
      </c>
      <c r="AM56" s="165">
        <v>0</v>
      </c>
      <c r="AN56" s="166">
        <f t="shared" si="28"/>
        <v>0</v>
      </c>
      <c r="AO56" s="33">
        <f t="shared" si="29"/>
        <v>-12547.277790916842</v>
      </c>
      <c r="AP56" s="167">
        <f t="shared" si="30"/>
        <v>-690.10027850042627</v>
      </c>
      <c r="AQ56" s="165">
        <v>0</v>
      </c>
      <c r="AR56" s="166">
        <f t="shared" si="31"/>
        <v>0</v>
      </c>
      <c r="AS56" s="33">
        <f t="shared" si="32"/>
        <v>-13037.378069417267</v>
      </c>
      <c r="AT56" s="167">
        <f t="shared" si="33"/>
        <v>-912.6164648592088</v>
      </c>
      <c r="AU56" s="165">
        <v>0</v>
      </c>
      <c r="AV56" s="166">
        <f t="shared" si="34"/>
        <v>0</v>
      </c>
      <c r="AW56" s="33">
        <f t="shared" si="35"/>
        <v>-13749.994534276477</v>
      </c>
      <c r="AX56" s="167">
        <f t="shared" si="36"/>
        <v>-962.4996173993535</v>
      </c>
      <c r="AY56" s="165">
        <v>0</v>
      </c>
      <c r="AZ56" s="166">
        <f t="shared" si="37"/>
        <v>0</v>
      </c>
      <c r="BA56" s="33">
        <f t="shared" si="38"/>
        <v>-14512.49415167583</v>
      </c>
      <c r="BB56" s="167">
        <f t="shared" si="39"/>
        <v>-1015.8745906173082</v>
      </c>
      <c r="BC56" s="165">
        <v>0</v>
      </c>
      <c r="BD56" s="166">
        <f t="shared" si="40"/>
        <v>0</v>
      </c>
      <c r="BE56" s="33">
        <f t="shared" si="41"/>
        <v>-15328.368742293138</v>
      </c>
      <c r="BF56" s="167">
        <f t="shared" si="42"/>
        <v>-1072.9858119605199</v>
      </c>
      <c r="BG56" s="165">
        <v>0</v>
      </c>
      <c r="BH56" s="166">
        <f t="shared" si="43"/>
        <v>0</v>
      </c>
      <c r="BI56" s="33">
        <f t="shared" si="44"/>
        <v>-16201.354554253658</v>
      </c>
      <c r="BJ56" s="167">
        <f t="shared" si="45"/>
        <v>-1134.094818797756</v>
      </c>
      <c r="BK56" s="87">
        <f t="shared" si="46"/>
        <v>750</v>
      </c>
      <c r="BL56" s="33">
        <f>'2023-2024'!BL56+'2024-2025'!BK56</f>
        <v>21910</v>
      </c>
    </row>
    <row r="57" spans="1:64">
      <c r="A57" s="10" t="s">
        <v>628</v>
      </c>
      <c r="B57" s="10" t="s">
        <v>152</v>
      </c>
      <c r="C57" s="80">
        <v>0</v>
      </c>
      <c r="D57" s="79">
        <f t="shared" si="0"/>
        <v>2400</v>
      </c>
      <c r="E57" s="78">
        <f>'2023-2024'!I57</f>
        <v>30990.634812667504</v>
      </c>
      <c r="F57" s="187">
        <f t="shared" si="1"/>
        <v>2400</v>
      </c>
      <c r="G57" s="33">
        <f t="shared" si="2"/>
        <v>1500</v>
      </c>
      <c r="H57" s="190">
        <f t="shared" si="3"/>
        <v>900</v>
      </c>
      <c r="I57" s="78">
        <f t="shared" si="4"/>
        <v>64487.469855559975</v>
      </c>
      <c r="J57" s="78">
        <f t="shared" si="5"/>
        <v>0</v>
      </c>
      <c r="K57" s="78">
        <f t="shared" si="6"/>
        <v>82.5</v>
      </c>
      <c r="L57" s="78">
        <f t="shared" si="7"/>
        <v>32596.835042892468</v>
      </c>
      <c r="M57" s="194">
        <f t="shared" si="8"/>
        <v>32596.835042892468</v>
      </c>
      <c r="N57" s="78">
        <f t="shared" si="9"/>
        <v>-31014.335042892468</v>
      </c>
      <c r="O57" s="165">
        <v>300</v>
      </c>
      <c r="P57" s="166">
        <f t="shared" si="10"/>
        <v>0</v>
      </c>
      <c r="Q57" s="119">
        <f t="shared" si="11"/>
        <v>31190.634812667504</v>
      </c>
      <c r="R57" s="167">
        <f t="shared" si="12"/>
        <v>1698.9849146967126</v>
      </c>
      <c r="S57" s="165">
        <v>0</v>
      </c>
      <c r="T57" s="166">
        <f t="shared" si="13"/>
        <v>0</v>
      </c>
      <c r="U57" s="33">
        <f t="shared" si="14"/>
        <v>33089.619727364217</v>
      </c>
      <c r="V57" s="167">
        <f t="shared" si="15"/>
        <v>1819.929085005032</v>
      </c>
      <c r="W57" s="165">
        <v>300</v>
      </c>
      <c r="X57" s="166">
        <f t="shared" si="16"/>
        <v>0</v>
      </c>
      <c r="Y57" s="33">
        <f t="shared" si="17"/>
        <v>34809.548812369248</v>
      </c>
      <c r="Z57" s="167">
        <f t="shared" si="18"/>
        <v>1898.0251846803087</v>
      </c>
      <c r="AA57" s="165">
        <v>300</v>
      </c>
      <c r="AB57" s="166">
        <f t="shared" si="19"/>
        <v>0</v>
      </c>
      <c r="AC57" s="33">
        <f t="shared" si="20"/>
        <v>36607.573997049556</v>
      </c>
      <c r="AD57" s="167">
        <f t="shared" si="21"/>
        <v>1996.9165698377255</v>
      </c>
      <c r="AE57" s="165">
        <v>0</v>
      </c>
      <c r="AF57" s="166">
        <f t="shared" si="22"/>
        <v>0</v>
      </c>
      <c r="AG57" s="33">
        <f t="shared" si="23"/>
        <v>38804.490566887282</v>
      </c>
      <c r="AH57" s="167">
        <f t="shared" si="24"/>
        <v>2134.2469811788005</v>
      </c>
      <c r="AI57" s="165">
        <v>300</v>
      </c>
      <c r="AJ57" s="166">
        <f t="shared" si="25"/>
        <v>0</v>
      </c>
      <c r="AK57" s="33">
        <f t="shared" si="26"/>
        <v>40838.737548066085</v>
      </c>
      <c r="AL57" s="167">
        <f t="shared" si="27"/>
        <v>2229.6305651436346</v>
      </c>
      <c r="AM57" s="165">
        <v>300</v>
      </c>
      <c r="AN57" s="166">
        <f t="shared" si="28"/>
        <v>0</v>
      </c>
      <c r="AO57" s="33">
        <f t="shared" si="29"/>
        <v>42968.368113209719</v>
      </c>
      <c r="AP57" s="167">
        <f t="shared" si="30"/>
        <v>2346.7602462265345</v>
      </c>
      <c r="AQ57" s="165">
        <v>0</v>
      </c>
      <c r="AR57" s="166">
        <f t="shared" si="31"/>
        <v>0</v>
      </c>
      <c r="AS57" s="33">
        <f t="shared" si="32"/>
        <v>45515.128359436254</v>
      </c>
      <c r="AT57" s="167">
        <f t="shared" si="33"/>
        <v>3186.0589851605382</v>
      </c>
      <c r="AU57" s="165">
        <v>0</v>
      </c>
      <c r="AV57" s="166">
        <f t="shared" si="34"/>
        <v>0</v>
      </c>
      <c r="AW57" s="33">
        <f t="shared" si="35"/>
        <v>48901.187344596794</v>
      </c>
      <c r="AX57" s="167">
        <f t="shared" si="36"/>
        <v>3423.0831141217759</v>
      </c>
      <c r="AY57" s="165">
        <v>0</v>
      </c>
      <c r="AZ57" s="166">
        <f t="shared" si="37"/>
        <v>0</v>
      </c>
      <c r="BA57" s="33">
        <f t="shared" si="38"/>
        <v>52524.270458718573</v>
      </c>
      <c r="BB57" s="167">
        <f t="shared" si="39"/>
        <v>3676.6989321103006</v>
      </c>
      <c r="BC57" s="165">
        <v>0</v>
      </c>
      <c r="BD57" s="166">
        <f t="shared" si="40"/>
        <v>0</v>
      </c>
      <c r="BE57" s="33">
        <f t="shared" si="41"/>
        <v>56400.969390828875</v>
      </c>
      <c r="BF57" s="167">
        <f t="shared" si="42"/>
        <v>3948.0678573580217</v>
      </c>
      <c r="BG57" s="165">
        <v>0</v>
      </c>
      <c r="BH57" s="166">
        <f t="shared" si="43"/>
        <v>0</v>
      </c>
      <c r="BI57" s="33">
        <f t="shared" si="44"/>
        <v>60549.037248186898</v>
      </c>
      <c r="BJ57" s="167">
        <f t="shared" si="45"/>
        <v>4238.4326073730836</v>
      </c>
      <c r="BK57" s="87">
        <f t="shared" si="46"/>
        <v>1500</v>
      </c>
      <c r="BL57" s="33">
        <f>'2023-2024'!BL57+'2024-2025'!BK57</f>
        <v>5100</v>
      </c>
    </row>
    <row r="58" spans="1:64">
      <c r="A58" s="10" t="s">
        <v>629</v>
      </c>
      <c r="B58" s="10" t="s">
        <v>156</v>
      </c>
      <c r="C58" s="80">
        <v>0</v>
      </c>
      <c r="D58" s="79">
        <f t="shared" si="0"/>
        <v>2400</v>
      </c>
      <c r="E58" s="78">
        <f>'2023-2024'!I58</f>
        <v>40318.20641440036</v>
      </c>
      <c r="F58" s="187">
        <f t="shared" si="1"/>
        <v>2400</v>
      </c>
      <c r="G58" s="33">
        <f t="shared" si="2"/>
        <v>0</v>
      </c>
      <c r="H58" s="190">
        <f t="shared" si="3"/>
        <v>2400</v>
      </c>
      <c r="I58" s="78">
        <f t="shared" si="4"/>
        <v>85936.885313779596</v>
      </c>
      <c r="J58" s="78">
        <f t="shared" si="5"/>
        <v>0</v>
      </c>
      <c r="K58" s="78">
        <f t="shared" si="6"/>
        <v>0</v>
      </c>
      <c r="L58" s="78">
        <f t="shared" si="7"/>
        <v>43218.678899379236</v>
      </c>
      <c r="M58" s="194">
        <f t="shared" si="8"/>
        <v>43218.678899379236</v>
      </c>
      <c r="N58" s="78">
        <f t="shared" si="9"/>
        <v>-43218.678899379236</v>
      </c>
      <c r="O58" s="165">
        <v>0</v>
      </c>
      <c r="P58" s="166">
        <f t="shared" si="10"/>
        <v>0</v>
      </c>
      <c r="Q58" s="119">
        <f t="shared" si="11"/>
        <v>40518.20641440036</v>
      </c>
      <c r="R58" s="167">
        <f t="shared" si="12"/>
        <v>2228.5013527920196</v>
      </c>
      <c r="S58" s="165">
        <v>0</v>
      </c>
      <c r="T58" s="166">
        <f t="shared" si="13"/>
        <v>0</v>
      </c>
      <c r="U58" s="33">
        <f t="shared" si="14"/>
        <v>42946.707767192376</v>
      </c>
      <c r="V58" s="167">
        <f t="shared" si="15"/>
        <v>2362.0689271955807</v>
      </c>
      <c r="W58" s="165">
        <v>0</v>
      </c>
      <c r="X58" s="166">
        <f t="shared" si="16"/>
        <v>0</v>
      </c>
      <c r="Y58" s="33">
        <f t="shared" si="17"/>
        <v>45508.776694387954</v>
      </c>
      <c r="Z58" s="167">
        <f t="shared" si="18"/>
        <v>2502.9827181913374</v>
      </c>
      <c r="AA58" s="165">
        <v>0</v>
      </c>
      <c r="AB58" s="166">
        <f t="shared" si="19"/>
        <v>0</v>
      </c>
      <c r="AC58" s="33">
        <f t="shared" si="20"/>
        <v>48211.759412579289</v>
      </c>
      <c r="AD58" s="167">
        <f t="shared" si="21"/>
        <v>2651.646767691861</v>
      </c>
      <c r="AE58" s="165">
        <v>0</v>
      </c>
      <c r="AF58" s="166">
        <f t="shared" si="22"/>
        <v>0</v>
      </c>
      <c r="AG58" s="33">
        <f t="shared" si="23"/>
        <v>51063.406180271151</v>
      </c>
      <c r="AH58" s="167">
        <f t="shared" si="24"/>
        <v>2808.4873399149133</v>
      </c>
      <c r="AI58" s="165">
        <v>0</v>
      </c>
      <c r="AJ58" s="166">
        <f t="shared" si="25"/>
        <v>0</v>
      </c>
      <c r="AK58" s="33">
        <f t="shared" si="26"/>
        <v>54071.893520186066</v>
      </c>
      <c r="AL58" s="167">
        <f t="shared" si="27"/>
        <v>2973.9541436102336</v>
      </c>
      <c r="AM58" s="165">
        <v>0</v>
      </c>
      <c r="AN58" s="166">
        <f t="shared" si="28"/>
        <v>0</v>
      </c>
      <c r="AO58" s="33">
        <f t="shared" si="29"/>
        <v>57245.847663796303</v>
      </c>
      <c r="AP58" s="167">
        <f t="shared" si="30"/>
        <v>3148.5216215087967</v>
      </c>
      <c r="AQ58" s="165">
        <v>0</v>
      </c>
      <c r="AR58" s="166">
        <f t="shared" si="31"/>
        <v>0</v>
      </c>
      <c r="AS58" s="33">
        <f t="shared" si="32"/>
        <v>60594.369285305103</v>
      </c>
      <c r="AT58" s="167">
        <f t="shared" si="33"/>
        <v>4241.6058499713572</v>
      </c>
      <c r="AU58" s="165">
        <v>0</v>
      </c>
      <c r="AV58" s="166">
        <f t="shared" si="34"/>
        <v>0</v>
      </c>
      <c r="AW58" s="33">
        <f t="shared" si="35"/>
        <v>65035.975135276458</v>
      </c>
      <c r="AX58" s="167">
        <f t="shared" si="36"/>
        <v>4552.5182594693524</v>
      </c>
      <c r="AY58" s="165">
        <v>0</v>
      </c>
      <c r="AZ58" s="166">
        <f t="shared" si="37"/>
        <v>0</v>
      </c>
      <c r="BA58" s="33">
        <f t="shared" si="38"/>
        <v>69788.493394745805</v>
      </c>
      <c r="BB58" s="167">
        <f t="shared" si="39"/>
        <v>4885.1945376322064</v>
      </c>
      <c r="BC58" s="165">
        <v>0</v>
      </c>
      <c r="BD58" s="166">
        <f t="shared" si="40"/>
        <v>0</v>
      </c>
      <c r="BE58" s="33">
        <f t="shared" si="41"/>
        <v>74873.687932378016</v>
      </c>
      <c r="BF58" s="167">
        <f t="shared" si="42"/>
        <v>5241.158155266462</v>
      </c>
      <c r="BG58" s="165">
        <v>0</v>
      </c>
      <c r="BH58" s="166">
        <f t="shared" si="43"/>
        <v>0</v>
      </c>
      <c r="BI58" s="33">
        <f t="shared" si="44"/>
        <v>80314.846087644473</v>
      </c>
      <c r="BJ58" s="167">
        <f t="shared" si="45"/>
        <v>5622.0392261351135</v>
      </c>
      <c r="BK58" s="87">
        <f t="shared" si="46"/>
        <v>0</v>
      </c>
      <c r="BL58" s="33">
        <f>'2023-2024'!BL58+'2024-2025'!BK58</f>
        <v>1000</v>
      </c>
    </row>
    <row r="59" spans="1:64">
      <c r="A59" s="10" t="s">
        <v>630</v>
      </c>
      <c r="B59" s="10" t="s">
        <v>158</v>
      </c>
      <c r="C59" s="80">
        <v>0</v>
      </c>
      <c r="D59" s="79">
        <f t="shared" si="0"/>
        <v>2400</v>
      </c>
      <c r="E59" s="78">
        <f>'2023-2024'!I59</f>
        <v>41567.008071790769</v>
      </c>
      <c r="F59" s="187">
        <f t="shared" si="1"/>
        <v>2400</v>
      </c>
      <c r="G59" s="33">
        <f t="shared" si="2"/>
        <v>0</v>
      </c>
      <c r="H59" s="190">
        <f t="shared" si="3"/>
        <v>2400</v>
      </c>
      <c r="I59" s="78">
        <f t="shared" si="4"/>
        <v>88484.768848788255</v>
      </c>
      <c r="J59" s="78">
        <f t="shared" si="5"/>
        <v>0</v>
      </c>
      <c r="K59" s="78">
        <f t="shared" si="6"/>
        <v>0</v>
      </c>
      <c r="L59" s="78">
        <f t="shared" si="7"/>
        <v>44517.760776997486</v>
      </c>
      <c r="M59" s="194">
        <f t="shared" si="8"/>
        <v>44517.760776997486</v>
      </c>
      <c r="N59" s="78">
        <f t="shared" si="9"/>
        <v>-44517.760776997486</v>
      </c>
      <c r="O59" s="165">
        <v>0</v>
      </c>
      <c r="P59" s="166">
        <f t="shared" si="10"/>
        <v>0</v>
      </c>
      <c r="Q59" s="119">
        <f t="shared" si="11"/>
        <v>41767.008071790769</v>
      </c>
      <c r="R59" s="167">
        <f t="shared" si="12"/>
        <v>2297.1854439484923</v>
      </c>
      <c r="S59" s="165">
        <v>0</v>
      </c>
      <c r="T59" s="166">
        <f t="shared" si="13"/>
        <v>0</v>
      </c>
      <c r="U59" s="33">
        <f t="shared" si="14"/>
        <v>44264.193515739258</v>
      </c>
      <c r="V59" s="167">
        <f t="shared" si="15"/>
        <v>2434.5306433656592</v>
      </c>
      <c r="W59" s="165">
        <v>0</v>
      </c>
      <c r="X59" s="166">
        <f t="shared" si="16"/>
        <v>0</v>
      </c>
      <c r="Y59" s="33">
        <f t="shared" si="17"/>
        <v>46898.724159104917</v>
      </c>
      <c r="Z59" s="167">
        <f t="shared" si="18"/>
        <v>2579.4298287507704</v>
      </c>
      <c r="AA59" s="165">
        <v>0</v>
      </c>
      <c r="AB59" s="166">
        <f t="shared" si="19"/>
        <v>0</v>
      </c>
      <c r="AC59" s="33">
        <f t="shared" si="20"/>
        <v>49678.153987855687</v>
      </c>
      <c r="AD59" s="167">
        <f t="shared" si="21"/>
        <v>2732.2984693320627</v>
      </c>
      <c r="AE59" s="165">
        <v>0</v>
      </c>
      <c r="AF59" s="166">
        <f t="shared" si="22"/>
        <v>0</v>
      </c>
      <c r="AG59" s="33">
        <f t="shared" si="23"/>
        <v>52610.452457187748</v>
      </c>
      <c r="AH59" s="167">
        <f t="shared" si="24"/>
        <v>2893.5748851453263</v>
      </c>
      <c r="AI59" s="165">
        <v>0</v>
      </c>
      <c r="AJ59" s="166">
        <f t="shared" si="25"/>
        <v>0</v>
      </c>
      <c r="AK59" s="33">
        <f t="shared" si="26"/>
        <v>55704.027342333073</v>
      </c>
      <c r="AL59" s="167">
        <f t="shared" si="27"/>
        <v>3063.7215038283189</v>
      </c>
      <c r="AM59" s="165">
        <v>0</v>
      </c>
      <c r="AN59" s="166">
        <f t="shared" si="28"/>
        <v>0</v>
      </c>
      <c r="AO59" s="33">
        <f t="shared" si="29"/>
        <v>58967.74884616139</v>
      </c>
      <c r="AP59" s="167">
        <f t="shared" si="30"/>
        <v>3243.2261865388764</v>
      </c>
      <c r="AQ59" s="165">
        <v>0</v>
      </c>
      <c r="AR59" s="166">
        <f t="shared" si="31"/>
        <v>0</v>
      </c>
      <c r="AS59" s="33">
        <f t="shared" si="32"/>
        <v>62410.975032700269</v>
      </c>
      <c r="AT59" s="167">
        <f t="shared" si="33"/>
        <v>4368.7682522890191</v>
      </c>
      <c r="AU59" s="165">
        <v>0</v>
      </c>
      <c r="AV59" s="166">
        <f t="shared" si="34"/>
        <v>0</v>
      </c>
      <c r="AW59" s="33">
        <f t="shared" si="35"/>
        <v>66979.743284989294</v>
      </c>
      <c r="AX59" s="167">
        <f t="shared" si="36"/>
        <v>4688.5820299492507</v>
      </c>
      <c r="AY59" s="165">
        <v>0</v>
      </c>
      <c r="AZ59" s="166">
        <f t="shared" si="37"/>
        <v>0</v>
      </c>
      <c r="BA59" s="33">
        <f t="shared" si="38"/>
        <v>71868.325314938542</v>
      </c>
      <c r="BB59" s="167">
        <f t="shared" si="39"/>
        <v>5030.782772045698</v>
      </c>
      <c r="BC59" s="165">
        <v>0</v>
      </c>
      <c r="BD59" s="166">
        <f t="shared" si="40"/>
        <v>0</v>
      </c>
      <c r="BE59" s="33">
        <f t="shared" si="41"/>
        <v>77099.108086984241</v>
      </c>
      <c r="BF59" s="167">
        <f t="shared" si="42"/>
        <v>5396.9375660888973</v>
      </c>
      <c r="BG59" s="165">
        <v>0</v>
      </c>
      <c r="BH59" s="166">
        <f t="shared" si="43"/>
        <v>0</v>
      </c>
      <c r="BI59" s="33">
        <f t="shared" si="44"/>
        <v>82696.045653073132</v>
      </c>
      <c r="BJ59" s="167">
        <f t="shared" si="45"/>
        <v>5788.7231957151198</v>
      </c>
      <c r="BK59" s="87">
        <f t="shared" si="46"/>
        <v>0</v>
      </c>
      <c r="BL59" s="33">
        <f>'2023-2024'!BL59+'2024-2025'!BK59</f>
        <v>700</v>
      </c>
    </row>
    <row r="60" spans="1:64">
      <c r="A60" s="10" t="s">
        <v>631</v>
      </c>
      <c r="B60" s="10" t="s">
        <v>118</v>
      </c>
      <c r="C60" s="80">
        <v>0</v>
      </c>
      <c r="D60" s="79">
        <f t="shared" si="0"/>
        <v>2400</v>
      </c>
      <c r="E60" s="78">
        <f>'2023-2024'!I60</f>
        <v>6508.7244911907164</v>
      </c>
      <c r="F60" s="187">
        <f t="shared" si="1"/>
        <v>2400</v>
      </c>
      <c r="G60" s="33">
        <f t="shared" si="2"/>
        <v>1250</v>
      </c>
      <c r="H60" s="190">
        <f t="shared" si="3"/>
        <v>1150</v>
      </c>
      <c r="I60" s="78">
        <f t="shared" si="4"/>
        <v>14664.980715835962</v>
      </c>
      <c r="J60" s="78">
        <f t="shared" si="5"/>
        <v>0</v>
      </c>
      <c r="K60" s="78">
        <f t="shared" si="6"/>
        <v>68.75</v>
      </c>
      <c r="L60" s="78">
        <f t="shared" si="7"/>
        <v>7006.2562246452444</v>
      </c>
      <c r="M60" s="194">
        <f t="shared" si="8"/>
        <v>7006.2562246452444</v>
      </c>
      <c r="N60" s="78">
        <f t="shared" si="9"/>
        <v>-5687.5062246452444</v>
      </c>
      <c r="O60" s="165">
        <v>0</v>
      </c>
      <c r="P60" s="166">
        <f t="shared" si="10"/>
        <v>0</v>
      </c>
      <c r="Q60" s="119">
        <f t="shared" si="11"/>
        <v>6708.7244911907164</v>
      </c>
      <c r="R60" s="167">
        <f t="shared" si="12"/>
        <v>368.97984701548938</v>
      </c>
      <c r="S60" s="165">
        <v>250</v>
      </c>
      <c r="T60" s="166">
        <f t="shared" si="13"/>
        <v>0</v>
      </c>
      <c r="U60" s="33">
        <f t="shared" si="14"/>
        <v>7027.7043382062056</v>
      </c>
      <c r="V60" s="167">
        <f t="shared" si="15"/>
        <v>372.77373860134134</v>
      </c>
      <c r="W60" s="165">
        <v>250</v>
      </c>
      <c r="X60" s="166">
        <f t="shared" si="16"/>
        <v>0</v>
      </c>
      <c r="Y60" s="33">
        <f t="shared" si="17"/>
        <v>7350.478076807547</v>
      </c>
      <c r="Z60" s="167">
        <f t="shared" si="18"/>
        <v>390.5262942244151</v>
      </c>
      <c r="AA60" s="165">
        <v>250</v>
      </c>
      <c r="AB60" s="166">
        <f t="shared" si="19"/>
        <v>0</v>
      </c>
      <c r="AC60" s="33">
        <f t="shared" si="20"/>
        <v>7691.0043710319624</v>
      </c>
      <c r="AD60" s="167">
        <f t="shared" si="21"/>
        <v>409.25524040675793</v>
      </c>
      <c r="AE60" s="165">
        <v>250</v>
      </c>
      <c r="AF60" s="166">
        <f t="shared" si="22"/>
        <v>0</v>
      </c>
      <c r="AG60" s="33">
        <f t="shared" si="23"/>
        <v>8050.2596114387206</v>
      </c>
      <c r="AH60" s="167">
        <f t="shared" si="24"/>
        <v>429.01427862912965</v>
      </c>
      <c r="AI60" s="165">
        <v>250</v>
      </c>
      <c r="AJ60" s="166">
        <f t="shared" si="25"/>
        <v>0</v>
      </c>
      <c r="AK60" s="33">
        <f t="shared" si="26"/>
        <v>8429.2738900678505</v>
      </c>
      <c r="AL60" s="167">
        <f t="shared" si="27"/>
        <v>449.86006395373175</v>
      </c>
      <c r="AM60" s="165">
        <v>0</v>
      </c>
      <c r="AN60" s="166">
        <f t="shared" si="28"/>
        <v>0</v>
      </c>
      <c r="AO60" s="33">
        <f t="shared" si="29"/>
        <v>9079.1339540215831</v>
      </c>
      <c r="AP60" s="167">
        <f t="shared" si="30"/>
        <v>499.35236747118705</v>
      </c>
      <c r="AQ60" s="165">
        <v>0</v>
      </c>
      <c r="AR60" s="166">
        <f t="shared" si="31"/>
        <v>0</v>
      </c>
      <c r="AS60" s="33">
        <f t="shared" si="32"/>
        <v>9778.48632149277</v>
      </c>
      <c r="AT60" s="167">
        <f t="shared" si="33"/>
        <v>684.49404250449402</v>
      </c>
      <c r="AU60" s="165">
        <v>0</v>
      </c>
      <c r="AV60" s="166">
        <f t="shared" si="34"/>
        <v>0</v>
      </c>
      <c r="AW60" s="33">
        <f t="shared" si="35"/>
        <v>10662.980363997263</v>
      </c>
      <c r="AX60" s="167">
        <f t="shared" si="36"/>
        <v>746.40862547980851</v>
      </c>
      <c r="AY60" s="165">
        <v>0</v>
      </c>
      <c r="AZ60" s="166">
        <f t="shared" si="37"/>
        <v>0</v>
      </c>
      <c r="BA60" s="33">
        <f t="shared" si="38"/>
        <v>11609.388989477073</v>
      </c>
      <c r="BB60" s="167">
        <f t="shared" si="39"/>
        <v>812.65722926339515</v>
      </c>
      <c r="BC60" s="165">
        <v>0</v>
      </c>
      <c r="BD60" s="166">
        <f t="shared" si="40"/>
        <v>0</v>
      </c>
      <c r="BE60" s="33">
        <f t="shared" si="41"/>
        <v>12622.046218740468</v>
      </c>
      <c r="BF60" s="167">
        <f t="shared" si="42"/>
        <v>883.54323531183286</v>
      </c>
      <c r="BG60" s="165">
        <v>0</v>
      </c>
      <c r="BH60" s="166">
        <f t="shared" si="43"/>
        <v>0</v>
      </c>
      <c r="BI60" s="33">
        <f t="shared" si="44"/>
        <v>13705.5894540523</v>
      </c>
      <c r="BJ60" s="167">
        <f t="shared" si="45"/>
        <v>959.39126178366109</v>
      </c>
      <c r="BK60" s="87">
        <f t="shared" si="46"/>
        <v>1250</v>
      </c>
      <c r="BL60" s="33">
        <f>'2023-2024'!BL60+'2024-2025'!BK60</f>
        <v>17950</v>
      </c>
    </row>
    <row r="61" spans="1:64">
      <c r="A61" s="10" t="s">
        <v>632</v>
      </c>
      <c r="B61" s="10" t="s">
        <v>157</v>
      </c>
      <c r="C61" s="80">
        <v>0</v>
      </c>
      <c r="D61" s="79">
        <f t="shared" si="0"/>
        <v>2400</v>
      </c>
      <c r="E61" s="78">
        <f>'2023-2024'!I61</f>
        <v>43232.076948311311</v>
      </c>
      <c r="F61" s="187">
        <f t="shared" si="1"/>
        <v>2400</v>
      </c>
      <c r="G61" s="33">
        <f t="shared" si="2"/>
        <v>0</v>
      </c>
      <c r="H61" s="190">
        <f t="shared" si="3"/>
        <v>2400</v>
      </c>
      <c r="I61" s="78">
        <f t="shared" si="4"/>
        <v>91881.946895466477</v>
      </c>
      <c r="J61" s="78">
        <f t="shared" si="5"/>
        <v>0</v>
      </c>
      <c r="K61" s="78">
        <f t="shared" si="6"/>
        <v>0</v>
      </c>
      <c r="L61" s="78">
        <f t="shared" si="7"/>
        <v>46249.869947155166</v>
      </c>
      <c r="M61" s="194">
        <f t="shared" si="8"/>
        <v>46249.869947155166</v>
      </c>
      <c r="N61" s="78">
        <f t="shared" si="9"/>
        <v>-46249.869947155166</v>
      </c>
      <c r="O61" s="165">
        <v>0</v>
      </c>
      <c r="P61" s="166">
        <f t="shared" si="10"/>
        <v>0</v>
      </c>
      <c r="Q61" s="119">
        <f t="shared" si="11"/>
        <v>43432.076948311311</v>
      </c>
      <c r="R61" s="167">
        <f t="shared" si="12"/>
        <v>2388.764232157122</v>
      </c>
      <c r="S61" s="165">
        <v>0</v>
      </c>
      <c r="T61" s="166">
        <f t="shared" si="13"/>
        <v>0</v>
      </c>
      <c r="U61" s="33">
        <f t="shared" si="14"/>
        <v>46020.841180468429</v>
      </c>
      <c r="V61" s="167">
        <f t="shared" si="15"/>
        <v>2531.1462649257637</v>
      </c>
      <c r="W61" s="165">
        <v>0</v>
      </c>
      <c r="X61" s="166">
        <f t="shared" si="16"/>
        <v>0</v>
      </c>
      <c r="Y61" s="33">
        <f t="shared" si="17"/>
        <v>48751.987445394196</v>
      </c>
      <c r="Z61" s="167">
        <f t="shared" si="18"/>
        <v>2681.3593094966809</v>
      </c>
      <c r="AA61" s="165">
        <v>0</v>
      </c>
      <c r="AB61" s="166">
        <f t="shared" si="19"/>
        <v>0</v>
      </c>
      <c r="AC61" s="33">
        <f t="shared" si="20"/>
        <v>51633.346754890874</v>
      </c>
      <c r="AD61" s="167">
        <f t="shared" si="21"/>
        <v>2839.8340715189979</v>
      </c>
      <c r="AE61" s="165">
        <v>0</v>
      </c>
      <c r="AF61" s="166">
        <f t="shared" si="22"/>
        <v>0</v>
      </c>
      <c r="AG61" s="33">
        <f t="shared" si="23"/>
        <v>54673.180826409873</v>
      </c>
      <c r="AH61" s="167">
        <f t="shared" si="24"/>
        <v>3007.0249454525429</v>
      </c>
      <c r="AI61" s="165">
        <v>0</v>
      </c>
      <c r="AJ61" s="166">
        <f t="shared" si="25"/>
        <v>0</v>
      </c>
      <c r="AK61" s="33">
        <f t="shared" si="26"/>
        <v>57880.205771862413</v>
      </c>
      <c r="AL61" s="167">
        <f t="shared" si="27"/>
        <v>3183.4113174524327</v>
      </c>
      <c r="AM61" s="165">
        <v>0</v>
      </c>
      <c r="AN61" s="166">
        <f t="shared" si="28"/>
        <v>0</v>
      </c>
      <c r="AO61" s="33">
        <f t="shared" si="29"/>
        <v>61263.617089314845</v>
      </c>
      <c r="AP61" s="167">
        <f t="shared" si="30"/>
        <v>3369.4989399123165</v>
      </c>
      <c r="AQ61" s="165">
        <v>0</v>
      </c>
      <c r="AR61" s="166">
        <f t="shared" si="31"/>
        <v>0</v>
      </c>
      <c r="AS61" s="33">
        <f t="shared" si="32"/>
        <v>64833.11602922716</v>
      </c>
      <c r="AT61" s="167">
        <f t="shared" si="33"/>
        <v>4538.3181220459019</v>
      </c>
      <c r="AU61" s="165">
        <v>0</v>
      </c>
      <c r="AV61" s="166">
        <f t="shared" si="34"/>
        <v>0</v>
      </c>
      <c r="AW61" s="33">
        <f t="shared" si="35"/>
        <v>69571.434151273061</v>
      </c>
      <c r="AX61" s="167">
        <f t="shared" si="36"/>
        <v>4870.0003905891144</v>
      </c>
      <c r="AY61" s="165">
        <v>0</v>
      </c>
      <c r="AZ61" s="166">
        <f t="shared" si="37"/>
        <v>0</v>
      </c>
      <c r="BA61" s="33">
        <f t="shared" si="38"/>
        <v>74641.434541862182</v>
      </c>
      <c r="BB61" s="167">
        <f t="shared" si="39"/>
        <v>5224.9004179303529</v>
      </c>
      <c r="BC61" s="165">
        <v>0</v>
      </c>
      <c r="BD61" s="166">
        <f t="shared" si="40"/>
        <v>0</v>
      </c>
      <c r="BE61" s="33">
        <f t="shared" si="41"/>
        <v>80066.334959792541</v>
      </c>
      <c r="BF61" s="167">
        <f t="shared" si="42"/>
        <v>5604.6434471854782</v>
      </c>
      <c r="BG61" s="165">
        <v>0</v>
      </c>
      <c r="BH61" s="166">
        <f t="shared" si="43"/>
        <v>0</v>
      </c>
      <c r="BI61" s="33">
        <f t="shared" si="44"/>
        <v>85870.978406978014</v>
      </c>
      <c r="BJ61" s="167">
        <f t="shared" si="45"/>
        <v>6010.9684884884618</v>
      </c>
      <c r="BK61" s="87">
        <f t="shared" si="46"/>
        <v>0</v>
      </c>
      <c r="BL61" s="33">
        <f>'2023-2024'!BL61+'2024-2025'!BK61</f>
        <v>300</v>
      </c>
    </row>
    <row r="62" spans="1:64">
      <c r="A62" s="10" t="s">
        <v>633</v>
      </c>
      <c r="B62" s="10" t="s">
        <v>127</v>
      </c>
      <c r="C62" s="80">
        <v>0</v>
      </c>
      <c r="D62" s="79">
        <f t="shared" si="0"/>
        <v>2400</v>
      </c>
      <c r="E62" s="78">
        <f>'2023-2024'!I62</f>
        <v>31992.862031797646</v>
      </c>
      <c r="F62" s="187">
        <f t="shared" si="1"/>
        <v>2400</v>
      </c>
      <c r="G62" s="33">
        <f t="shared" si="2"/>
        <v>0</v>
      </c>
      <c r="H62" s="190">
        <f t="shared" si="3"/>
        <v>2400</v>
      </c>
      <c r="I62" s="78">
        <f t="shared" si="4"/>
        <v>68950.995080388515</v>
      </c>
      <c r="J62" s="78">
        <f t="shared" si="5"/>
        <v>0</v>
      </c>
      <c r="K62" s="78">
        <f t="shared" si="6"/>
        <v>0</v>
      </c>
      <c r="L62" s="78">
        <f t="shared" si="7"/>
        <v>34558.133048590869</v>
      </c>
      <c r="M62" s="194">
        <f t="shared" si="8"/>
        <v>34558.133048590869</v>
      </c>
      <c r="N62" s="78">
        <f t="shared" si="9"/>
        <v>-34558.133048590869</v>
      </c>
      <c r="O62" s="165">
        <v>0</v>
      </c>
      <c r="P62" s="166">
        <f t="shared" si="10"/>
        <v>0</v>
      </c>
      <c r="Q62" s="119">
        <f t="shared" si="11"/>
        <v>32192.862031797646</v>
      </c>
      <c r="R62" s="167">
        <f t="shared" si="12"/>
        <v>1770.6074117488706</v>
      </c>
      <c r="S62" s="165">
        <v>0</v>
      </c>
      <c r="T62" s="166">
        <f t="shared" si="13"/>
        <v>0</v>
      </c>
      <c r="U62" s="33">
        <f t="shared" si="14"/>
        <v>34163.469443546514</v>
      </c>
      <c r="V62" s="167">
        <f t="shared" si="15"/>
        <v>1878.9908193950582</v>
      </c>
      <c r="W62" s="165">
        <v>0</v>
      </c>
      <c r="X62" s="166">
        <f t="shared" si="16"/>
        <v>0</v>
      </c>
      <c r="Y62" s="33">
        <f t="shared" si="17"/>
        <v>36242.460262941575</v>
      </c>
      <c r="Z62" s="167">
        <f t="shared" si="18"/>
        <v>1993.3353144617865</v>
      </c>
      <c r="AA62" s="165">
        <v>0</v>
      </c>
      <c r="AB62" s="166">
        <f t="shared" si="19"/>
        <v>0</v>
      </c>
      <c r="AC62" s="33">
        <f t="shared" si="20"/>
        <v>38435.795577403362</v>
      </c>
      <c r="AD62" s="167">
        <f t="shared" si="21"/>
        <v>2113.968756757185</v>
      </c>
      <c r="AE62" s="165">
        <v>0</v>
      </c>
      <c r="AF62" s="166">
        <f t="shared" si="22"/>
        <v>0</v>
      </c>
      <c r="AG62" s="33">
        <f t="shared" si="23"/>
        <v>40749.764334160544</v>
      </c>
      <c r="AH62" s="167">
        <f t="shared" si="24"/>
        <v>2241.2370383788298</v>
      </c>
      <c r="AI62" s="165">
        <v>0</v>
      </c>
      <c r="AJ62" s="166">
        <f t="shared" si="25"/>
        <v>0</v>
      </c>
      <c r="AK62" s="33">
        <f t="shared" si="26"/>
        <v>43191.001372539373</v>
      </c>
      <c r="AL62" s="167">
        <f t="shared" si="27"/>
        <v>2375.5050754896656</v>
      </c>
      <c r="AM62" s="165">
        <v>0</v>
      </c>
      <c r="AN62" s="166">
        <f t="shared" si="28"/>
        <v>0</v>
      </c>
      <c r="AO62" s="33">
        <f t="shared" si="29"/>
        <v>45766.506448029038</v>
      </c>
      <c r="AP62" s="167">
        <f t="shared" si="30"/>
        <v>2517.1578546415972</v>
      </c>
      <c r="AQ62" s="165">
        <v>0</v>
      </c>
      <c r="AR62" s="166">
        <f t="shared" si="31"/>
        <v>0</v>
      </c>
      <c r="AS62" s="33">
        <f t="shared" si="32"/>
        <v>48483.664302670637</v>
      </c>
      <c r="AT62" s="167">
        <f t="shared" si="33"/>
        <v>3393.856501186945</v>
      </c>
      <c r="AU62" s="165">
        <v>0</v>
      </c>
      <c r="AV62" s="166">
        <f t="shared" si="34"/>
        <v>0</v>
      </c>
      <c r="AW62" s="33">
        <f t="shared" si="35"/>
        <v>52077.52080385758</v>
      </c>
      <c r="AX62" s="167">
        <f t="shared" si="36"/>
        <v>3645.4264562700309</v>
      </c>
      <c r="AY62" s="165">
        <v>0</v>
      </c>
      <c r="AZ62" s="166">
        <f t="shared" si="37"/>
        <v>0</v>
      </c>
      <c r="BA62" s="33">
        <f t="shared" si="38"/>
        <v>55922.947260127614</v>
      </c>
      <c r="BB62" s="167">
        <f t="shared" si="39"/>
        <v>3914.6063082089331</v>
      </c>
      <c r="BC62" s="165">
        <v>0</v>
      </c>
      <c r="BD62" s="166">
        <f t="shared" si="40"/>
        <v>0</v>
      </c>
      <c r="BE62" s="33">
        <f t="shared" si="41"/>
        <v>60037.553568336545</v>
      </c>
      <c r="BF62" s="167">
        <f t="shared" si="42"/>
        <v>4202.6287497835583</v>
      </c>
      <c r="BG62" s="165">
        <v>0</v>
      </c>
      <c r="BH62" s="166">
        <f t="shared" si="43"/>
        <v>0</v>
      </c>
      <c r="BI62" s="33">
        <f t="shared" si="44"/>
        <v>64440.182318120103</v>
      </c>
      <c r="BJ62" s="167">
        <f t="shared" si="45"/>
        <v>4510.8127622684078</v>
      </c>
      <c r="BK62" s="87">
        <f t="shared" si="46"/>
        <v>0</v>
      </c>
      <c r="BL62" s="33">
        <f>'2023-2024'!BL62+'2024-2025'!BK62</f>
        <v>3100</v>
      </c>
    </row>
    <row r="63" spans="1:64">
      <c r="A63" s="10" t="s">
        <v>634</v>
      </c>
      <c r="B63" s="10" t="s">
        <v>127</v>
      </c>
      <c r="C63" s="80">
        <v>0</v>
      </c>
      <c r="D63" s="79">
        <f t="shared" si="0"/>
        <v>2400</v>
      </c>
      <c r="E63" s="78">
        <f>'2023-2024'!I63</f>
        <v>29911.525936146965</v>
      </c>
      <c r="F63" s="187">
        <f t="shared" si="1"/>
        <v>2400</v>
      </c>
      <c r="G63" s="33">
        <f t="shared" si="2"/>
        <v>0</v>
      </c>
      <c r="H63" s="190">
        <f t="shared" si="3"/>
        <v>2400</v>
      </c>
      <c r="I63" s="78">
        <f t="shared" si="4"/>
        <v>64704.522522040745</v>
      </c>
      <c r="J63" s="78">
        <f t="shared" si="5"/>
        <v>0</v>
      </c>
      <c r="K63" s="78">
        <f t="shared" si="6"/>
        <v>0</v>
      </c>
      <c r="L63" s="78">
        <f t="shared" si="7"/>
        <v>32392.996585893776</v>
      </c>
      <c r="M63" s="194">
        <f t="shared" si="8"/>
        <v>32392.996585893776</v>
      </c>
      <c r="N63" s="78">
        <f t="shared" si="9"/>
        <v>-32392.996585893776</v>
      </c>
      <c r="O63" s="165">
        <v>0</v>
      </c>
      <c r="P63" s="166">
        <f t="shared" si="10"/>
        <v>0</v>
      </c>
      <c r="Q63" s="119">
        <f t="shared" si="11"/>
        <v>30111.525936146965</v>
      </c>
      <c r="R63" s="167">
        <f t="shared" si="12"/>
        <v>1656.133926488083</v>
      </c>
      <c r="S63" s="165">
        <v>0</v>
      </c>
      <c r="T63" s="166">
        <f t="shared" si="13"/>
        <v>0</v>
      </c>
      <c r="U63" s="33">
        <f t="shared" si="14"/>
        <v>31967.65986263505</v>
      </c>
      <c r="V63" s="167">
        <f t="shared" si="15"/>
        <v>1758.2212924449277</v>
      </c>
      <c r="W63" s="165">
        <v>0</v>
      </c>
      <c r="X63" s="166">
        <f t="shared" si="16"/>
        <v>0</v>
      </c>
      <c r="Y63" s="33">
        <f t="shared" si="17"/>
        <v>33925.88115507998</v>
      </c>
      <c r="Z63" s="167">
        <f t="shared" si="18"/>
        <v>1865.923463529399</v>
      </c>
      <c r="AA63" s="165">
        <v>0</v>
      </c>
      <c r="AB63" s="166">
        <f t="shared" si="19"/>
        <v>0</v>
      </c>
      <c r="AC63" s="33">
        <f t="shared" si="20"/>
        <v>35991.804618609378</v>
      </c>
      <c r="AD63" s="167">
        <f t="shared" si="21"/>
        <v>1979.5492540235157</v>
      </c>
      <c r="AE63" s="165">
        <v>0</v>
      </c>
      <c r="AF63" s="166">
        <f t="shared" si="22"/>
        <v>0</v>
      </c>
      <c r="AG63" s="33">
        <f t="shared" si="23"/>
        <v>38171.353872632892</v>
      </c>
      <c r="AH63" s="167">
        <f t="shared" si="24"/>
        <v>2099.4244629948089</v>
      </c>
      <c r="AI63" s="165">
        <v>0</v>
      </c>
      <c r="AJ63" s="166">
        <f t="shared" si="25"/>
        <v>0</v>
      </c>
      <c r="AK63" s="33">
        <f t="shared" si="26"/>
        <v>40470.7783356277</v>
      </c>
      <c r="AL63" s="167">
        <f t="shared" si="27"/>
        <v>2225.8928084595236</v>
      </c>
      <c r="AM63" s="165">
        <v>0</v>
      </c>
      <c r="AN63" s="166">
        <f t="shared" si="28"/>
        <v>0</v>
      </c>
      <c r="AO63" s="33">
        <f t="shared" si="29"/>
        <v>42896.671144087224</v>
      </c>
      <c r="AP63" s="167">
        <f t="shared" si="30"/>
        <v>2359.3169129247972</v>
      </c>
      <c r="AQ63" s="165">
        <v>0</v>
      </c>
      <c r="AR63" s="166">
        <f t="shared" si="31"/>
        <v>0</v>
      </c>
      <c r="AS63" s="33">
        <f t="shared" si="32"/>
        <v>45455.988057012022</v>
      </c>
      <c r="AT63" s="167">
        <f t="shared" si="33"/>
        <v>3181.9191639908418</v>
      </c>
      <c r="AU63" s="165">
        <v>0</v>
      </c>
      <c r="AV63" s="166">
        <f t="shared" si="34"/>
        <v>0</v>
      </c>
      <c r="AW63" s="33">
        <f t="shared" si="35"/>
        <v>48837.907221002861</v>
      </c>
      <c r="AX63" s="167">
        <f t="shared" si="36"/>
        <v>3418.6535054702008</v>
      </c>
      <c r="AY63" s="165">
        <v>0</v>
      </c>
      <c r="AZ63" s="166">
        <f t="shared" si="37"/>
        <v>0</v>
      </c>
      <c r="BA63" s="33">
        <f t="shared" si="38"/>
        <v>52456.560726473064</v>
      </c>
      <c r="BB63" s="167">
        <f t="shared" si="39"/>
        <v>3671.959250853115</v>
      </c>
      <c r="BC63" s="165">
        <v>0</v>
      </c>
      <c r="BD63" s="166">
        <f t="shared" si="40"/>
        <v>0</v>
      </c>
      <c r="BE63" s="33">
        <f t="shared" si="41"/>
        <v>56328.519977326177</v>
      </c>
      <c r="BF63" s="167">
        <f t="shared" si="42"/>
        <v>3942.9963984128326</v>
      </c>
      <c r="BG63" s="165">
        <v>0</v>
      </c>
      <c r="BH63" s="166">
        <f t="shared" si="43"/>
        <v>0</v>
      </c>
      <c r="BI63" s="33">
        <f t="shared" si="44"/>
        <v>60471.516375739011</v>
      </c>
      <c r="BJ63" s="167">
        <f t="shared" si="45"/>
        <v>4233.006146301731</v>
      </c>
      <c r="BK63" s="87">
        <f t="shared" si="46"/>
        <v>0</v>
      </c>
      <c r="BL63" s="33">
        <f>'2023-2024'!BL63+'2024-2025'!BK63</f>
        <v>3600</v>
      </c>
    </row>
    <row r="64" spans="1:64">
      <c r="A64" s="10" t="s">
        <v>635</v>
      </c>
      <c r="B64" s="10" t="s">
        <v>128</v>
      </c>
      <c r="C64" s="80">
        <v>0</v>
      </c>
      <c r="D64" s="79">
        <f t="shared" si="0"/>
        <v>2400</v>
      </c>
      <c r="E64" s="78">
        <f>'2023-2024'!I64</f>
        <v>41525.381349877753</v>
      </c>
      <c r="F64" s="187">
        <f t="shared" si="1"/>
        <v>2400</v>
      </c>
      <c r="G64" s="33">
        <f t="shared" si="2"/>
        <v>0</v>
      </c>
      <c r="H64" s="190">
        <f t="shared" si="3"/>
        <v>2400</v>
      </c>
      <c r="I64" s="78">
        <f t="shared" si="4"/>
        <v>88399.839397621283</v>
      </c>
      <c r="J64" s="78">
        <f t="shared" si="5"/>
        <v>0</v>
      </c>
      <c r="K64" s="78">
        <f t="shared" si="6"/>
        <v>0</v>
      </c>
      <c r="L64" s="78">
        <f t="shared" si="7"/>
        <v>44474.458047743537</v>
      </c>
      <c r="M64" s="194">
        <f t="shared" si="8"/>
        <v>44474.458047743537</v>
      </c>
      <c r="N64" s="78">
        <f t="shared" si="9"/>
        <v>-44474.458047743537</v>
      </c>
      <c r="O64" s="165">
        <v>0</v>
      </c>
      <c r="P64" s="166">
        <f t="shared" si="10"/>
        <v>0</v>
      </c>
      <c r="Q64" s="119">
        <f t="shared" si="11"/>
        <v>41725.381349877753</v>
      </c>
      <c r="R64" s="167">
        <f t="shared" si="12"/>
        <v>2294.8959742432762</v>
      </c>
      <c r="S64" s="165">
        <v>0</v>
      </c>
      <c r="T64" s="166">
        <f t="shared" si="13"/>
        <v>0</v>
      </c>
      <c r="U64" s="33">
        <f t="shared" si="14"/>
        <v>44220.277324121031</v>
      </c>
      <c r="V64" s="167">
        <f t="shared" si="15"/>
        <v>2432.1152528266566</v>
      </c>
      <c r="W64" s="165">
        <v>0</v>
      </c>
      <c r="X64" s="166">
        <f t="shared" si="16"/>
        <v>0</v>
      </c>
      <c r="Y64" s="33">
        <f t="shared" si="17"/>
        <v>46852.392576947685</v>
      </c>
      <c r="Z64" s="167">
        <f t="shared" si="18"/>
        <v>2576.8815917321226</v>
      </c>
      <c r="AA64" s="165">
        <v>0</v>
      </c>
      <c r="AB64" s="166">
        <f t="shared" si="19"/>
        <v>0</v>
      </c>
      <c r="AC64" s="33">
        <f t="shared" si="20"/>
        <v>49629.274168679811</v>
      </c>
      <c r="AD64" s="167">
        <f t="shared" si="21"/>
        <v>2729.6100792773896</v>
      </c>
      <c r="AE64" s="165">
        <v>0</v>
      </c>
      <c r="AF64" s="166">
        <f t="shared" si="22"/>
        <v>0</v>
      </c>
      <c r="AG64" s="33">
        <f t="shared" si="23"/>
        <v>52558.884247957198</v>
      </c>
      <c r="AH64" s="167">
        <f t="shared" si="24"/>
        <v>2890.7386336376458</v>
      </c>
      <c r="AI64" s="165">
        <v>0</v>
      </c>
      <c r="AJ64" s="166">
        <f t="shared" si="25"/>
        <v>0</v>
      </c>
      <c r="AK64" s="33">
        <f t="shared" si="26"/>
        <v>55649.622881594842</v>
      </c>
      <c r="AL64" s="167">
        <f t="shared" si="27"/>
        <v>3060.7292584877164</v>
      </c>
      <c r="AM64" s="165">
        <v>0</v>
      </c>
      <c r="AN64" s="166">
        <f t="shared" si="28"/>
        <v>0</v>
      </c>
      <c r="AO64" s="33">
        <f t="shared" si="29"/>
        <v>58910.352140082556</v>
      </c>
      <c r="AP64" s="167">
        <f t="shared" si="30"/>
        <v>3240.0693677045406</v>
      </c>
      <c r="AQ64" s="165">
        <v>0</v>
      </c>
      <c r="AR64" s="166">
        <f t="shared" si="31"/>
        <v>0</v>
      </c>
      <c r="AS64" s="33">
        <f t="shared" si="32"/>
        <v>62350.421507787098</v>
      </c>
      <c r="AT64" s="167">
        <f t="shared" si="33"/>
        <v>4364.529505545097</v>
      </c>
      <c r="AU64" s="165">
        <v>0</v>
      </c>
      <c r="AV64" s="166">
        <f t="shared" si="34"/>
        <v>0</v>
      </c>
      <c r="AW64" s="33">
        <f t="shared" si="35"/>
        <v>66914.951013332189</v>
      </c>
      <c r="AX64" s="167">
        <f t="shared" si="36"/>
        <v>4684.0465709332539</v>
      </c>
      <c r="AY64" s="165">
        <v>0</v>
      </c>
      <c r="AZ64" s="166">
        <f t="shared" si="37"/>
        <v>0</v>
      </c>
      <c r="BA64" s="33">
        <f t="shared" si="38"/>
        <v>71798.997584265438</v>
      </c>
      <c r="BB64" s="167">
        <f t="shared" si="39"/>
        <v>5025.9298308985808</v>
      </c>
      <c r="BC64" s="165">
        <v>0</v>
      </c>
      <c r="BD64" s="166">
        <f t="shared" si="40"/>
        <v>0</v>
      </c>
      <c r="BE64" s="33">
        <f t="shared" si="41"/>
        <v>77024.927415164013</v>
      </c>
      <c r="BF64" s="167">
        <f t="shared" si="42"/>
        <v>5391.7449190614816</v>
      </c>
      <c r="BG64" s="165">
        <v>0</v>
      </c>
      <c r="BH64" s="166">
        <f t="shared" si="43"/>
        <v>0</v>
      </c>
      <c r="BI64" s="33">
        <f t="shared" si="44"/>
        <v>82616.672334225499</v>
      </c>
      <c r="BJ64" s="167">
        <f t="shared" si="45"/>
        <v>5783.1670633957856</v>
      </c>
      <c r="BK64" s="87">
        <f t="shared" si="46"/>
        <v>0</v>
      </c>
      <c r="BL64" s="33">
        <f>'2023-2024'!BL64+'2024-2025'!BK64</f>
        <v>710</v>
      </c>
    </row>
    <row r="65" spans="1:66">
      <c r="A65" s="10" t="s">
        <v>636</v>
      </c>
      <c r="B65" s="10" t="s">
        <v>128</v>
      </c>
      <c r="C65" s="80">
        <v>0</v>
      </c>
      <c r="D65" s="79">
        <f t="shared" si="0"/>
        <v>2400</v>
      </c>
      <c r="E65" s="78">
        <f>'2023-2024'!I65</f>
        <v>43232.076948311311</v>
      </c>
      <c r="F65" s="187">
        <f t="shared" si="1"/>
        <v>2400</v>
      </c>
      <c r="G65" s="33">
        <f t="shared" si="2"/>
        <v>0</v>
      </c>
      <c r="H65" s="190">
        <f t="shared" si="3"/>
        <v>2400</v>
      </c>
      <c r="I65" s="78">
        <f t="shared" si="4"/>
        <v>91881.946895466477</v>
      </c>
      <c r="J65" s="78">
        <f t="shared" si="5"/>
        <v>0</v>
      </c>
      <c r="K65" s="78">
        <f t="shared" si="6"/>
        <v>0</v>
      </c>
      <c r="L65" s="78">
        <f t="shared" si="7"/>
        <v>46249.869947155166</v>
      </c>
      <c r="M65" s="194">
        <f t="shared" si="8"/>
        <v>46249.869947155166</v>
      </c>
      <c r="N65" s="78">
        <f t="shared" si="9"/>
        <v>-46249.869947155166</v>
      </c>
      <c r="O65" s="165">
        <v>0</v>
      </c>
      <c r="P65" s="166">
        <f t="shared" si="10"/>
        <v>0</v>
      </c>
      <c r="Q65" s="119">
        <f t="shared" si="11"/>
        <v>43432.076948311311</v>
      </c>
      <c r="R65" s="167">
        <f t="shared" si="12"/>
        <v>2388.764232157122</v>
      </c>
      <c r="S65" s="165">
        <v>0</v>
      </c>
      <c r="T65" s="166">
        <f t="shared" si="13"/>
        <v>0</v>
      </c>
      <c r="U65" s="33">
        <f t="shared" si="14"/>
        <v>46020.841180468429</v>
      </c>
      <c r="V65" s="167">
        <f t="shared" si="15"/>
        <v>2531.1462649257637</v>
      </c>
      <c r="W65" s="165">
        <v>0</v>
      </c>
      <c r="X65" s="166">
        <f t="shared" si="16"/>
        <v>0</v>
      </c>
      <c r="Y65" s="33">
        <f t="shared" si="17"/>
        <v>48751.987445394196</v>
      </c>
      <c r="Z65" s="167">
        <f t="shared" si="18"/>
        <v>2681.3593094966809</v>
      </c>
      <c r="AA65" s="165">
        <v>0</v>
      </c>
      <c r="AB65" s="166">
        <f t="shared" si="19"/>
        <v>0</v>
      </c>
      <c r="AC65" s="33">
        <f t="shared" si="20"/>
        <v>51633.346754890874</v>
      </c>
      <c r="AD65" s="167">
        <f t="shared" si="21"/>
        <v>2839.8340715189979</v>
      </c>
      <c r="AE65" s="165">
        <v>0</v>
      </c>
      <c r="AF65" s="166">
        <f t="shared" si="22"/>
        <v>0</v>
      </c>
      <c r="AG65" s="33">
        <f t="shared" si="23"/>
        <v>54673.180826409873</v>
      </c>
      <c r="AH65" s="167">
        <f t="shared" si="24"/>
        <v>3007.0249454525429</v>
      </c>
      <c r="AI65" s="165">
        <v>0</v>
      </c>
      <c r="AJ65" s="166">
        <f t="shared" si="25"/>
        <v>0</v>
      </c>
      <c r="AK65" s="33">
        <f t="shared" si="26"/>
        <v>57880.205771862413</v>
      </c>
      <c r="AL65" s="167">
        <f t="shared" si="27"/>
        <v>3183.4113174524327</v>
      </c>
      <c r="AM65" s="165">
        <v>0</v>
      </c>
      <c r="AN65" s="166">
        <f t="shared" si="28"/>
        <v>0</v>
      </c>
      <c r="AO65" s="33">
        <f t="shared" si="29"/>
        <v>61263.617089314845</v>
      </c>
      <c r="AP65" s="167">
        <f t="shared" si="30"/>
        <v>3369.4989399123165</v>
      </c>
      <c r="AQ65" s="165">
        <v>0</v>
      </c>
      <c r="AR65" s="166">
        <f t="shared" si="31"/>
        <v>0</v>
      </c>
      <c r="AS65" s="33">
        <f t="shared" si="32"/>
        <v>64833.11602922716</v>
      </c>
      <c r="AT65" s="167">
        <f t="shared" si="33"/>
        <v>4538.3181220459019</v>
      </c>
      <c r="AU65" s="165">
        <v>0</v>
      </c>
      <c r="AV65" s="166">
        <f t="shared" si="34"/>
        <v>0</v>
      </c>
      <c r="AW65" s="33">
        <f t="shared" si="35"/>
        <v>69571.434151273061</v>
      </c>
      <c r="AX65" s="167">
        <f t="shared" si="36"/>
        <v>4870.0003905891144</v>
      </c>
      <c r="AY65" s="165">
        <v>0</v>
      </c>
      <c r="AZ65" s="166">
        <f t="shared" si="37"/>
        <v>0</v>
      </c>
      <c r="BA65" s="33">
        <f t="shared" si="38"/>
        <v>74641.434541862182</v>
      </c>
      <c r="BB65" s="167">
        <f t="shared" si="39"/>
        <v>5224.9004179303529</v>
      </c>
      <c r="BC65" s="165">
        <v>0</v>
      </c>
      <c r="BD65" s="166">
        <f t="shared" si="40"/>
        <v>0</v>
      </c>
      <c r="BE65" s="33">
        <f t="shared" si="41"/>
        <v>80066.334959792541</v>
      </c>
      <c r="BF65" s="167">
        <f t="shared" si="42"/>
        <v>5604.6434471854782</v>
      </c>
      <c r="BG65" s="165">
        <v>0</v>
      </c>
      <c r="BH65" s="166">
        <f t="shared" si="43"/>
        <v>0</v>
      </c>
      <c r="BI65" s="33">
        <f t="shared" si="44"/>
        <v>85870.978406978014</v>
      </c>
      <c r="BJ65" s="167">
        <f t="shared" si="45"/>
        <v>6010.9684884884618</v>
      </c>
      <c r="BK65" s="87">
        <f t="shared" si="46"/>
        <v>0</v>
      </c>
      <c r="BL65" s="33">
        <f>'2023-2024'!BL65+'2024-2025'!BK65</f>
        <v>300</v>
      </c>
    </row>
    <row r="66" spans="1:66">
      <c r="A66" s="10" t="s">
        <v>637</v>
      </c>
      <c r="B66" s="10" t="s">
        <v>155</v>
      </c>
      <c r="C66" s="80">
        <v>0</v>
      </c>
      <c r="D66" s="79">
        <f t="shared" ref="D66:D90" si="47">200*12</f>
        <v>2400</v>
      </c>
      <c r="E66" s="78">
        <f>'2023-2024'!I66</f>
        <v>34490.465346578465</v>
      </c>
      <c r="F66" s="187">
        <f t="shared" ref="F66:F90" si="48">C66+D66</f>
        <v>2400</v>
      </c>
      <c r="G66" s="33">
        <f t="shared" ref="G66:G90" si="49">BK66</f>
        <v>0</v>
      </c>
      <c r="H66" s="190">
        <f t="shared" ref="H66:H90" si="50">F66-G66-C66</f>
        <v>2400</v>
      </c>
      <c r="I66" s="78">
        <f t="shared" ref="I66:I90" si="51">H66+L66+E66</f>
        <v>74046.762150405848</v>
      </c>
      <c r="J66" s="78">
        <f t="shared" ref="J66:J90" si="52">P66+T66+X66+AB66+AF66+AJ66+AN66+AR66+AV66+AZ66+BD66+BH66</f>
        <v>0</v>
      </c>
      <c r="K66" s="78">
        <f t="shared" ref="K66:K90" si="53">(G66-J66-C66)*5.5%</f>
        <v>0</v>
      </c>
      <c r="L66" s="78">
        <f t="shared" ref="L66:L90" si="54">R66+V66+Z66+AD66+AH66+AL66+AP66+AT66+AX66+BB66+BF66+BJ66</f>
        <v>37156.296803827376</v>
      </c>
      <c r="M66" s="194">
        <f t="shared" ref="M66:M90" si="55">L66</f>
        <v>37156.296803827376</v>
      </c>
      <c r="N66" s="78">
        <f t="shared" ref="N66:N90" si="56">G66-J66-L66+K66</f>
        <v>-37156.296803827376</v>
      </c>
      <c r="O66" s="165">
        <v>0</v>
      </c>
      <c r="P66" s="166">
        <f t="shared" ref="P66:P90" si="57">O66*0%</f>
        <v>0</v>
      </c>
      <c r="Q66" s="119">
        <f t="shared" ref="Q66:Q90" si="58">E66+200</f>
        <v>34690.465346578465</v>
      </c>
      <c r="R66" s="167">
        <f t="shared" ref="R66:R90" si="59">(Q66-O66)*0.055</f>
        <v>1907.9755940618156</v>
      </c>
      <c r="S66" s="165">
        <v>0</v>
      </c>
      <c r="T66" s="166">
        <f t="shared" ref="T66:T90" si="60">S66*0%</f>
        <v>0</v>
      </c>
      <c r="U66" s="33">
        <f t="shared" ref="U66:U90" si="61">Q66-S66+200+R66</f>
        <v>36798.440940640277</v>
      </c>
      <c r="V66" s="167">
        <f t="shared" ref="V66:V90" si="62">(U66-S66)*0.055</f>
        <v>2023.9142517352152</v>
      </c>
      <c r="W66" s="165">
        <v>0</v>
      </c>
      <c r="X66" s="166">
        <f t="shared" ref="X66:X90" si="63">W66*0%</f>
        <v>0</v>
      </c>
      <c r="Y66" s="33">
        <f t="shared" ref="Y66:Y90" si="64">U66-W66+200+V66</f>
        <v>39022.355192375493</v>
      </c>
      <c r="Z66" s="167">
        <f t="shared" ref="Z66:Z90" si="65">(Y66-W66)*0.055</f>
        <v>2146.2295355806523</v>
      </c>
      <c r="AA66" s="165">
        <v>0</v>
      </c>
      <c r="AB66" s="166">
        <f t="shared" ref="AB66:AB90" si="66">AA66*0%</f>
        <v>0</v>
      </c>
      <c r="AC66" s="33">
        <f t="shared" ref="AC66:AC90" si="67">Y66-AA66+200+Z66</f>
        <v>41368.584727956142</v>
      </c>
      <c r="AD66" s="167">
        <f t="shared" ref="AD66:AD90" si="68">(AC66-AA66)*0.055</f>
        <v>2275.272160037588</v>
      </c>
      <c r="AE66" s="165">
        <v>0</v>
      </c>
      <c r="AF66" s="166">
        <f t="shared" ref="AF66:AF90" si="69">AE66*0%</f>
        <v>0</v>
      </c>
      <c r="AG66" s="33">
        <f t="shared" ref="AG66:AG90" si="70">AC66-AE66+200+AD66</f>
        <v>43843.85688799373</v>
      </c>
      <c r="AH66" s="167">
        <f t="shared" ref="AH66:AH90" si="71">(AG66-AE66)*0.055</f>
        <v>2411.412128839655</v>
      </c>
      <c r="AI66" s="165">
        <v>0</v>
      </c>
      <c r="AJ66" s="166">
        <f t="shared" ref="AJ66:AJ90" si="72">AI66*0%</f>
        <v>0</v>
      </c>
      <c r="AK66" s="33">
        <f t="shared" ref="AK66:AK90" si="73">AG66-AI66+200+AH66</f>
        <v>46455.269016833387</v>
      </c>
      <c r="AL66" s="167">
        <f t="shared" ref="AL66:AL90" si="74">(AK66-AI66)*0.055</f>
        <v>2555.0397959258362</v>
      </c>
      <c r="AM66" s="165">
        <v>0</v>
      </c>
      <c r="AN66" s="166">
        <f t="shared" ref="AN66:AN90" si="75">AM66*0%</f>
        <v>0</v>
      </c>
      <c r="AO66" s="33">
        <f t="shared" ref="AO66:AO90" si="76">AK66-AM66+200+AL66</f>
        <v>49210.30881275922</v>
      </c>
      <c r="AP66" s="167">
        <f t="shared" ref="AP66:AP90" si="77">(AO66-AM66)*0.055</f>
        <v>2706.5669847017571</v>
      </c>
      <c r="AQ66" s="165">
        <v>0</v>
      </c>
      <c r="AR66" s="166">
        <f t="shared" ref="AR66:AR90" si="78">AQ66*0%</f>
        <v>0</v>
      </c>
      <c r="AS66" s="33">
        <f t="shared" ref="AS66:AS90" si="79">AO66-AQ66+200+AP66</f>
        <v>52116.875797460976</v>
      </c>
      <c r="AT66" s="167">
        <f t="shared" ref="AT66:AT90" si="80">(AS66-AQ66)*0.07</f>
        <v>3648.1813058222688</v>
      </c>
      <c r="AU66" s="165">
        <v>0</v>
      </c>
      <c r="AV66" s="166">
        <f t="shared" ref="AV66:AV90" si="81">AU66*0%</f>
        <v>0</v>
      </c>
      <c r="AW66" s="33">
        <f t="shared" ref="AW66:AW90" si="82">AS66-AU66+200+AT66</f>
        <v>55965.057103283245</v>
      </c>
      <c r="AX66" s="167">
        <f t="shared" ref="AX66:AX90" si="83">(AW66-AU66)*0.07</f>
        <v>3917.5539972298275</v>
      </c>
      <c r="AY66" s="165">
        <v>0</v>
      </c>
      <c r="AZ66" s="166">
        <f t="shared" ref="AZ66:AZ90" si="84">AY66*0%</f>
        <v>0</v>
      </c>
      <c r="BA66" s="33">
        <f t="shared" ref="BA66:BA90" si="85">AW66-AY66+200+AX66</f>
        <v>60082.611100513073</v>
      </c>
      <c r="BB66" s="167">
        <f t="shared" ref="BB66:BB90" si="86">(BA66-AY66)*0.07</f>
        <v>4205.7827770359154</v>
      </c>
      <c r="BC66" s="165">
        <v>0</v>
      </c>
      <c r="BD66" s="166">
        <f t="shared" ref="BD66:BD90" si="87">BC66*0%</f>
        <v>0</v>
      </c>
      <c r="BE66" s="33">
        <f t="shared" ref="BE66:BE90" si="88">BA66-BC66+200+BB66</f>
        <v>64488.393877548988</v>
      </c>
      <c r="BF66" s="167">
        <f t="shared" ref="BF66:BF90" si="89">(BE66-BC66)*0.07</f>
        <v>4514.1875714284297</v>
      </c>
      <c r="BG66" s="165">
        <v>0</v>
      </c>
      <c r="BH66" s="166">
        <f t="shared" ref="BH66:BH90" si="90">BG66*0%</f>
        <v>0</v>
      </c>
      <c r="BI66" s="33">
        <f t="shared" ref="BI66:BI90" si="91">BE66-BG66+200+BF66</f>
        <v>69202.58144897742</v>
      </c>
      <c r="BJ66" s="167">
        <f t="shared" ref="BJ66:BJ90" si="92">(BI66-BG66)*0.07</f>
        <v>4844.1807014284195</v>
      </c>
      <c r="BK66" s="87">
        <f t="shared" ref="BK66:BK90" si="93">O66+S66+W66+AA66+AE66+AI66+AQ66+AM66+AU66+AY66+BC66+BG66</f>
        <v>0</v>
      </c>
      <c r="BL66" s="33">
        <f>'2023-2024'!BL66+'2024-2025'!BK66</f>
        <v>2500</v>
      </c>
    </row>
    <row r="67" spans="1:66">
      <c r="A67" s="10" t="s">
        <v>638</v>
      </c>
      <c r="B67" s="10" t="s">
        <v>126</v>
      </c>
      <c r="C67" s="80">
        <v>0</v>
      </c>
      <c r="D67" s="79">
        <f t="shared" si="47"/>
        <v>2400</v>
      </c>
      <c r="E67" s="78">
        <f>'2023-2024'!I67</f>
        <v>29832.820430449872</v>
      </c>
      <c r="F67" s="187">
        <f t="shared" si="48"/>
        <v>2400</v>
      </c>
      <c r="G67" s="33">
        <f t="shared" si="49"/>
        <v>0</v>
      </c>
      <c r="H67" s="190">
        <f t="shared" si="50"/>
        <v>2400</v>
      </c>
      <c r="I67" s="78">
        <f t="shared" si="51"/>
        <v>64543.942608574587</v>
      </c>
      <c r="J67" s="78">
        <f t="shared" si="52"/>
        <v>0</v>
      </c>
      <c r="K67" s="78">
        <f t="shared" si="53"/>
        <v>0</v>
      </c>
      <c r="L67" s="78">
        <f t="shared" si="54"/>
        <v>32311.122178124711</v>
      </c>
      <c r="M67" s="194">
        <f t="shared" si="55"/>
        <v>32311.122178124711</v>
      </c>
      <c r="N67" s="78">
        <f t="shared" si="56"/>
        <v>-32311.122178124711</v>
      </c>
      <c r="O67" s="165">
        <v>0</v>
      </c>
      <c r="P67" s="166">
        <f t="shared" si="57"/>
        <v>0</v>
      </c>
      <c r="Q67" s="119">
        <f t="shared" si="58"/>
        <v>30032.820430449872</v>
      </c>
      <c r="R67" s="167">
        <f t="shared" si="59"/>
        <v>1651.8051236747431</v>
      </c>
      <c r="S67" s="165">
        <v>0</v>
      </c>
      <c r="T67" s="166">
        <f t="shared" si="60"/>
        <v>0</v>
      </c>
      <c r="U67" s="33">
        <f t="shared" si="61"/>
        <v>31884.625554124614</v>
      </c>
      <c r="V67" s="167">
        <f t="shared" si="62"/>
        <v>1753.6544054768538</v>
      </c>
      <c r="W67" s="165">
        <v>0</v>
      </c>
      <c r="X67" s="166">
        <f t="shared" si="63"/>
        <v>0</v>
      </c>
      <c r="Y67" s="33">
        <f t="shared" si="64"/>
        <v>33838.279959601467</v>
      </c>
      <c r="Z67" s="167">
        <f t="shared" si="65"/>
        <v>1861.1053977780807</v>
      </c>
      <c r="AA67" s="165">
        <v>0</v>
      </c>
      <c r="AB67" s="166">
        <f t="shared" si="66"/>
        <v>0</v>
      </c>
      <c r="AC67" s="33">
        <f t="shared" si="67"/>
        <v>35899.38535737955</v>
      </c>
      <c r="AD67" s="167">
        <f t="shared" si="68"/>
        <v>1974.4661946558751</v>
      </c>
      <c r="AE67" s="165">
        <v>0</v>
      </c>
      <c r="AF67" s="166">
        <f t="shared" si="69"/>
        <v>0</v>
      </c>
      <c r="AG67" s="33">
        <f t="shared" si="70"/>
        <v>38073.851552035427</v>
      </c>
      <c r="AH67" s="167">
        <f t="shared" si="71"/>
        <v>2094.0618353619484</v>
      </c>
      <c r="AI67" s="165">
        <v>0</v>
      </c>
      <c r="AJ67" s="166">
        <f t="shared" si="72"/>
        <v>0</v>
      </c>
      <c r="AK67" s="33">
        <f t="shared" si="73"/>
        <v>40367.913387397377</v>
      </c>
      <c r="AL67" s="167">
        <f t="shared" si="74"/>
        <v>2220.2352363068558</v>
      </c>
      <c r="AM67" s="165">
        <v>0</v>
      </c>
      <c r="AN67" s="166">
        <f t="shared" si="75"/>
        <v>0</v>
      </c>
      <c r="AO67" s="33">
        <f t="shared" si="76"/>
        <v>42788.148623704234</v>
      </c>
      <c r="AP67" s="167">
        <f t="shared" si="77"/>
        <v>2353.3481743037328</v>
      </c>
      <c r="AQ67" s="165">
        <v>0</v>
      </c>
      <c r="AR67" s="166">
        <f t="shared" si="78"/>
        <v>0</v>
      </c>
      <c r="AS67" s="33">
        <f t="shared" si="79"/>
        <v>45341.496798007967</v>
      </c>
      <c r="AT67" s="167">
        <f t="shared" si="80"/>
        <v>3173.9047758605579</v>
      </c>
      <c r="AU67" s="165">
        <v>0</v>
      </c>
      <c r="AV67" s="166">
        <f t="shared" si="81"/>
        <v>0</v>
      </c>
      <c r="AW67" s="33">
        <f t="shared" si="82"/>
        <v>48715.401573868527</v>
      </c>
      <c r="AX67" s="167">
        <f t="shared" si="83"/>
        <v>3410.0781101707971</v>
      </c>
      <c r="AY67" s="165">
        <v>0</v>
      </c>
      <c r="AZ67" s="166">
        <f t="shared" si="84"/>
        <v>0</v>
      </c>
      <c r="BA67" s="33">
        <f t="shared" si="85"/>
        <v>52325.479684039325</v>
      </c>
      <c r="BB67" s="167">
        <f t="shared" si="86"/>
        <v>3662.783577882753</v>
      </c>
      <c r="BC67" s="165">
        <v>0</v>
      </c>
      <c r="BD67" s="166">
        <f t="shared" si="87"/>
        <v>0</v>
      </c>
      <c r="BE67" s="33">
        <f t="shared" si="88"/>
        <v>56188.263261922075</v>
      </c>
      <c r="BF67" s="167">
        <f t="shared" si="89"/>
        <v>3933.1784283345455</v>
      </c>
      <c r="BG67" s="165">
        <v>0</v>
      </c>
      <c r="BH67" s="166">
        <f t="shared" si="90"/>
        <v>0</v>
      </c>
      <c r="BI67" s="33">
        <f t="shared" si="91"/>
        <v>60321.441690256623</v>
      </c>
      <c r="BJ67" s="167">
        <f t="shared" si="92"/>
        <v>4222.5009183179636</v>
      </c>
      <c r="BK67" s="87">
        <f t="shared" si="93"/>
        <v>0</v>
      </c>
      <c r="BL67" s="33">
        <f>'2023-2024'!BL67+'2024-2025'!BK67</f>
        <v>5000</v>
      </c>
    </row>
    <row r="68" spans="1:66">
      <c r="A68" s="10" t="s">
        <v>639</v>
      </c>
      <c r="B68" s="10" t="s">
        <v>116</v>
      </c>
      <c r="C68" s="80">
        <v>0</v>
      </c>
      <c r="D68" s="79">
        <f t="shared" si="47"/>
        <v>2400</v>
      </c>
      <c r="E68" s="78">
        <f>'2023-2024'!I68</f>
        <v>13677.104390071667</v>
      </c>
      <c r="F68" s="187">
        <f t="shared" si="48"/>
        <v>2400</v>
      </c>
      <c r="G68" s="33">
        <f t="shared" si="49"/>
        <v>0</v>
      </c>
      <c r="H68" s="190">
        <f t="shared" si="50"/>
        <v>2400</v>
      </c>
      <c r="I68" s="78">
        <f t="shared" si="51"/>
        <v>31582.036566928116</v>
      </c>
      <c r="J68" s="78">
        <f t="shared" si="52"/>
        <v>0</v>
      </c>
      <c r="K68" s="78">
        <f t="shared" si="53"/>
        <v>0</v>
      </c>
      <c r="L68" s="78">
        <f t="shared" si="54"/>
        <v>15504.932176856451</v>
      </c>
      <c r="M68" s="194">
        <f t="shared" si="55"/>
        <v>15504.932176856451</v>
      </c>
      <c r="N68" s="78">
        <f t="shared" si="56"/>
        <v>-15504.932176856451</v>
      </c>
      <c r="O68" s="165">
        <v>0</v>
      </c>
      <c r="P68" s="166">
        <f t="shared" si="57"/>
        <v>0</v>
      </c>
      <c r="Q68" s="119">
        <f t="shared" si="58"/>
        <v>13877.104390071667</v>
      </c>
      <c r="R68" s="167">
        <f t="shared" si="59"/>
        <v>763.24074145394172</v>
      </c>
      <c r="S68" s="165">
        <v>0</v>
      </c>
      <c r="T68" s="166">
        <f t="shared" si="60"/>
        <v>0</v>
      </c>
      <c r="U68" s="33">
        <f t="shared" si="61"/>
        <v>14840.345131525608</v>
      </c>
      <c r="V68" s="167">
        <f t="shared" si="62"/>
        <v>816.21898223390849</v>
      </c>
      <c r="W68" s="165">
        <v>0</v>
      </c>
      <c r="X68" s="166">
        <f t="shared" si="63"/>
        <v>0</v>
      </c>
      <c r="Y68" s="33">
        <f t="shared" si="64"/>
        <v>15856.564113759516</v>
      </c>
      <c r="Z68" s="167">
        <f t="shared" si="65"/>
        <v>872.11102625677336</v>
      </c>
      <c r="AA68" s="165">
        <v>0</v>
      </c>
      <c r="AB68" s="166">
        <f t="shared" si="66"/>
        <v>0</v>
      </c>
      <c r="AC68" s="33">
        <f t="shared" si="67"/>
        <v>16928.67514001629</v>
      </c>
      <c r="AD68" s="167">
        <f t="shared" si="68"/>
        <v>931.07713270089596</v>
      </c>
      <c r="AE68" s="165">
        <v>0</v>
      </c>
      <c r="AF68" s="166">
        <f t="shared" si="69"/>
        <v>0</v>
      </c>
      <c r="AG68" s="33">
        <f t="shared" si="70"/>
        <v>18059.752272717185</v>
      </c>
      <c r="AH68" s="167">
        <f t="shared" si="71"/>
        <v>993.28637499944523</v>
      </c>
      <c r="AI68" s="165">
        <v>0</v>
      </c>
      <c r="AJ68" s="166">
        <f t="shared" si="72"/>
        <v>0</v>
      </c>
      <c r="AK68" s="33">
        <f t="shared" si="73"/>
        <v>19253.038647716632</v>
      </c>
      <c r="AL68" s="167">
        <f t="shared" si="74"/>
        <v>1058.9171256244147</v>
      </c>
      <c r="AM68" s="165">
        <v>0</v>
      </c>
      <c r="AN68" s="166">
        <f t="shared" si="75"/>
        <v>0</v>
      </c>
      <c r="AO68" s="33">
        <f t="shared" si="76"/>
        <v>20511.955773341047</v>
      </c>
      <c r="AP68" s="167">
        <f t="shared" si="77"/>
        <v>1128.1575675337576</v>
      </c>
      <c r="AQ68" s="165">
        <v>0</v>
      </c>
      <c r="AR68" s="166">
        <f t="shared" si="78"/>
        <v>0</v>
      </c>
      <c r="AS68" s="33">
        <f t="shared" si="79"/>
        <v>21840.113340874806</v>
      </c>
      <c r="AT68" s="167">
        <f t="shared" si="80"/>
        <v>1528.8079338612365</v>
      </c>
      <c r="AU68" s="165">
        <v>0</v>
      </c>
      <c r="AV68" s="166">
        <f t="shared" si="81"/>
        <v>0</v>
      </c>
      <c r="AW68" s="33">
        <f t="shared" si="82"/>
        <v>23568.921274736043</v>
      </c>
      <c r="AX68" s="167">
        <f t="shared" si="83"/>
        <v>1649.8244892315231</v>
      </c>
      <c r="AY68" s="165">
        <v>0</v>
      </c>
      <c r="AZ68" s="166">
        <f t="shared" si="84"/>
        <v>0</v>
      </c>
      <c r="BA68" s="33">
        <f t="shared" si="85"/>
        <v>25418.745763967567</v>
      </c>
      <c r="BB68" s="167">
        <f t="shared" si="86"/>
        <v>1779.3122034777298</v>
      </c>
      <c r="BC68" s="165">
        <v>0</v>
      </c>
      <c r="BD68" s="166">
        <f t="shared" si="87"/>
        <v>0</v>
      </c>
      <c r="BE68" s="33">
        <f t="shared" si="88"/>
        <v>27398.057967445297</v>
      </c>
      <c r="BF68" s="167">
        <f t="shared" si="89"/>
        <v>1917.8640577211709</v>
      </c>
      <c r="BG68" s="165">
        <v>0</v>
      </c>
      <c r="BH68" s="166">
        <f t="shared" si="90"/>
        <v>0</v>
      </c>
      <c r="BI68" s="33">
        <f t="shared" si="91"/>
        <v>29515.922025166466</v>
      </c>
      <c r="BJ68" s="167">
        <f t="shared" si="92"/>
        <v>2066.1145417616531</v>
      </c>
      <c r="BK68" s="87">
        <f t="shared" si="93"/>
        <v>0</v>
      </c>
      <c r="BL68" s="33">
        <f>'2023-2024'!BL68+'2024-2025'!BK68</f>
        <v>9100</v>
      </c>
    </row>
    <row r="69" spans="1:66">
      <c r="A69" s="10" t="s">
        <v>640</v>
      </c>
      <c r="B69" s="10" t="s">
        <v>154</v>
      </c>
      <c r="C69" s="80">
        <v>0</v>
      </c>
      <c r="D69" s="79">
        <f t="shared" si="47"/>
        <v>2400</v>
      </c>
      <c r="E69" s="78">
        <f>'2023-2024'!I69</f>
        <v>23667.517649194931</v>
      </c>
      <c r="F69" s="187">
        <f t="shared" si="48"/>
        <v>2400</v>
      </c>
      <c r="G69" s="33">
        <f t="shared" si="49"/>
        <v>0</v>
      </c>
      <c r="H69" s="190">
        <f t="shared" si="50"/>
        <v>2400</v>
      </c>
      <c r="I69" s="78">
        <f t="shared" si="51"/>
        <v>51965.104846997434</v>
      </c>
      <c r="J69" s="78">
        <f t="shared" si="52"/>
        <v>0</v>
      </c>
      <c r="K69" s="78">
        <f t="shared" si="53"/>
        <v>0</v>
      </c>
      <c r="L69" s="78">
        <f t="shared" si="54"/>
        <v>25897.587197802499</v>
      </c>
      <c r="M69" s="194">
        <f t="shared" si="55"/>
        <v>25897.587197802499</v>
      </c>
      <c r="N69" s="78">
        <f t="shared" si="56"/>
        <v>-25897.587197802499</v>
      </c>
      <c r="O69" s="165">
        <v>0</v>
      </c>
      <c r="P69" s="166">
        <f t="shared" si="57"/>
        <v>0</v>
      </c>
      <c r="Q69" s="119">
        <f t="shared" si="58"/>
        <v>23867.517649194931</v>
      </c>
      <c r="R69" s="167">
        <f t="shared" si="59"/>
        <v>1312.7134707057212</v>
      </c>
      <c r="S69" s="165">
        <v>0</v>
      </c>
      <c r="T69" s="166">
        <f t="shared" si="60"/>
        <v>0</v>
      </c>
      <c r="U69" s="33">
        <f t="shared" si="61"/>
        <v>25380.231119900651</v>
      </c>
      <c r="V69" s="167">
        <f t="shared" si="62"/>
        <v>1395.9127115945357</v>
      </c>
      <c r="W69" s="165">
        <v>0</v>
      </c>
      <c r="X69" s="166">
        <f t="shared" si="63"/>
        <v>0</v>
      </c>
      <c r="Y69" s="33">
        <f t="shared" si="64"/>
        <v>26976.143831495188</v>
      </c>
      <c r="Z69" s="167">
        <f t="shared" si="65"/>
        <v>1483.6879107322354</v>
      </c>
      <c r="AA69" s="165">
        <v>0</v>
      </c>
      <c r="AB69" s="166">
        <f t="shared" si="66"/>
        <v>0</v>
      </c>
      <c r="AC69" s="33">
        <f t="shared" si="67"/>
        <v>28659.831742227423</v>
      </c>
      <c r="AD69" s="167">
        <f t="shared" si="68"/>
        <v>1576.2907458225084</v>
      </c>
      <c r="AE69" s="165">
        <v>0</v>
      </c>
      <c r="AF69" s="166">
        <f t="shared" si="69"/>
        <v>0</v>
      </c>
      <c r="AG69" s="33">
        <f t="shared" si="70"/>
        <v>30436.122488049932</v>
      </c>
      <c r="AH69" s="167">
        <f t="shared" si="71"/>
        <v>1673.9867368427463</v>
      </c>
      <c r="AI69" s="165">
        <v>0</v>
      </c>
      <c r="AJ69" s="166">
        <f t="shared" si="72"/>
        <v>0</v>
      </c>
      <c r="AK69" s="33">
        <f t="shared" si="73"/>
        <v>32310.10922489268</v>
      </c>
      <c r="AL69" s="167">
        <f t="shared" si="74"/>
        <v>1777.0560073690974</v>
      </c>
      <c r="AM69" s="165">
        <v>0</v>
      </c>
      <c r="AN69" s="166">
        <f t="shared" si="75"/>
        <v>0</v>
      </c>
      <c r="AO69" s="33">
        <f t="shared" si="76"/>
        <v>34287.165232261774</v>
      </c>
      <c r="AP69" s="167">
        <f t="shared" si="77"/>
        <v>1885.7940877743977</v>
      </c>
      <c r="AQ69" s="165">
        <v>0</v>
      </c>
      <c r="AR69" s="166">
        <f t="shared" si="78"/>
        <v>0</v>
      </c>
      <c r="AS69" s="33">
        <f t="shared" si="79"/>
        <v>36372.959320036171</v>
      </c>
      <c r="AT69" s="167">
        <f t="shared" si="80"/>
        <v>2546.1071524025324</v>
      </c>
      <c r="AU69" s="165">
        <v>0</v>
      </c>
      <c r="AV69" s="166">
        <f t="shared" si="81"/>
        <v>0</v>
      </c>
      <c r="AW69" s="33">
        <f t="shared" si="82"/>
        <v>39119.066472438702</v>
      </c>
      <c r="AX69" s="167">
        <f t="shared" si="83"/>
        <v>2738.3346530707095</v>
      </c>
      <c r="AY69" s="165">
        <v>0</v>
      </c>
      <c r="AZ69" s="166">
        <f t="shared" si="84"/>
        <v>0</v>
      </c>
      <c r="BA69" s="33">
        <f t="shared" si="85"/>
        <v>42057.401125509408</v>
      </c>
      <c r="BB69" s="167">
        <f t="shared" si="86"/>
        <v>2944.0180787856589</v>
      </c>
      <c r="BC69" s="165">
        <v>0</v>
      </c>
      <c r="BD69" s="166">
        <f t="shared" si="87"/>
        <v>0</v>
      </c>
      <c r="BE69" s="33">
        <f t="shared" si="88"/>
        <v>45201.419204295067</v>
      </c>
      <c r="BF69" s="167">
        <f t="shared" si="89"/>
        <v>3164.099344300655</v>
      </c>
      <c r="BG69" s="165">
        <v>0</v>
      </c>
      <c r="BH69" s="166">
        <f t="shared" si="90"/>
        <v>0</v>
      </c>
      <c r="BI69" s="33">
        <f t="shared" si="91"/>
        <v>48565.518548595719</v>
      </c>
      <c r="BJ69" s="167">
        <f t="shared" si="92"/>
        <v>3399.5862984017008</v>
      </c>
      <c r="BK69" s="87">
        <f t="shared" si="93"/>
        <v>0</v>
      </c>
      <c r="BL69" s="33">
        <f>'2023-2024'!BL69+'2024-2025'!BK69</f>
        <v>5100</v>
      </c>
    </row>
    <row r="70" spans="1:66">
      <c r="A70" s="10" t="s">
        <v>641</v>
      </c>
      <c r="B70" s="10" t="s">
        <v>115</v>
      </c>
      <c r="C70" s="80">
        <v>0</v>
      </c>
      <c r="D70" s="79">
        <f t="shared" si="47"/>
        <v>2400</v>
      </c>
      <c r="E70" s="78">
        <f>'2023-2024'!I70</f>
        <v>5103.73614519285</v>
      </c>
      <c r="F70" s="187">
        <f t="shared" si="48"/>
        <v>2400</v>
      </c>
      <c r="G70" s="33">
        <f t="shared" si="49"/>
        <v>1000</v>
      </c>
      <c r="H70" s="190">
        <f t="shared" si="50"/>
        <v>1400</v>
      </c>
      <c r="I70" s="78">
        <f t="shared" si="51"/>
        <v>12161.470099885752</v>
      </c>
      <c r="J70" s="78">
        <f t="shared" si="52"/>
        <v>0</v>
      </c>
      <c r="K70" s="78">
        <f t="shared" si="53"/>
        <v>55</v>
      </c>
      <c r="L70" s="78">
        <f t="shared" si="54"/>
        <v>5657.7339546929015</v>
      </c>
      <c r="M70" s="194">
        <f t="shared" si="55"/>
        <v>5657.7339546929015</v>
      </c>
      <c r="N70" s="78">
        <f t="shared" si="56"/>
        <v>-4602.7339546929015</v>
      </c>
      <c r="O70" s="165">
        <v>0</v>
      </c>
      <c r="P70" s="166">
        <f t="shared" si="57"/>
        <v>0</v>
      </c>
      <c r="Q70" s="119">
        <f t="shared" si="58"/>
        <v>5303.73614519285</v>
      </c>
      <c r="R70" s="167">
        <f t="shared" si="59"/>
        <v>291.70548798560674</v>
      </c>
      <c r="S70" s="165">
        <v>0</v>
      </c>
      <c r="T70" s="166">
        <f t="shared" si="60"/>
        <v>0</v>
      </c>
      <c r="U70" s="33">
        <f t="shared" si="61"/>
        <v>5795.4416331784569</v>
      </c>
      <c r="V70" s="167">
        <f t="shared" si="62"/>
        <v>318.74928982481515</v>
      </c>
      <c r="W70" s="165">
        <v>1000</v>
      </c>
      <c r="X70" s="166">
        <f t="shared" si="63"/>
        <v>0</v>
      </c>
      <c r="Y70" s="33">
        <f t="shared" si="64"/>
        <v>5314.1909230032725</v>
      </c>
      <c r="Z70" s="167">
        <f t="shared" si="65"/>
        <v>237.28050076517999</v>
      </c>
      <c r="AA70" s="165">
        <v>0</v>
      </c>
      <c r="AB70" s="166">
        <f t="shared" si="66"/>
        <v>0</v>
      </c>
      <c r="AC70" s="33">
        <f t="shared" si="67"/>
        <v>5751.471423768452</v>
      </c>
      <c r="AD70" s="167">
        <f t="shared" si="68"/>
        <v>316.33092830726486</v>
      </c>
      <c r="AE70" s="165">
        <v>0</v>
      </c>
      <c r="AF70" s="166">
        <f t="shared" si="69"/>
        <v>0</v>
      </c>
      <c r="AG70" s="33">
        <f t="shared" si="70"/>
        <v>6267.802352075717</v>
      </c>
      <c r="AH70" s="167">
        <f t="shared" si="71"/>
        <v>344.72912936416441</v>
      </c>
      <c r="AI70" s="165">
        <v>0</v>
      </c>
      <c r="AJ70" s="166">
        <f t="shared" si="72"/>
        <v>0</v>
      </c>
      <c r="AK70" s="33">
        <f t="shared" si="73"/>
        <v>6812.5314814398816</v>
      </c>
      <c r="AL70" s="167">
        <f t="shared" si="74"/>
        <v>374.6892314791935</v>
      </c>
      <c r="AM70" s="165">
        <v>0</v>
      </c>
      <c r="AN70" s="166">
        <f t="shared" si="75"/>
        <v>0</v>
      </c>
      <c r="AO70" s="33">
        <f t="shared" si="76"/>
        <v>7387.2207129190756</v>
      </c>
      <c r="AP70" s="167">
        <f t="shared" si="77"/>
        <v>406.29713921054918</v>
      </c>
      <c r="AQ70" s="165">
        <v>0</v>
      </c>
      <c r="AR70" s="166">
        <f t="shared" si="78"/>
        <v>0</v>
      </c>
      <c r="AS70" s="33">
        <f t="shared" si="79"/>
        <v>7993.5178521296248</v>
      </c>
      <c r="AT70" s="167">
        <f t="shared" si="80"/>
        <v>559.54624964907384</v>
      </c>
      <c r="AU70" s="165">
        <v>0</v>
      </c>
      <c r="AV70" s="166">
        <f t="shared" si="81"/>
        <v>0</v>
      </c>
      <c r="AW70" s="33">
        <f t="shared" si="82"/>
        <v>8753.0641017787002</v>
      </c>
      <c r="AX70" s="167">
        <f t="shared" si="83"/>
        <v>612.71448712450911</v>
      </c>
      <c r="AY70" s="165">
        <v>0</v>
      </c>
      <c r="AZ70" s="166">
        <f t="shared" si="84"/>
        <v>0</v>
      </c>
      <c r="BA70" s="33">
        <f t="shared" si="85"/>
        <v>9565.7785889032093</v>
      </c>
      <c r="BB70" s="167">
        <f t="shared" si="86"/>
        <v>669.6045012232247</v>
      </c>
      <c r="BC70" s="165">
        <v>0</v>
      </c>
      <c r="BD70" s="166">
        <f t="shared" si="87"/>
        <v>0</v>
      </c>
      <c r="BE70" s="33">
        <f t="shared" si="88"/>
        <v>10435.383090126434</v>
      </c>
      <c r="BF70" s="167">
        <f t="shared" si="89"/>
        <v>730.4768163088504</v>
      </c>
      <c r="BG70" s="165">
        <v>0</v>
      </c>
      <c r="BH70" s="166">
        <f t="shared" si="90"/>
        <v>0</v>
      </c>
      <c r="BI70" s="33">
        <f t="shared" si="91"/>
        <v>11365.859906435284</v>
      </c>
      <c r="BJ70" s="167">
        <f t="shared" si="92"/>
        <v>795.61019345046998</v>
      </c>
      <c r="BK70" s="87">
        <f t="shared" si="93"/>
        <v>1000</v>
      </c>
      <c r="BL70" s="33">
        <f>'2023-2024'!BL70+'2024-2025'!BK70</f>
        <v>15150</v>
      </c>
    </row>
    <row r="71" spans="1:66">
      <c r="A71" s="10" t="s">
        <v>642</v>
      </c>
      <c r="B71" s="10" t="s">
        <v>153</v>
      </c>
      <c r="C71" s="80">
        <v>0</v>
      </c>
      <c r="D71" s="79">
        <f t="shared" si="47"/>
        <v>2400</v>
      </c>
      <c r="E71" s="78">
        <f>'2023-2024'!I71</f>
        <v>28246.457059626424</v>
      </c>
      <c r="F71" s="187">
        <f t="shared" si="48"/>
        <v>2400</v>
      </c>
      <c r="G71" s="33">
        <f t="shared" si="49"/>
        <v>0</v>
      </c>
      <c r="H71" s="190">
        <f t="shared" si="50"/>
        <v>2400</v>
      </c>
      <c r="I71" s="78">
        <f t="shared" si="51"/>
        <v>61307.344475362537</v>
      </c>
      <c r="J71" s="78">
        <f t="shared" si="52"/>
        <v>0</v>
      </c>
      <c r="K71" s="78">
        <f t="shared" si="53"/>
        <v>0</v>
      </c>
      <c r="L71" s="78">
        <f t="shared" si="54"/>
        <v>30660.88741573611</v>
      </c>
      <c r="M71" s="194">
        <f t="shared" si="55"/>
        <v>30660.88741573611</v>
      </c>
      <c r="N71" s="78">
        <f t="shared" si="56"/>
        <v>-30660.88741573611</v>
      </c>
      <c r="O71" s="165">
        <v>0</v>
      </c>
      <c r="P71" s="166">
        <f t="shared" si="57"/>
        <v>0</v>
      </c>
      <c r="Q71" s="119">
        <f t="shared" si="58"/>
        <v>28446.457059626424</v>
      </c>
      <c r="R71" s="167">
        <f t="shared" si="59"/>
        <v>1564.5551382794533</v>
      </c>
      <c r="S71" s="165">
        <v>0</v>
      </c>
      <c r="T71" s="166">
        <f t="shared" si="60"/>
        <v>0</v>
      </c>
      <c r="U71" s="33">
        <f t="shared" si="61"/>
        <v>30211.012197905879</v>
      </c>
      <c r="V71" s="167">
        <f t="shared" si="62"/>
        <v>1661.6056708848234</v>
      </c>
      <c r="W71" s="165">
        <v>0</v>
      </c>
      <c r="X71" s="166">
        <f t="shared" si="63"/>
        <v>0</v>
      </c>
      <c r="Y71" s="33">
        <f t="shared" si="64"/>
        <v>32072.617868790701</v>
      </c>
      <c r="Z71" s="167">
        <f t="shared" si="65"/>
        <v>1763.9939827834885</v>
      </c>
      <c r="AA71" s="165">
        <v>0</v>
      </c>
      <c r="AB71" s="166">
        <f t="shared" si="66"/>
        <v>0</v>
      </c>
      <c r="AC71" s="33">
        <f t="shared" si="67"/>
        <v>34036.611851574191</v>
      </c>
      <c r="AD71" s="167">
        <f t="shared" si="68"/>
        <v>1872.0136518365805</v>
      </c>
      <c r="AE71" s="165">
        <v>0</v>
      </c>
      <c r="AF71" s="166">
        <f t="shared" si="69"/>
        <v>0</v>
      </c>
      <c r="AG71" s="33">
        <f t="shared" si="70"/>
        <v>36108.625503410774</v>
      </c>
      <c r="AH71" s="167">
        <f t="shared" si="71"/>
        <v>1985.9744026875926</v>
      </c>
      <c r="AI71" s="165">
        <v>0</v>
      </c>
      <c r="AJ71" s="166">
        <f t="shared" si="72"/>
        <v>0</v>
      </c>
      <c r="AK71" s="33">
        <f t="shared" si="73"/>
        <v>38294.599906098367</v>
      </c>
      <c r="AL71" s="167">
        <f t="shared" si="74"/>
        <v>2106.2029948354102</v>
      </c>
      <c r="AM71" s="165">
        <v>0</v>
      </c>
      <c r="AN71" s="166">
        <f t="shared" si="75"/>
        <v>0</v>
      </c>
      <c r="AO71" s="33">
        <f t="shared" si="76"/>
        <v>40600.802900933777</v>
      </c>
      <c r="AP71" s="167">
        <f t="shared" si="77"/>
        <v>2233.0441595513576</v>
      </c>
      <c r="AQ71" s="165">
        <v>0</v>
      </c>
      <c r="AR71" s="166">
        <f t="shared" si="78"/>
        <v>0</v>
      </c>
      <c r="AS71" s="33">
        <f t="shared" si="79"/>
        <v>43033.847060485132</v>
      </c>
      <c r="AT71" s="167">
        <f t="shared" si="80"/>
        <v>3012.3692942339594</v>
      </c>
      <c r="AU71" s="165">
        <v>0</v>
      </c>
      <c r="AV71" s="166">
        <f t="shared" si="81"/>
        <v>0</v>
      </c>
      <c r="AW71" s="33">
        <f t="shared" si="82"/>
        <v>46246.216354719094</v>
      </c>
      <c r="AX71" s="167">
        <f t="shared" si="83"/>
        <v>3237.235144830337</v>
      </c>
      <c r="AY71" s="165">
        <v>0</v>
      </c>
      <c r="AZ71" s="166">
        <f t="shared" si="84"/>
        <v>0</v>
      </c>
      <c r="BA71" s="33">
        <f t="shared" si="85"/>
        <v>49683.451499549432</v>
      </c>
      <c r="BB71" s="167">
        <f t="shared" si="86"/>
        <v>3477.8416049684606</v>
      </c>
      <c r="BC71" s="165">
        <v>0</v>
      </c>
      <c r="BD71" s="166">
        <f t="shared" si="87"/>
        <v>0</v>
      </c>
      <c r="BE71" s="33">
        <f t="shared" si="88"/>
        <v>53361.293104517892</v>
      </c>
      <c r="BF71" s="167">
        <f t="shared" si="89"/>
        <v>3735.2905173162526</v>
      </c>
      <c r="BG71" s="165">
        <v>0</v>
      </c>
      <c r="BH71" s="166">
        <f t="shared" si="90"/>
        <v>0</v>
      </c>
      <c r="BI71" s="33">
        <f t="shared" si="91"/>
        <v>57296.583621834143</v>
      </c>
      <c r="BJ71" s="167">
        <f t="shared" si="92"/>
        <v>4010.7608535283903</v>
      </c>
      <c r="BK71" s="87">
        <f t="shared" si="93"/>
        <v>0</v>
      </c>
      <c r="BL71" s="33">
        <f>'2023-2024'!BL71+'2024-2025'!BK71</f>
        <v>4000</v>
      </c>
    </row>
    <row r="72" spans="1:66">
      <c r="A72" s="10" t="s">
        <v>643</v>
      </c>
      <c r="B72" s="10" t="s">
        <v>122</v>
      </c>
      <c r="C72" s="80">
        <v>0</v>
      </c>
      <c r="D72" s="79">
        <f t="shared" si="47"/>
        <v>2400</v>
      </c>
      <c r="E72" s="78">
        <f>'2023-2024'!I72</f>
        <v>40734.473633530506</v>
      </c>
      <c r="F72" s="187">
        <f t="shared" si="48"/>
        <v>2400</v>
      </c>
      <c r="G72" s="33">
        <f t="shared" si="49"/>
        <v>0</v>
      </c>
      <c r="H72" s="190">
        <f t="shared" si="50"/>
        <v>2400</v>
      </c>
      <c r="I72" s="78">
        <f t="shared" si="51"/>
        <v>86786.179825449173</v>
      </c>
      <c r="J72" s="78">
        <f t="shared" si="52"/>
        <v>0</v>
      </c>
      <c r="K72" s="78">
        <f t="shared" si="53"/>
        <v>0</v>
      </c>
      <c r="L72" s="78">
        <f t="shared" si="54"/>
        <v>43651.706191918667</v>
      </c>
      <c r="M72" s="194">
        <f t="shared" si="55"/>
        <v>43651.706191918667</v>
      </c>
      <c r="N72" s="78">
        <f t="shared" si="56"/>
        <v>-43651.706191918667</v>
      </c>
      <c r="O72" s="165">
        <v>0</v>
      </c>
      <c r="P72" s="166">
        <f t="shared" si="57"/>
        <v>0</v>
      </c>
      <c r="Q72" s="119">
        <f t="shared" si="58"/>
        <v>40934.473633530506</v>
      </c>
      <c r="R72" s="167">
        <f t="shared" si="59"/>
        <v>2251.3960498441779</v>
      </c>
      <c r="S72" s="165">
        <v>0</v>
      </c>
      <c r="T72" s="166">
        <f t="shared" si="60"/>
        <v>0</v>
      </c>
      <c r="U72" s="33">
        <f t="shared" si="61"/>
        <v>43385.869683374687</v>
      </c>
      <c r="V72" s="167">
        <f t="shared" si="62"/>
        <v>2386.2228325856076</v>
      </c>
      <c r="W72" s="165">
        <v>0</v>
      </c>
      <c r="X72" s="166">
        <f t="shared" si="63"/>
        <v>0</v>
      </c>
      <c r="Y72" s="33">
        <f t="shared" si="64"/>
        <v>45972.092515960292</v>
      </c>
      <c r="Z72" s="167">
        <f t="shared" si="65"/>
        <v>2528.4650883778163</v>
      </c>
      <c r="AA72" s="165">
        <v>0</v>
      </c>
      <c r="AB72" s="166">
        <f t="shared" si="66"/>
        <v>0</v>
      </c>
      <c r="AC72" s="33">
        <f t="shared" si="67"/>
        <v>48700.557604338108</v>
      </c>
      <c r="AD72" s="167">
        <f t="shared" si="68"/>
        <v>2678.5306682385958</v>
      </c>
      <c r="AE72" s="165">
        <v>0</v>
      </c>
      <c r="AF72" s="166">
        <f t="shared" si="69"/>
        <v>0</v>
      </c>
      <c r="AG72" s="33">
        <f t="shared" si="70"/>
        <v>51579.088272576701</v>
      </c>
      <c r="AH72" s="167">
        <f t="shared" si="71"/>
        <v>2836.8498549917185</v>
      </c>
      <c r="AI72" s="165">
        <v>0</v>
      </c>
      <c r="AJ72" s="166">
        <f t="shared" si="72"/>
        <v>0</v>
      </c>
      <c r="AK72" s="33">
        <f t="shared" si="73"/>
        <v>54615.938127568421</v>
      </c>
      <c r="AL72" s="167">
        <f t="shared" si="74"/>
        <v>3003.8765970162631</v>
      </c>
      <c r="AM72" s="165">
        <v>0</v>
      </c>
      <c r="AN72" s="166">
        <f t="shared" si="75"/>
        <v>0</v>
      </c>
      <c r="AO72" s="33">
        <f t="shared" si="76"/>
        <v>57819.814724584685</v>
      </c>
      <c r="AP72" s="167">
        <f t="shared" si="77"/>
        <v>3180.0898098521575</v>
      </c>
      <c r="AQ72" s="165">
        <v>0</v>
      </c>
      <c r="AR72" s="166">
        <f t="shared" si="78"/>
        <v>0</v>
      </c>
      <c r="AS72" s="33">
        <f t="shared" si="79"/>
        <v>61199.904534436842</v>
      </c>
      <c r="AT72" s="167">
        <f t="shared" si="80"/>
        <v>4283.993317410579</v>
      </c>
      <c r="AU72" s="165">
        <v>0</v>
      </c>
      <c r="AV72" s="166">
        <f t="shared" si="81"/>
        <v>0</v>
      </c>
      <c r="AW72" s="33">
        <f t="shared" si="82"/>
        <v>65683.897851847418</v>
      </c>
      <c r="AX72" s="167">
        <f t="shared" si="83"/>
        <v>4597.8728496293197</v>
      </c>
      <c r="AY72" s="165">
        <v>0</v>
      </c>
      <c r="AZ72" s="166">
        <f t="shared" si="84"/>
        <v>0</v>
      </c>
      <c r="BA72" s="33">
        <f t="shared" si="85"/>
        <v>70481.770701476737</v>
      </c>
      <c r="BB72" s="167">
        <f t="shared" si="86"/>
        <v>4933.7239491033724</v>
      </c>
      <c r="BC72" s="165">
        <v>0</v>
      </c>
      <c r="BD72" s="166">
        <f t="shared" si="87"/>
        <v>0</v>
      </c>
      <c r="BE72" s="33">
        <f t="shared" si="88"/>
        <v>75615.494650580105</v>
      </c>
      <c r="BF72" s="167">
        <f t="shared" si="89"/>
        <v>5293.0846255406077</v>
      </c>
      <c r="BG72" s="165">
        <v>0</v>
      </c>
      <c r="BH72" s="166">
        <f t="shared" si="90"/>
        <v>0</v>
      </c>
      <c r="BI72" s="33">
        <f t="shared" si="91"/>
        <v>81108.579276120712</v>
      </c>
      <c r="BJ72" s="167">
        <f t="shared" si="92"/>
        <v>5677.6005493284501</v>
      </c>
      <c r="BK72" s="87">
        <f t="shared" si="93"/>
        <v>0</v>
      </c>
      <c r="BL72" s="33">
        <f>'2023-2024'!BL72+'2024-2025'!BK72</f>
        <v>1000</v>
      </c>
    </row>
    <row r="73" spans="1:66">
      <c r="A73" s="10" t="s">
        <v>644</v>
      </c>
      <c r="B73" s="10" t="s">
        <v>129</v>
      </c>
      <c r="C73" s="80">
        <v>0</v>
      </c>
      <c r="D73" s="79">
        <f t="shared" si="47"/>
        <v>2400</v>
      </c>
      <c r="E73" s="78">
        <f>'2023-2024'!I73</f>
        <v>9943.3214776175519</v>
      </c>
      <c r="F73" s="187">
        <f t="shared" si="48"/>
        <v>2400</v>
      </c>
      <c r="G73" s="33">
        <f t="shared" si="49"/>
        <v>0</v>
      </c>
      <c r="H73" s="190">
        <f t="shared" si="50"/>
        <v>2400</v>
      </c>
      <c r="I73" s="78">
        <f t="shared" si="51"/>
        <v>23964.138280487547</v>
      </c>
      <c r="J73" s="78">
        <f t="shared" si="52"/>
        <v>0</v>
      </c>
      <c r="K73" s="78">
        <f t="shared" si="53"/>
        <v>0</v>
      </c>
      <c r="L73" s="78">
        <f t="shared" si="54"/>
        <v>11620.816802869993</v>
      </c>
      <c r="M73" s="194">
        <f t="shared" si="55"/>
        <v>11620.816802869993</v>
      </c>
      <c r="N73" s="78">
        <f t="shared" si="56"/>
        <v>-11620.816802869993</v>
      </c>
      <c r="O73" s="165">
        <v>0</v>
      </c>
      <c r="P73" s="166">
        <f t="shared" si="57"/>
        <v>0</v>
      </c>
      <c r="Q73" s="119">
        <f t="shared" si="58"/>
        <v>10143.321477617552</v>
      </c>
      <c r="R73" s="167">
        <f t="shared" si="59"/>
        <v>557.88268126896537</v>
      </c>
      <c r="S73" s="165">
        <v>0</v>
      </c>
      <c r="T73" s="166">
        <f t="shared" si="60"/>
        <v>0</v>
      </c>
      <c r="U73" s="33">
        <f t="shared" si="61"/>
        <v>10901.204158886518</v>
      </c>
      <c r="V73" s="167">
        <f t="shared" si="62"/>
        <v>599.56622873875847</v>
      </c>
      <c r="W73" s="165">
        <v>0</v>
      </c>
      <c r="X73" s="166">
        <f t="shared" si="63"/>
        <v>0</v>
      </c>
      <c r="Y73" s="33">
        <f t="shared" si="64"/>
        <v>11700.770387625276</v>
      </c>
      <c r="Z73" s="167">
        <f t="shared" si="65"/>
        <v>643.54237131939021</v>
      </c>
      <c r="AA73" s="165">
        <v>0</v>
      </c>
      <c r="AB73" s="166">
        <f t="shared" si="66"/>
        <v>0</v>
      </c>
      <c r="AC73" s="33">
        <f t="shared" si="67"/>
        <v>12544.312758944667</v>
      </c>
      <c r="AD73" s="167">
        <f t="shared" si="68"/>
        <v>689.93720174195664</v>
      </c>
      <c r="AE73" s="165">
        <v>0</v>
      </c>
      <c r="AF73" s="166">
        <f t="shared" si="69"/>
        <v>0</v>
      </c>
      <c r="AG73" s="33">
        <f t="shared" si="70"/>
        <v>13434.249960686624</v>
      </c>
      <c r="AH73" s="167">
        <f t="shared" si="71"/>
        <v>738.8837478377643</v>
      </c>
      <c r="AI73" s="165">
        <v>0</v>
      </c>
      <c r="AJ73" s="166">
        <f t="shared" si="72"/>
        <v>0</v>
      </c>
      <c r="AK73" s="33">
        <f t="shared" si="73"/>
        <v>14373.133708524389</v>
      </c>
      <c r="AL73" s="167">
        <f t="shared" si="74"/>
        <v>790.52235396884134</v>
      </c>
      <c r="AM73" s="165">
        <v>0</v>
      </c>
      <c r="AN73" s="166">
        <f t="shared" si="75"/>
        <v>0</v>
      </c>
      <c r="AO73" s="33">
        <f t="shared" si="76"/>
        <v>15363.65606249323</v>
      </c>
      <c r="AP73" s="167">
        <f t="shared" si="77"/>
        <v>845.0010834371277</v>
      </c>
      <c r="AQ73" s="165">
        <v>0</v>
      </c>
      <c r="AR73" s="166">
        <f t="shared" si="78"/>
        <v>0</v>
      </c>
      <c r="AS73" s="33">
        <f t="shared" si="79"/>
        <v>16408.657145930356</v>
      </c>
      <c r="AT73" s="167">
        <f t="shared" si="80"/>
        <v>1148.6060002151251</v>
      </c>
      <c r="AU73" s="165">
        <v>0</v>
      </c>
      <c r="AV73" s="166">
        <f t="shared" si="81"/>
        <v>0</v>
      </c>
      <c r="AW73" s="33">
        <f t="shared" si="82"/>
        <v>17757.26314614548</v>
      </c>
      <c r="AX73" s="167">
        <f t="shared" si="83"/>
        <v>1243.0084202301837</v>
      </c>
      <c r="AY73" s="165">
        <v>0</v>
      </c>
      <c r="AZ73" s="166">
        <f t="shared" si="84"/>
        <v>0</v>
      </c>
      <c r="BA73" s="33">
        <f t="shared" si="85"/>
        <v>19200.271566375664</v>
      </c>
      <c r="BB73" s="167">
        <f t="shared" si="86"/>
        <v>1344.0190096462966</v>
      </c>
      <c r="BC73" s="165">
        <v>0</v>
      </c>
      <c r="BD73" s="166">
        <f t="shared" si="87"/>
        <v>0</v>
      </c>
      <c r="BE73" s="33">
        <f t="shared" si="88"/>
        <v>20744.290576021962</v>
      </c>
      <c r="BF73" s="167">
        <f t="shared" si="89"/>
        <v>1452.1003403215375</v>
      </c>
      <c r="BG73" s="165">
        <v>0</v>
      </c>
      <c r="BH73" s="166">
        <f t="shared" si="90"/>
        <v>0</v>
      </c>
      <c r="BI73" s="33">
        <f t="shared" si="91"/>
        <v>22396.390916343498</v>
      </c>
      <c r="BJ73" s="167">
        <f t="shared" si="92"/>
        <v>1567.7473641440449</v>
      </c>
      <c r="BK73" s="87">
        <f t="shared" si="93"/>
        <v>0</v>
      </c>
      <c r="BL73" s="33">
        <f>'2023-2024'!BL73+'2024-2025'!BK73</f>
        <v>10100</v>
      </c>
      <c r="BN73">
        <f>5*12</f>
        <v>60</v>
      </c>
    </row>
    <row r="74" spans="1:66">
      <c r="A74" s="10" t="s">
        <v>645</v>
      </c>
      <c r="B74" s="10" t="s">
        <v>130</v>
      </c>
      <c r="C74" s="80">
        <v>0</v>
      </c>
      <c r="D74" s="79">
        <f t="shared" si="47"/>
        <v>2400</v>
      </c>
      <c r="E74" s="78">
        <f>'2023-2024'!I74</f>
        <v>21939.384288976165</v>
      </c>
      <c r="F74" s="187">
        <f t="shared" si="48"/>
        <v>2400</v>
      </c>
      <c r="G74" s="33">
        <f t="shared" si="49"/>
        <v>0</v>
      </c>
      <c r="H74" s="190">
        <f t="shared" si="50"/>
        <v>2400</v>
      </c>
      <c r="I74" s="78">
        <f t="shared" si="51"/>
        <v>48439.258681801264</v>
      </c>
      <c r="J74" s="78">
        <f t="shared" si="52"/>
        <v>0</v>
      </c>
      <c r="K74" s="78">
        <f t="shared" si="53"/>
        <v>0</v>
      </c>
      <c r="L74" s="78">
        <f t="shared" si="54"/>
        <v>24099.874392825102</v>
      </c>
      <c r="M74" s="194">
        <f t="shared" si="55"/>
        <v>24099.874392825102</v>
      </c>
      <c r="N74" s="78">
        <f t="shared" si="56"/>
        <v>-24099.874392825102</v>
      </c>
      <c r="O74" s="165">
        <v>0</v>
      </c>
      <c r="P74" s="166">
        <f t="shared" si="57"/>
        <v>0</v>
      </c>
      <c r="Q74" s="119">
        <f t="shared" si="58"/>
        <v>22139.384288976165</v>
      </c>
      <c r="R74" s="167">
        <f t="shared" si="59"/>
        <v>1217.6661358936892</v>
      </c>
      <c r="S74" s="165">
        <v>0</v>
      </c>
      <c r="T74" s="166">
        <f t="shared" si="60"/>
        <v>0</v>
      </c>
      <c r="U74" s="33">
        <f t="shared" si="61"/>
        <v>23557.050424869856</v>
      </c>
      <c r="V74" s="167">
        <f t="shared" si="62"/>
        <v>1295.6377733678421</v>
      </c>
      <c r="W74" s="165">
        <v>0</v>
      </c>
      <c r="X74" s="166">
        <f t="shared" si="63"/>
        <v>0</v>
      </c>
      <c r="Y74" s="33">
        <f t="shared" si="64"/>
        <v>25052.688198237698</v>
      </c>
      <c r="Z74" s="167">
        <f t="shared" si="65"/>
        <v>1377.8978509030735</v>
      </c>
      <c r="AA74" s="165">
        <v>0</v>
      </c>
      <c r="AB74" s="166">
        <f t="shared" si="66"/>
        <v>0</v>
      </c>
      <c r="AC74" s="33">
        <f t="shared" si="67"/>
        <v>26630.586049140773</v>
      </c>
      <c r="AD74" s="167">
        <f t="shared" si="68"/>
        <v>1464.6822327027426</v>
      </c>
      <c r="AE74" s="165">
        <v>0</v>
      </c>
      <c r="AF74" s="166">
        <f t="shared" si="69"/>
        <v>0</v>
      </c>
      <c r="AG74" s="33">
        <f t="shared" si="70"/>
        <v>28295.268281843517</v>
      </c>
      <c r="AH74" s="167">
        <f t="shared" si="71"/>
        <v>1556.2397555013933</v>
      </c>
      <c r="AI74" s="165">
        <v>0</v>
      </c>
      <c r="AJ74" s="166">
        <f t="shared" si="72"/>
        <v>0</v>
      </c>
      <c r="AK74" s="33">
        <f t="shared" si="73"/>
        <v>30051.508037344909</v>
      </c>
      <c r="AL74" s="167">
        <f t="shared" si="74"/>
        <v>1652.8329420539701</v>
      </c>
      <c r="AM74" s="165">
        <v>0</v>
      </c>
      <c r="AN74" s="166">
        <f t="shared" si="75"/>
        <v>0</v>
      </c>
      <c r="AO74" s="33">
        <f t="shared" si="76"/>
        <v>31904.340979398879</v>
      </c>
      <c r="AP74" s="167">
        <f t="shared" si="77"/>
        <v>1754.7387538669384</v>
      </c>
      <c r="AQ74" s="165">
        <v>0</v>
      </c>
      <c r="AR74" s="166">
        <f t="shared" si="78"/>
        <v>0</v>
      </c>
      <c r="AS74" s="33">
        <f t="shared" si="79"/>
        <v>33859.079733265819</v>
      </c>
      <c r="AT74" s="167">
        <f t="shared" si="80"/>
        <v>2370.1355813286077</v>
      </c>
      <c r="AU74" s="165">
        <v>0</v>
      </c>
      <c r="AV74" s="166">
        <f t="shared" si="81"/>
        <v>0</v>
      </c>
      <c r="AW74" s="33">
        <f t="shared" si="82"/>
        <v>36429.215314594425</v>
      </c>
      <c r="AX74" s="167">
        <f t="shared" si="83"/>
        <v>2550.0450720216099</v>
      </c>
      <c r="AY74" s="165">
        <v>0</v>
      </c>
      <c r="AZ74" s="166">
        <f t="shared" si="84"/>
        <v>0</v>
      </c>
      <c r="BA74" s="33">
        <f t="shared" si="85"/>
        <v>39179.260386616035</v>
      </c>
      <c r="BB74" s="167">
        <f t="shared" si="86"/>
        <v>2742.5482270631228</v>
      </c>
      <c r="BC74" s="165">
        <v>0</v>
      </c>
      <c r="BD74" s="166">
        <f t="shared" si="87"/>
        <v>0</v>
      </c>
      <c r="BE74" s="33">
        <f t="shared" si="88"/>
        <v>42121.808613679161</v>
      </c>
      <c r="BF74" s="167">
        <f t="shared" si="89"/>
        <v>2948.5266029575414</v>
      </c>
      <c r="BG74" s="165">
        <v>0</v>
      </c>
      <c r="BH74" s="166">
        <f t="shared" si="90"/>
        <v>0</v>
      </c>
      <c r="BI74" s="33">
        <f t="shared" si="91"/>
        <v>45270.335216636704</v>
      </c>
      <c r="BJ74" s="167">
        <f t="shared" si="92"/>
        <v>3168.9234651645697</v>
      </c>
      <c r="BK74" s="87">
        <f t="shared" si="93"/>
        <v>0</v>
      </c>
      <c r="BL74" s="33">
        <f>'2023-2024'!BL74+'2024-2025'!BK74</f>
        <v>5515.15</v>
      </c>
      <c r="BN74">
        <v>9</v>
      </c>
    </row>
    <row r="75" spans="1:66">
      <c r="A75" s="10" t="s">
        <v>646</v>
      </c>
      <c r="B75" s="10" t="s">
        <v>125</v>
      </c>
      <c r="C75" s="80">
        <v>0</v>
      </c>
      <c r="D75" s="79">
        <f t="shared" si="47"/>
        <v>2400</v>
      </c>
      <c r="E75" s="78">
        <f>'2023-2024'!I75</f>
        <v>17923.252502279232</v>
      </c>
      <c r="F75" s="187">
        <f t="shared" si="48"/>
        <v>2400</v>
      </c>
      <c r="G75" s="33">
        <f t="shared" si="49"/>
        <v>0</v>
      </c>
      <c r="H75" s="190">
        <f t="shared" si="50"/>
        <v>2400</v>
      </c>
      <c r="I75" s="78">
        <f t="shared" si="51"/>
        <v>40245.294497662566</v>
      </c>
      <c r="J75" s="78">
        <f t="shared" si="52"/>
        <v>0</v>
      </c>
      <c r="K75" s="78">
        <f t="shared" si="53"/>
        <v>0</v>
      </c>
      <c r="L75" s="78">
        <f t="shared" si="54"/>
        <v>19922.041995383333</v>
      </c>
      <c r="M75" s="194">
        <f t="shared" si="55"/>
        <v>19922.041995383333</v>
      </c>
      <c r="N75" s="78">
        <f t="shared" si="56"/>
        <v>-19922.041995383333</v>
      </c>
      <c r="O75" s="165">
        <v>0</v>
      </c>
      <c r="P75" s="166">
        <f t="shared" si="57"/>
        <v>0</v>
      </c>
      <c r="Q75" s="119">
        <f t="shared" si="58"/>
        <v>18123.252502279232</v>
      </c>
      <c r="R75" s="167">
        <f t="shared" si="59"/>
        <v>996.77888762535781</v>
      </c>
      <c r="S75" s="165">
        <v>0</v>
      </c>
      <c r="T75" s="166">
        <f t="shared" si="60"/>
        <v>0</v>
      </c>
      <c r="U75" s="33">
        <f t="shared" si="61"/>
        <v>19320.03138990459</v>
      </c>
      <c r="V75" s="167">
        <f t="shared" si="62"/>
        <v>1062.6017264447526</v>
      </c>
      <c r="W75" s="165">
        <v>0</v>
      </c>
      <c r="X75" s="166">
        <f t="shared" si="63"/>
        <v>0</v>
      </c>
      <c r="Y75" s="33">
        <f t="shared" si="64"/>
        <v>20582.633116349341</v>
      </c>
      <c r="Z75" s="167">
        <f t="shared" si="65"/>
        <v>1132.0448213992138</v>
      </c>
      <c r="AA75" s="165">
        <v>0</v>
      </c>
      <c r="AB75" s="166">
        <f t="shared" si="66"/>
        <v>0</v>
      </c>
      <c r="AC75" s="33">
        <f t="shared" si="67"/>
        <v>21914.677937748555</v>
      </c>
      <c r="AD75" s="167">
        <f t="shared" si="68"/>
        <v>1205.3072865761706</v>
      </c>
      <c r="AE75" s="165">
        <v>0</v>
      </c>
      <c r="AF75" s="166">
        <f t="shared" si="69"/>
        <v>0</v>
      </c>
      <c r="AG75" s="33">
        <f t="shared" si="70"/>
        <v>23319.985224324726</v>
      </c>
      <c r="AH75" s="167">
        <f t="shared" si="71"/>
        <v>1282.59918733786</v>
      </c>
      <c r="AI75" s="165">
        <v>0</v>
      </c>
      <c r="AJ75" s="166">
        <f t="shared" si="72"/>
        <v>0</v>
      </c>
      <c r="AK75" s="33">
        <f t="shared" si="73"/>
        <v>24802.584411662585</v>
      </c>
      <c r="AL75" s="167">
        <f t="shared" si="74"/>
        <v>1364.1421426414422</v>
      </c>
      <c r="AM75" s="165">
        <v>0</v>
      </c>
      <c r="AN75" s="166">
        <f t="shared" si="75"/>
        <v>0</v>
      </c>
      <c r="AO75" s="33">
        <f t="shared" si="76"/>
        <v>26366.726554304027</v>
      </c>
      <c r="AP75" s="167">
        <f t="shared" si="77"/>
        <v>1450.1699604867215</v>
      </c>
      <c r="AQ75" s="165">
        <v>0</v>
      </c>
      <c r="AR75" s="166">
        <f t="shared" si="78"/>
        <v>0</v>
      </c>
      <c r="AS75" s="33">
        <f t="shared" si="79"/>
        <v>28016.896514790747</v>
      </c>
      <c r="AT75" s="167">
        <f t="shared" si="80"/>
        <v>1961.1827560353524</v>
      </c>
      <c r="AU75" s="165">
        <v>0</v>
      </c>
      <c r="AV75" s="166">
        <f t="shared" si="81"/>
        <v>0</v>
      </c>
      <c r="AW75" s="33">
        <f t="shared" si="82"/>
        <v>30178.0792708261</v>
      </c>
      <c r="AX75" s="167">
        <f t="shared" si="83"/>
        <v>2112.4655489578272</v>
      </c>
      <c r="AY75" s="165">
        <v>0</v>
      </c>
      <c r="AZ75" s="166">
        <f t="shared" si="84"/>
        <v>0</v>
      </c>
      <c r="BA75" s="33">
        <f t="shared" si="85"/>
        <v>32490.544819783929</v>
      </c>
      <c r="BB75" s="167">
        <f t="shared" si="86"/>
        <v>2274.3381373848752</v>
      </c>
      <c r="BC75" s="165">
        <v>0</v>
      </c>
      <c r="BD75" s="166">
        <f t="shared" si="87"/>
        <v>0</v>
      </c>
      <c r="BE75" s="33">
        <f t="shared" si="88"/>
        <v>34964.882957168804</v>
      </c>
      <c r="BF75" s="167">
        <f t="shared" si="89"/>
        <v>2447.5418070018163</v>
      </c>
      <c r="BG75" s="165">
        <v>0</v>
      </c>
      <c r="BH75" s="166">
        <f t="shared" si="90"/>
        <v>0</v>
      </c>
      <c r="BI75" s="33">
        <f t="shared" si="91"/>
        <v>37612.424764170617</v>
      </c>
      <c r="BJ75" s="167">
        <f t="shared" si="92"/>
        <v>2632.8697334919434</v>
      </c>
      <c r="BK75" s="87">
        <f t="shared" si="93"/>
        <v>0</v>
      </c>
      <c r="BL75" s="33">
        <f>'2023-2024'!BL75+'2024-2025'!BK75</f>
        <v>6900</v>
      </c>
      <c r="BN75">
        <f>200*69</f>
        <v>13800</v>
      </c>
    </row>
    <row r="76" spans="1:66">
      <c r="A76" s="10" t="s">
        <v>647</v>
      </c>
      <c r="B76" s="10" t="s">
        <v>131</v>
      </c>
      <c r="C76" s="80">
        <v>0</v>
      </c>
      <c r="D76" s="79">
        <f t="shared" si="47"/>
        <v>2400</v>
      </c>
      <c r="E76" s="78">
        <f>'2023-2024'!I76</f>
        <v>35322.999784838728</v>
      </c>
      <c r="F76" s="187">
        <f t="shared" si="48"/>
        <v>2400</v>
      </c>
      <c r="G76" s="33">
        <f t="shared" si="49"/>
        <v>0</v>
      </c>
      <c r="H76" s="190">
        <f t="shared" si="50"/>
        <v>2400</v>
      </c>
      <c r="I76" s="78">
        <f t="shared" si="51"/>
        <v>75745.351173744944</v>
      </c>
      <c r="J76" s="78">
        <f t="shared" si="52"/>
        <v>0</v>
      </c>
      <c r="K76" s="78">
        <f t="shared" si="53"/>
        <v>0</v>
      </c>
      <c r="L76" s="78">
        <f t="shared" si="54"/>
        <v>38022.351388906216</v>
      </c>
      <c r="M76" s="194">
        <f t="shared" si="55"/>
        <v>38022.351388906216</v>
      </c>
      <c r="N76" s="78">
        <f t="shared" si="56"/>
        <v>-38022.351388906216</v>
      </c>
      <c r="O76" s="165">
        <v>0</v>
      </c>
      <c r="P76" s="166">
        <f t="shared" si="57"/>
        <v>0</v>
      </c>
      <c r="Q76" s="119">
        <f t="shared" si="58"/>
        <v>35522.999784838728</v>
      </c>
      <c r="R76" s="167">
        <f t="shared" si="59"/>
        <v>1953.76498816613</v>
      </c>
      <c r="S76" s="165">
        <v>0</v>
      </c>
      <c r="T76" s="166">
        <f t="shared" si="60"/>
        <v>0</v>
      </c>
      <c r="U76" s="33">
        <f t="shared" si="61"/>
        <v>37676.764773004856</v>
      </c>
      <c r="V76" s="167">
        <f t="shared" si="62"/>
        <v>2072.2220625152672</v>
      </c>
      <c r="W76" s="165">
        <v>0</v>
      </c>
      <c r="X76" s="166">
        <f t="shared" si="63"/>
        <v>0</v>
      </c>
      <c r="Y76" s="33">
        <f t="shared" si="64"/>
        <v>39948.986835520125</v>
      </c>
      <c r="Z76" s="167">
        <f t="shared" si="65"/>
        <v>2197.1942759536068</v>
      </c>
      <c r="AA76" s="165">
        <v>0</v>
      </c>
      <c r="AB76" s="166">
        <f t="shared" si="66"/>
        <v>0</v>
      </c>
      <c r="AC76" s="33">
        <f t="shared" si="67"/>
        <v>42346.181111473736</v>
      </c>
      <c r="AD76" s="167">
        <f t="shared" si="68"/>
        <v>2329.0399611310554</v>
      </c>
      <c r="AE76" s="165">
        <v>0</v>
      </c>
      <c r="AF76" s="166">
        <f t="shared" si="69"/>
        <v>0</v>
      </c>
      <c r="AG76" s="33">
        <f t="shared" si="70"/>
        <v>44875.221072604792</v>
      </c>
      <c r="AH76" s="167">
        <f t="shared" si="71"/>
        <v>2468.1371589932637</v>
      </c>
      <c r="AI76" s="165">
        <v>0</v>
      </c>
      <c r="AJ76" s="166">
        <f t="shared" si="72"/>
        <v>0</v>
      </c>
      <c r="AK76" s="33">
        <f t="shared" si="73"/>
        <v>47543.358231598053</v>
      </c>
      <c r="AL76" s="167">
        <f t="shared" si="74"/>
        <v>2614.8847027378929</v>
      </c>
      <c r="AM76" s="165">
        <v>0</v>
      </c>
      <c r="AN76" s="166">
        <f t="shared" si="75"/>
        <v>0</v>
      </c>
      <c r="AO76" s="33">
        <f t="shared" si="76"/>
        <v>50358.242934335947</v>
      </c>
      <c r="AP76" s="167">
        <f t="shared" si="77"/>
        <v>2769.7033613884773</v>
      </c>
      <c r="AQ76" s="165">
        <v>0</v>
      </c>
      <c r="AR76" s="166">
        <f t="shared" si="78"/>
        <v>0</v>
      </c>
      <c r="AS76" s="33">
        <f t="shared" si="79"/>
        <v>53327.946295724425</v>
      </c>
      <c r="AT76" s="167">
        <f t="shared" si="80"/>
        <v>3732.9562407007102</v>
      </c>
      <c r="AU76" s="165">
        <v>0</v>
      </c>
      <c r="AV76" s="166">
        <f t="shared" si="81"/>
        <v>0</v>
      </c>
      <c r="AW76" s="33">
        <f t="shared" si="82"/>
        <v>57260.902536425136</v>
      </c>
      <c r="AX76" s="167">
        <f t="shared" si="83"/>
        <v>4008.2631775497598</v>
      </c>
      <c r="AY76" s="165">
        <v>0</v>
      </c>
      <c r="AZ76" s="166">
        <f t="shared" si="84"/>
        <v>0</v>
      </c>
      <c r="BA76" s="33">
        <f t="shared" si="85"/>
        <v>61469.165713974893</v>
      </c>
      <c r="BB76" s="167">
        <f t="shared" si="86"/>
        <v>4302.8415999782428</v>
      </c>
      <c r="BC76" s="165">
        <v>0</v>
      </c>
      <c r="BD76" s="166">
        <f t="shared" si="87"/>
        <v>0</v>
      </c>
      <c r="BE76" s="33">
        <f t="shared" si="88"/>
        <v>65972.007313953131</v>
      </c>
      <c r="BF76" s="167">
        <f t="shared" si="89"/>
        <v>4618.0405119767192</v>
      </c>
      <c r="BG76" s="165">
        <v>0</v>
      </c>
      <c r="BH76" s="166">
        <f t="shared" si="90"/>
        <v>0</v>
      </c>
      <c r="BI76" s="33">
        <f t="shared" si="91"/>
        <v>70790.047825929854</v>
      </c>
      <c r="BJ76" s="167">
        <f t="shared" si="92"/>
        <v>4955.3033478150901</v>
      </c>
      <c r="BK76" s="87">
        <f t="shared" si="93"/>
        <v>0</v>
      </c>
      <c r="BL76" s="33">
        <f>'2023-2024'!BL76+'2024-2025'!BK76</f>
        <v>2300</v>
      </c>
    </row>
    <row r="77" spans="1:66">
      <c r="A77" s="10" t="s">
        <v>648</v>
      </c>
      <c r="B77" s="10" t="s">
        <v>116</v>
      </c>
      <c r="C77" s="80">
        <v>0</v>
      </c>
      <c r="D77" s="79">
        <f t="shared" si="47"/>
        <v>2400</v>
      </c>
      <c r="E77" s="78">
        <f>'2023-2024'!I77</f>
        <v>43232.076948311311</v>
      </c>
      <c r="F77" s="187">
        <f t="shared" si="48"/>
        <v>2400</v>
      </c>
      <c r="G77" s="33">
        <f t="shared" si="49"/>
        <v>0</v>
      </c>
      <c r="H77" s="190">
        <f t="shared" si="50"/>
        <v>2400</v>
      </c>
      <c r="I77" s="78">
        <f t="shared" si="51"/>
        <v>91881.946895466477</v>
      </c>
      <c r="J77" s="78">
        <f t="shared" si="52"/>
        <v>0</v>
      </c>
      <c r="K77" s="78">
        <f t="shared" si="53"/>
        <v>0</v>
      </c>
      <c r="L77" s="78">
        <f t="shared" si="54"/>
        <v>46249.869947155166</v>
      </c>
      <c r="M77" s="194">
        <f t="shared" si="55"/>
        <v>46249.869947155166</v>
      </c>
      <c r="N77" s="78">
        <f t="shared" si="56"/>
        <v>-46249.869947155166</v>
      </c>
      <c r="O77" s="165">
        <v>0</v>
      </c>
      <c r="P77" s="166">
        <f t="shared" si="57"/>
        <v>0</v>
      </c>
      <c r="Q77" s="119">
        <f t="shared" si="58"/>
        <v>43432.076948311311</v>
      </c>
      <c r="R77" s="167">
        <f t="shared" si="59"/>
        <v>2388.764232157122</v>
      </c>
      <c r="S77" s="165">
        <v>0</v>
      </c>
      <c r="T77" s="166">
        <f t="shared" si="60"/>
        <v>0</v>
      </c>
      <c r="U77" s="33">
        <f t="shared" si="61"/>
        <v>46020.841180468429</v>
      </c>
      <c r="V77" s="167">
        <f t="shared" si="62"/>
        <v>2531.1462649257637</v>
      </c>
      <c r="W77" s="165">
        <v>0</v>
      </c>
      <c r="X77" s="166">
        <f t="shared" si="63"/>
        <v>0</v>
      </c>
      <c r="Y77" s="33">
        <f t="shared" si="64"/>
        <v>48751.987445394196</v>
      </c>
      <c r="Z77" s="167">
        <f t="shared" si="65"/>
        <v>2681.3593094966809</v>
      </c>
      <c r="AA77" s="165">
        <v>0</v>
      </c>
      <c r="AB77" s="166">
        <f t="shared" si="66"/>
        <v>0</v>
      </c>
      <c r="AC77" s="33">
        <f t="shared" si="67"/>
        <v>51633.346754890874</v>
      </c>
      <c r="AD77" s="167">
        <f t="shared" si="68"/>
        <v>2839.8340715189979</v>
      </c>
      <c r="AE77" s="165">
        <v>0</v>
      </c>
      <c r="AF77" s="166">
        <f t="shared" si="69"/>
        <v>0</v>
      </c>
      <c r="AG77" s="33">
        <f t="shared" si="70"/>
        <v>54673.180826409873</v>
      </c>
      <c r="AH77" s="167">
        <f t="shared" si="71"/>
        <v>3007.0249454525429</v>
      </c>
      <c r="AI77" s="165">
        <v>0</v>
      </c>
      <c r="AJ77" s="166">
        <f t="shared" si="72"/>
        <v>0</v>
      </c>
      <c r="AK77" s="33">
        <f t="shared" si="73"/>
        <v>57880.205771862413</v>
      </c>
      <c r="AL77" s="167">
        <f t="shared" si="74"/>
        <v>3183.4113174524327</v>
      </c>
      <c r="AM77" s="165">
        <v>0</v>
      </c>
      <c r="AN77" s="166">
        <f t="shared" si="75"/>
        <v>0</v>
      </c>
      <c r="AO77" s="33">
        <f t="shared" si="76"/>
        <v>61263.617089314845</v>
      </c>
      <c r="AP77" s="167">
        <f t="shared" si="77"/>
        <v>3369.4989399123165</v>
      </c>
      <c r="AQ77" s="165">
        <v>0</v>
      </c>
      <c r="AR77" s="166">
        <f t="shared" si="78"/>
        <v>0</v>
      </c>
      <c r="AS77" s="33">
        <f t="shared" si="79"/>
        <v>64833.11602922716</v>
      </c>
      <c r="AT77" s="167">
        <f t="shared" si="80"/>
        <v>4538.3181220459019</v>
      </c>
      <c r="AU77" s="165">
        <v>0</v>
      </c>
      <c r="AV77" s="166">
        <f t="shared" si="81"/>
        <v>0</v>
      </c>
      <c r="AW77" s="33">
        <f t="shared" si="82"/>
        <v>69571.434151273061</v>
      </c>
      <c r="AX77" s="167">
        <f t="shared" si="83"/>
        <v>4870.0003905891144</v>
      </c>
      <c r="AY77" s="165">
        <v>0</v>
      </c>
      <c r="AZ77" s="166">
        <f t="shared" si="84"/>
        <v>0</v>
      </c>
      <c r="BA77" s="33">
        <f t="shared" si="85"/>
        <v>74641.434541862182</v>
      </c>
      <c r="BB77" s="167">
        <f t="shared" si="86"/>
        <v>5224.9004179303529</v>
      </c>
      <c r="BC77" s="165">
        <v>0</v>
      </c>
      <c r="BD77" s="166">
        <f t="shared" si="87"/>
        <v>0</v>
      </c>
      <c r="BE77" s="33">
        <f t="shared" si="88"/>
        <v>80066.334959792541</v>
      </c>
      <c r="BF77" s="167">
        <f t="shared" si="89"/>
        <v>5604.6434471854782</v>
      </c>
      <c r="BG77" s="165">
        <v>0</v>
      </c>
      <c r="BH77" s="166">
        <f t="shared" si="90"/>
        <v>0</v>
      </c>
      <c r="BI77" s="33">
        <f t="shared" si="91"/>
        <v>85870.978406978014</v>
      </c>
      <c r="BJ77" s="167">
        <f t="shared" si="92"/>
        <v>6010.9684884884618</v>
      </c>
      <c r="BK77" s="87">
        <f t="shared" si="93"/>
        <v>0</v>
      </c>
      <c r="BL77" s="33">
        <f>'2023-2024'!BL77+'2024-2025'!BK77</f>
        <v>300</v>
      </c>
      <c r="BN77">
        <f>BN75/2</f>
        <v>6900</v>
      </c>
    </row>
    <row r="78" spans="1:66">
      <c r="A78" s="10" t="s">
        <v>649</v>
      </c>
      <c r="B78" s="10" t="s">
        <v>132</v>
      </c>
      <c r="C78" s="80">
        <v>0</v>
      </c>
      <c r="D78" s="79">
        <f t="shared" si="47"/>
        <v>2400</v>
      </c>
      <c r="E78" s="78">
        <f>'2023-2024'!I78</f>
        <v>25748.853744845605</v>
      </c>
      <c r="F78" s="187">
        <f t="shared" si="48"/>
        <v>2400</v>
      </c>
      <c r="G78" s="33">
        <f t="shared" si="49"/>
        <v>0</v>
      </c>
      <c r="H78" s="190">
        <f t="shared" si="50"/>
        <v>2400</v>
      </c>
      <c r="I78" s="78">
        <f t="shared" si="51"/>
        <v>56211.57740534519</v>
      </c>
      <c r="J78" s="78">
        <f t="shared" si="52"/>
        <v>0</v>
      </c>
      <c r="K78" s="78">
        <f t="shared" si="53"/>
        <v>0</v>
      </c>
      <c r="L78" s="78">
        <f t="shared" si="54"/>
        <v>28062.723660499585</v>
      </c>
      <c r="M78" s="194">
        <f t="shared" si="55"/>
        <v>28062.723660499585</v>
      </c>
      <c r="N78" s="78">
        <f t="shared" si="56"/>
        <v>-28062.723660499585</v>
      </c>
      <c r="O78" s="165">
        <v>0</v>
      </c>
      <c r="P78" s="166">
        <f t="shared" si="57"/>
        <v>0</v>
      </c>
      <c r="Q78" s="119">
        <f t="shared" si="58"/>
        <v>25948.853744845605</v>
      </c>
      <c r="R78" s="167">
        <f t="shared" si="59"/>
        <v>1427.1869559665083</v>
      </c>
      <c r="S78" s="165">
        <v>0</v>
      </c>
      <c r="T78" s="166">
        <f t="shared" si="60"/>
        <v>0</v>
      </c>
      <c r="U78" s="33">
        <f t="shared" si="61"/>
        <v>27576.040700812111</v>
      </c>
      <c r="V78" s="167">
        <f t="shared" si="62"/>
        <v>1516.682238544666</v>
      </c>
      <c r="W78" s="165">
        <v>0</v>
      </c>
      <c r="X78" s="166">
        <f t="shared" si="63"/>
        <v>0</v>
      </c>
      <c r="Y78" s="33">
        <f t="shared" si="64"/>
        <v>29292.722939356776</v>
      </c>
      <c r="Z78" s="167">
        <f t="shared" si="65"/>
        <v>1611.0997616646227</v>
      </c>
      <c r="AA78" s="165">
        <v>0</v>
      </c>
      <c r="AB78" s="166">
        <f t="shared" si="66"/>
        <v>0</v>
      </c>
      <c r="AC78" s="33">
        <f t="shared" si="67"/>
        <v>31103.8227010214</v>
      </c>
      <c r="AD78" s="167">
        <f t="shared" si="68"/>
        <v>1710.710248556177</v>
      </c>
      <c r="AE78" s="165">
        <v>0</v>
      </c>
      <c r="AF78" s="166">
        <f t="shared" si="69"/>
        <v>0</v>
      </c>
      <c r="AG78" s="33">
        <f t="shared" si="70"/>
        <v>33014.532949577573</v>
      </c>
      <c r="AH78" s="167">
        <f t="shared" si="71"/>
        <v>1815.7993122267665</v>
      </c>
      <c r="AI78" s="165">
        <v>0</v>
      </c>
      <c r="AJ78" s="166">
        <f t="shared" si="72"/>
        <v>0</v>
      </c>
      <c r="AK78" s="33">
        <f t="shared" si="73"/>
        <v>35030.332261804338</v>
      </c>
      <c r="AL78" s="167">
        <f t="shared" si="74"/>
        <v>1926.6682743992387</v>
      </c>
      <c r="AM78" s="165">
        <v>0</v>
      </c>
      <c r="AN78" s="166">
        <f t="shared" si="75"/>
        <v>0</v>
      </c>
      <c r="AO78" s="33">
        <f t="shared" si="76"/>
        <v>37157.000536203574</v>
      </c>
      <c r="AP78" s="167">
        <f t="shared" si="77"/>
        <v>2043.6350294911965</v>
      </c>
      <c r="AQ78" s="165">
        <v>0</v>
      </c>
      <c r="AR78" s="166">
        <f t="shared" si="78"/>
        <v>0</v>
      </c>
      <c r="AS78" s="33">
        <f t="shared" si="79"/>
        <v>39400.635565694771</v>
      </c>
      <c r="AT78" s="167">
        <f t="shared" si="80"/>
        <v>2758.0444895986343</v>
      </c>
      <c r="AU78" s="165">
        <v>0</v>
      </c>
      <c r="AV78" s="166">
        <f t="shared" si="81"/>
        <v>0</v>
      </c>
      <c r="AW78" s="33">
        <f t="shared" si="82"/>
        <v>42358.680055293407</v>
      </c>
      <c r="AX78" s="167">
        <f t="shared" si="83"/>
        <v>2965.1076038705387</v>
      </c>
      <c r="AY78" s="165">
        <v>0</v>
      </c>
      <c r="AZ78" s="166">
        <f t="shared" si="84"/>
        <v>0</v>
      </c>
      <c r="BA78" s="33">
        <f t="shared" si="85"/>
        <v>45523.787659163943</v>
      </c>
      <c r="BB78" s="167">
        <f t="shared" si="86"/>
        <v>3186.6651361414765</v>
      </c>
      <c r="BC78" s="165">
        <v>0</v>
      </c>
      <c r="BD78" s="166">
        <f t="shared" si="87"/>
        <v>0</v>
      </c>
      <c r="BE78" s="33">
        <f t="shared" si="88"/>
        <v>48910.45279530542</v>
      </c>
      <c r="BF78" s="167">
        <f t="shared" si="89"/>
        <v>3423.7316956713798</v>
      </c>
      <c r="BG78" s="165">
        <v>0</v>
      </c>
      <c r="BH78" s="166">
        <f t="shared" si="90"/>
        <v>0</v>
      </c>
      <c r="BI78" s="33">
        <f t="shared" si="91"/>
        <v>52534.184490976797</v>
      </c>
      <c r="BJ78" s="167">
        <f t="shared" si="92"/>
        <v>3677.3929143683763</v>
      </c>
      <c r="BK78" s="87">
        <f t="shared" si="93"/>
        <v>0</v>
      </c>
      <c r="BL78" s="33">
        <f>'2023-2024'!BL78+'2024-2025'!BK78</f>
        <v>4500</v>
      </c>
    </row>
    <row r="79" spans="1:66">
      <c r="A79" s="10" t="s">
        <v>650</v>
      </c>
      <c r="B79" s="10" t="s">
        <v>113</v>
      </c>
      <c r="C79" s="80">
        <v>0</v>
      </c>
      <c r="D79" s="79">
        <f t="shared" si="47"/>
        <v>2400</v>
      </c>
      <c r="E79" s="78">
        <f>'2023-2024'!I79</f>
        <v>41567.008071790769</v>
      </c>
      <c r="F79" s="187">
        <f t="shared" si="48"/>
        <v>2400</v>
      </c>
      <c r="G79" s="33">
        <f t="shared" si="49"/>
        <v>0</v>
      </c>
      <c r="H79" s="190">
        <f t="shared" si="50"/>
        <v>2400</v>
      </c>
      <c r="I79" s="78">
        <f t="shared" si="51"/>
        <v>88484.768848788255</v>
      </c>
      <c r="J79" s="78">
        <f t="shared" si="52"/>
        <v>0</v>
      </c>
      <c r="K79" s="78">
        <f t="shared" si="53"/>
        <v>0</v>
      </c>
      <c r="L79" s="78">
        <f t="shared" si="54"/>
        <v>44517.760776997486</v>
      </c>
      <c r="M79" s="194">
        <f t="shared" si="55"/>
        <v>44517.760776997486</v>
      </c>
      <c r="N79" s="78">
        <f t="shared" si="56"/>
        <v>-44517.760776997486</v>
      </c>
      <c r="O79" s="165">
        <v>0</v>
      </c>
      <c r="P79" s="166">
        <f t="shared" si="57"/>
        <v>0</v>
      </c>
      <c r="Q79" s="119">
        <f t="shared" si="58"/>
        <v>41767.008071790769</v>
      </c>
      <c r="R79" s="167">
        <f t="shared" si="59"/>
        <v>2297.1854439484923</v>
      </c>
      <c r="S79" s="165">
        <v>0</v>
      </c>
      <c r="T79" s="166">
        <f t="shared" si="60"/>
        <v>0</v>
      </c>
      <c r="U79" s="33">
        <f t="shared" si="61"/>
        <v>44264.193515739258</v>
      </c>
      <c r="V79" s="167">
        <f t="shared" si="62"/>
        <v>2434.5306433656592</v>
      </c>
      <c r="W79" s="165">
        <v>0</v>
      </c>
      <c r="X79" s="166">
        <f t="shared" si="63"/>
        <v>0</v>
      </c>
      <c r="Y79" s="33">
        <f t="shared" si="64"/>
        <v>46898.724159104917</v>
      </c>
      <c r="Z79" s="167">
        <f t="shared" si="65"/>
        <v>2579.4298287507704</v>
      </c>
      <c r="AA79" s="165">
        <v>0</v>
      </c>
      <c r="AB79" s="166">
        <f t="shared" si="66"/>
        <v>0</v>
      </c>
      <c r="AC79" s="33">
        <f t="shared" si="67"/>
        <v>49678.153987855687</v>
      </c>
      <c r="AD79" s="167">
        <f t="shared" si="68"/>
        <v>2732.2984693320627</v>
      </c>
      <c r="AE79" s="165">
        <v>0</v>
      </c>
      <c r="AF79" s="166">
        <f t="shared" si="69"/>
        <v>0</v>
      </c>
      <c r="AG79" s="33">
        <f t="shared" si="70"/>
        <v>52610.452457187748</v>
      </c>
      <c r="AH79" s="167">
        <f t="shared" si="71"/>
        <v>2893.5748851453263</v>
      </c>
      <c r="AI79" s="165">
        <v>0</v>
      </c>
      <c r="AJ79" s="166">
        <f t="shared" si="72"/>
        <v>0</v>
      </c>
      <c r="AK79" s="33">
        <f t="shared" si="73"/>
        <v>55704.027342333073</v>
      </c>
      <c r="AL79" s="167">
        <f t="shared" si="74"/>
        <v>3063.7215038283189</v>
      </c>
      <c r="AM79" s="165">
        <v>0</v>
      </c>
      <c r="AN79" s="166">
        <f t="shared" si="75"/>
        <v>0</v>
      </c>
      <c r="AO79" s="33">
        <f t="shared" si="76"/>
        <v>58967.74884616139</v>
      </c>
      <c r="AP79" s="167">
        <f t="shared" si="77"/>
        <v>3243.2261865388764</v>
      </c>
      <c r="AQ79" s="165">
        <v>0</v>
      </c>
      <c r="AR79" s="166">
        <f t="shared" si="78"/>
        <v>0</v>
      </c>
      <c r="AS79" s="33">
        <f t="shared" si="79"/>
        <v>62410.975032700269</v>
      </c>
      <c r="AT79" s="167">
        <f t="shared" si="80"/>
        <v>4368.7682522890191</v>
      </c>
      <c r="AU79" s="165">
        <v>0</v>
      </c>
      <c r="AV79" s="166">
        <f t="shared" si="81"/>
        <v>0</v>
      </c>
      <c r="AW79" s="33">
        <f t="shared" si="82"/>
        <v>66979.743284989294</v>
      </c>
      <c r="AX79" s="167">
        <f t="shared" si="83"/>
        <v>4688.5820299492507</v>
      </c>
      <c r="AY79" s="165">
        <v>0</v>
      </c>
      <c r="AZ79" s="166">
        <f t="shared" si="84"/>
        <v>0</v>
      </c>
      <c r="BA79" s="33">
        <f t="shared" si="85"/>
        <v>71868.325314938542</v>
      </c>
      <c r="BB79" s="167">
        <f t="shared" si="86"/>
        <v>5030.782772045698</v>
      </c>
      <c r="BC79" s="165">
        <v>0</v>
      </c>
      <c r="BD79" s="166">
        <f t="shared" si="87"/>
        <v>0</v>
      </c>
      <c r="BE79" s="33">
        <f t="shared" si="88"/>
        <v>77099.108086984241</v>
      </c>
      <c r="BF79" s="167">
        <f t="shared" si="89"/>
        <v>5396.9375660888973</v>
      </c>
      <c r="BG79" s="165">
        <v>0</v>
      </c>
      <c r="BH79" s="166">
        <f t="shared" si="90"/>
        <v>0</v>
      </c>
      <c r="BI79" s="33">
        <f t="shared" si="91"/>
        <v>82696.045653073132</v>
      </c>
      <c r="BJ79" s="167">
        <f t="shared" si="92"/>
        <v>5788.7231957151198</v>
      </c>
      <c r="BK79" s="87">
        <f t="shared" si="93"/>
        <v>0</v>
      </c>
      <c r="BL79" s="33">
        <f>'2023-2024'!BL79+'2024-2025'!BK79</f>
        <v>800</v>
      </c>
    </row>
    <row r="80" spans="1:66">
      <c r="A80" s="10" t="s">
        <v>651</v>
      </c>
      <c r="B80" s="10" t="s">
        <v>124</v>
      </c>
      <c r="C80" s="80">
        <v>0</v>
      </c>
      <c r="D80" s="79">
        <f t="shared" si="47"/>
        <v>2400</v>
      </c>
      <c r="E80" s="78">
        <f>'2023-2024'!I80</f>
        <v>36571.801442229131</v>
      </c>
      <c r="F80" s="187">
        <f t="shared" si="48"/>
        <v>2400</v>
      </c>
      <c r="G80" s="33">
        <f t="shared" si="49"/>
        <v>0</v>
      </c>
      <c r="H80" s="190">
        <f t="shared" si="50"/>
        <v>2400</v>
      </c>
      <c r="I80" s="78">
        <f t="shared" si="51"/>
        <v>78293.234708753589</v>
      </c>
      <c r="J80" s="78">
        <f t="shared" si="52"/>
        <v>0</v>
      </c>
      <c r="K80" s="78">
        <f t="shared" si="53"/>
        <v>0</v>
      </c>
      <c r="L80" s="78">
        <f t="shared" si="54"/>
        <v>39321.433266524466</v>
      </c>
      <c r="M80" s="194">
        <f t="shared" si="55"/>
        <v>39321.433266524466</v>
      </c>
      <c r="N80" s="78">
        <f t="shared" si="56"/>
        <v>-39321.433266524466</v>
      </c>
      <c r="O80" s="165">
        <v>0</v>
      </c>
      <c r="P80" s="166">
        <f t="shared" si="57"/>
        <v>0</v>
      </c>
      <c r="Q80" s="119">
        <f t="shared" si="58"/>
        <v>36771.801442229131</v>
      </c>
      <c r="R80" s="167">
        <f t="shared" si="59"/>
        <v>2022.4490793226023</v>
      </c>
      <c r="S80" s="165">
        <v>0</v>
      </c>
      <c r="T80" s="166">
        <f t="shared" si="60"/>
        <v>0</v>
      </c>
      <c r="U80" s="33">
        <f t="shared" si="61"/>
        <v>38994.25052155173</v>
      </c>
      <c r="V80" s="167">
        <f t="shared" si="62"/>
        <v>2144.6837786853453</v>
      </c>
      <c r="W80" s="165">
        <v>0</v>
      </c>
      <c r="X80" s="166">
        <f t="shared" si="63"/>
        <v>0</v>
      </c>
      <c r="Y80" s="33">
        <f t="shared" si="64"/>
        <v>41338.934300237073</v>
      </c>
      <c r="Z80" s="167">
        <f t="shared" si="65"/>
        <v>2273.6413865130389</v>
      </c>
      <c r="AA80" s="165">
        <v>0</v>
      </c>
      <c r="AB80" s="166">
        <f t="shared" si="66"/>
        <v>0</v>
      </c>
      <c r="AC80" s="33">
        <f t="shared" si="67"/>
        <v>43812.575686750111</v>
      </c>
      <c r="AD80" s="167">
        <f t="shared" si="68"/>
        <v>2409.6916627712562</v>
      </c>
      <c r="AE80" s="165">
        <v>0</v>
      </c>
      <c r="AF80" s="166">
        <f t="shared" si="69"/>
        <v>0</v>
      </c>
      <c r="AG80" s="33">
        <f t="shared" si="70"/>
        <v>46422.267349521368</v>
      </c>
      <c r="AH80" s="167">
        <f t="shared" si="71"/>
        <v>2553.2247042236754</v>
      </c>
      <c r="AI80" s="165">
        <v>0</v>
      </c>
      <c r="AJ80" s="166">
        <f t="shared" si="72"/>
        <v>0</v>
      </c>
      <c r="AK80" s="33">
        <f t="shared" si="73"/>
        <v>49175.492053745045</v>
      </c>
      <c r="AL80" s="167">
        <f t="shared" si="74"/>
        <v>2704.6520629559777</v>
      </c>
      <c r="AM80" s="165">
        <v>0</v>
      </c>
      <c r="AN80" s="166">
        <f t="shared" si="75"/>
        <v>0</v>
      </c>
      <c r="AO80" s="33">
        <f t="shared" si="76"/>
        <v>52080.14411670102</v>
      </c>
      <c r="AP80" s="167">
        <f t="shared" si="77"/>
        <v>2864.4079264185561</v>
      </c>
      <c r="AQ80" s="165">
        <v>0</v>
      </c>
      <c r="AR80" s="166">
        <f t="shared" si="78"/>
        <v>0</v>
      </c>
      <c r="AS80" s="33">
        <f t="shared" si="79"/>
        <v>55144.552043119576</v>
      </c>
      <c r="AT80" s="167">
        <f t="shared" si="80"/>
        <v>3860.1186430183707</v>
      </c>
      <c r="AU80" s="165">
        <v>0</v>
      </c>
      <c r="AV80" s="166">
        <f t="shared" si="81"/>
        <v>0</v>
      </c>
      <c r="AW80" s="33">
        <f t="shared" si="82"/>
        <v>59204.67068613795</v>
      </c>
      <c r="AX80" s="167">
        <f t="shared" si="83"/>
        <v>4144.3269480296567</v>
      </c>
      <c r="AY80" s="165">
        <v>0</v>
      </c>
      <c r="AZ80" s="166">
        <f t="shared" si="84"/>
        <v>0</v>
      </c>
      <c r="BA80" s="33">
        <f t="shared" si="85"/>
        <v>63548.997634167608</v>
      </c>
      <c r="BB80" s="167">
        <f t="shared" si="86"/>
        <v>4448.4298343917326</v>
      </c>
      <c r="BC80" s="165">
        <v>0</v>
      </c>
      <c r="BD80" s="166">
        <f t="shared" si="87"/>
        <v>0</v>
      </c>
      <c r="BE80" s="33">
        <f t="shared" si="88"/>
        <v>68197.427468559341</v>
      </c>
      <c r="BF80" s="167">
        <f t="shared" si="89"/>
        <v>4773.8199227991545</v>
      </c>
      <c r="BG80" s="165">
        <v>0</v>
      </c>
      <c r="BH80" s="166">
        <f t="shared" si="90"/>
        <v>0</v>
      </c>
      <c r="BI80" s="33">
        <f t="shared" si="91"/>
        <v>73171.247391358498</v>
      </c>
      <c r="BJ80" s="167">
        <f t="shared" si="92"/>
        <v>5121.9873173950955</v>
      </c>
      <c r="BK80" s="87">
        <f t="shared" si="93"/>
        <v>0</v>
      </c>
      <c r="BL80" s="33">
        <f>'2023-2024'!BL80+'2024-2025'!BK80</f>
        <v>1900</v>
      </c>
    </row>
    <row r="81" spans="1:64">
      <c r="A81" s="10" t="s">
        <v>652</v>
      </c>
      <c r="B81" s="10" t="s">
        <v>149</v>
      </c>
      <c r="C81" s="80">
        <v>0</v>
      </c>
      <c r="D81" s="79">
        <f t="shared" si="47"/>
        <v>2400</v>
      </c>
      <c r="E81" s="78">
        <f>'2023-2024'!I81</f>
        <v>18210.0246100121</v>
      </c>
      <c r="F81" s="187">
        <f t="shared" si="48"/>
        <v>2400</v>
      </c>
      <c r="G81" s="33">
        <f t="shared" si="49"/>
        <v>2100</v>
      </c>
      <c r="H81" s="190">
        <f t="shared" si="50"/>
        <v>300</v>
      </c>
      <c r="I81" s="78">
        <f t="shared" si="51"/>
        <v>37308.513841932254</v>
      </c>
      <c r="J81" s="78">
        <f t="shared" si="52"/>
        <v>0</v>
      </c>
      <c r="K81" s="78">
        <f t="shared" si="53"/>
        <v>115.5</v>
      </c>
      <c r="L81" s="78">
        <f t="shared" si="54"/>
        <v>18798.489231920154</v>
      </c>
      <c r="M81" s="194">
        <f t="shared" si="55"/>
        <v>18798.489231920154</v>
      </c>
      <c r="N81" s="78">
        <f t="shared" si="56"/>
        <v>-16582.989231920154</v>
      </c>
      <c r="O81" s="165">
        <v>300</v>
      </c>
      <c r="P81" s="166">
        <f t="shared" si="57"/>
        <v>0</v>
      </c>
      <c r="Q81" s="119">
        <f t="shared" si="58"/>
        <v>18410.0246100121</v>
      </c>
      <c r="R81" s="167">
        <f t="shared" si="59"/>
        <v>996.05135355066557</v>
      </c>
      <c r="S81" s="165">
        <v>300</v>
      </c>
      <c r="T81" s="166">
        <f t="shared" si="60"/>
        <v>0</v>
      </c>
      <c r="U81" s="33">
        <f t="shared" si="61"/>
        <v>19306.075963562766</v>
      </c>
      <c r="V81" s="167">
        <f t="shared" si="62"/>
        <v>1045.3341779959521</v>
      </c>
      <c r="W81" s="165">
        <v>300</v>
      </c>
      <c r="X81" s="166">
        <f t="shared" si="63"/>
        <v>0</v>
      </c>
      <c r="Y81" s="33">
        <f t="shared" si="64"/>
        <v>20251.410141558717</v>
      </c>
      <c r="Z81" s="167">
        <f t="shared" si="65"/>
        <v>1097.3275577857294</v>
      </c>
      <c r="AA81" s="165">
        <v>300</v>
      </c>
      <c r="AB81" s="166">
        <f t="shared" si="66"/>
        <v>0</v>
      </c>
      <c r="AC81" s="33">
        <f t="shared" si="67"/>
        <v>21248.737699344449</v>
      </c>
      <c r="AD81" s="167">
        <f t="shared" si="68"/>
        <v>1152.1805734639447</v>
      </c>
      <c r="AE81" s="165">
        <v>0</v>
      </c>
      <c r="AF81" s="166">
        <f t="shared" si="69"/>
        <v>0</v>
      </c>
      <c r="AG81" s="33">
        <f t="shared" si="70"/>
        <v>22600.918272808394</v>
      </c>
      <c r="AH81" s="167">
        <f t="shared" si="71"/>
        <v>1243.0505050044617</v>
      </c>
      <c r="AI81" s="165">
        <f>300+300</f>
        <v>600</v>
      </c>
      <c r="AJ81" s="166">
        <f t="shared" si="72"/>
        <v>0</v>
      </c>
      <c r="AK81" s="33">
        <f t="shared" si="73"/>
        <v>23443.968777812857</v>
      </c>
      <c r="AL81" s="167">
        <f t="shared" si="74"/>
        <v>1256.4182827797072</v>
      </c>
      <c r="AM81" s="165">
        <v>300</v>
      </c>
      <c r="AN81" s="166">
        <f t="shared" si="75"/>
        <v>0</v>
      </c>
      <c r="AO81" s="33">
        <f t="shared" si="76"/>
        <v>24600.387060592566</v>
      </c>
      <c r="AP81" s="167">
        <f t="shared" si="77"/>
        <v>1336.5212883325912</v>
      </c>
      <c r="AQ81" s="165">
        <v>0</v>
      </c>
      <c r="AR81" s="166">
        <f t="shared" si="78"/>
        <v>0</v>
      </c>
      <c r="AS81" s="33">
        <f t="shared" si="79"/>
        <v>26136.908348925157</v>
      </c>
      <c r="AT81" s="167">
        <f t="shared" si="80"/>
        <v>1829.5835844247611</v>
      </c>
      <c r="AU81" s="165">
        <v>0</v>
      </c>
      <c r="AV81" s="166">
        <f t="shared" si="81"/>
        <v>0</v>
      </c>
      <c r="AW81" s="33">
        <f t="shared" si="82"/>
        <v>28166.491933349917</v>
      </c>
      <c r="AX81" s="167">
        <f t="shared" si="83"/>
        <v>1971.6544353344943</v>
      </c>
      <c r="AY81" s="165">
        <v>0</v>
      </c>
      <c r="AZ81" s="166">
        <f t="shared" si="84"/>
        <v>0</v>
      </c>
      <c r="BA81" s="33">
        <f t="shared" si="85"/>
        <v>30338.146368684411</v>
      </c>
      <c r="BB81" s="167">
        <f t="shared" si="86"/>
        <v>2123.6702458079089</v>
      </c>
      <c r="BC81" s="165">
        <v>0</v>
      </c>
      <c r="BD81" s="166">
        <f t="shared" si="87"/>
        <v>0</v>
      </c>
      <c r="BE81" s="33">
        <f t="shared" si="88"/>
        <v>32661.81661449232</v>
      </c>
      <c r="BF81" s="167">
        <f t="shared" si="89"/>
        <v>2286.3271630144627</v>
      </c>
      <c r="BG81" s="165">
        <v>0</v>
      </c>
      <c r="BH81" s="166">
        <f t="shared" si="90"/>
        <v>0</v>
      </c>
      <c r="BI81" s="33">
        <f t="shared" si="91"/>
        <v>35148.143777506775</v>
      </c>
      <c r="BJ81" s="167">
        <f t="shared" si="92"/>
        <v>2460.3700644254745</v>
      </c>
      <c r="BK81" s="87">
        <f t="shared" si="93"/>
        <v>2100</v>
      </c>
      <c r="BL81" s="33">
        <f>'2023-2024'!BL81+'2024-2025'!BK81</f>
        <v>11000</v>
      </c>
    </row>
    <row r="82" spans="1:64">
      <c r="A82" s="10" t="s">
        <v>653</v>
      </c>
      <c r="B82" s="10" t="s">
        <v>148</v>
      </c>
      <c r="C82" s="80">
        <v>0</v>
      </c>
      <c r="D82" s="79">
        <f t="shared" si="47"/>
        <v>2400</v>
      </c>
      <c r="E82" s="78">
        <f>'2023-2024'!I82</f>
        <v>1930.6841121444745</v>
      </c>
      <c r="F82" s="187">
        <f t="shared" si="48"/>
        <v>2400</v>
      </c>
      <c r="G82" s="33">
        <f t="shared" si="49"/>
        <v>0</v>
      </c>
      <c r="H82" s="190">
        <f t="shared" si="50"/>
        <v>2400</v>
      </c>
      <c r="I82" s="78">
        <f t="shared" si="51"/>
        <v>7616.2525336465533</v>
      </c>
      <c r="J82" s="78">
        <f t="shared" si="52"/>
        <v>0</v>
      </c>
      <c r="K82" s="78">
        <f t="shared" si="53"/>
        <v>0</v>
      </c>
      <c r="L82" s="78">
        <f t="shared" si="54"/>
        <v>3285.5684215020797</v>
      </c>
      <c r="M82" s="194">
        <f t="shared" si="55"/>
        <v>3285.5684215020797</v>
      </c>
      <c r="N82" s="78">
        <f t="shared" si="56"/>
        <v>-3285.5684215020797</v>
      </c>
      <c r="O82" s="165">
        <v>0</v>
      </c>
      <c r="P82" s="166">
        <f t="shared" si="57"/>
        <v>0</v>
      </c>
      <c r="Q82" s="119">
        <f t="shared" si="58"/>
        <v>2130.6841121444745</v>
      </c>
      <c r="R82" s="167">
        <f t="shared" si="59"/>
        <v>117.18762616794609</v>
      </c>
      <c r="S82" s="165">
        <v>0</v>
      </c>
      <c r="T82" s="166">
        <f t="shared" si="60"/>
        <v>0</v>
      </c>
      <c r="U82" s="33">
        <f t="shared" si="61"/>
        <v>2447.8717383124208</v>
      </c>
      <c r="V82" s="167">
        <f t="shared" si="62"/>
        <v>134.63294560718313</v>
      </c>
      <c r="W82" s="165">
        <v>0</v>
      </c>
      <c r="X82" s="166">
        <f t="shared" si="63"/>
        <v>0</v>
      </c>
      <c r="Y82" s="33">
        <f t="shared" si="64"/>
        <v>2782.5046839196038</v>
      </c>
      <c r="Z82" s="167">
        <f t="shared" si="65"/>
        <v>153.03775761557822</v>
      </c>
      <c r="AA82" s="165">
        <v>0</v>
      </c>
      <c r="AB82" s="166">
        <f t="shared" si="66"/>
        <v>0</v>
      </c>
      <c r="AC82" s="33">
        <f t="shared" si="67"/>
        <v>3135.5424415351822</v>
      </c>
      <c r="AD82" s="167">
        <f t="shared" si="68"/>
        <v>172.45483428443501</v>
      </c>
      <c r="AE82" s="165">
        <v>0</v>
      </c>
      <c r="AF82" s="166">
        <f t="shared" si="69"/>
        <v>0</v>
      </c>
      <c r="AG82" s="33">
        <f t="shared" si="70"/>
        <v>3507.9972758196172</v>
      </c>
      <c r="AH82" s="167">
        <f t="shared" si="71"/>
        <v>192.93985017007896</v>
      </c>
      <c r="AI82" s="165">
        <v>0</v>
      </c>
      <c r="AJ82" s="166">
        <f t="shared" si="72"/>
        <v>0</v>
      </c>
      <c r="AK82" s="33">
        <f t="shared" si="73"/>
        <v>3900.9371259896961</v>
      </c>
      <c r="AL82" s="167">
        <f t="shared" si="74"/>
        <v>214.55154192943328</v>
      </c>
      <c r="AM82" s="165">
        <v>0</v>
      </c>
      <c r="AN82" s="166">
        <f t="shared" si="75"/>
        <v>0</v>
      </c>
      <c r="AO82" s="33">
        <f t="shared" si="76"/>
        <v>4315.4886679191295</v>
      </c>
      <c r="AP82" s="167">
        <f t="shared" si="77"/>
        <v>237.35187673555211</v>
      </c>
      <c r="AQ82" s="165">
        <v>0</v>
      </c>
      <c r="AR82" s="166">
        <f t="shared" si="78"/>
        <v>0</v>
      </c>
      <c r="AS82" s="33">
        <f t="shared" si="79"/>
        <v>4752.8405446546813</v>
      </c>
      <c r="AT82" s="167">
        <f t="shared" si="80"/>
        <v>332.69883812582771</v>
      </c>
      <c r="AU82" s="165">
        <v>0</v>
      </c>
      <c r="AV82" s="166">
        <f t="shared" si="81"/>
        <v>0</v>
      </c>
      <c r="AW82" s="33">
        <f t="shared" si="82"/>
        <v>5285.5393827805092</v>
      </c>
      <c r="AX82" s="167">
        <f t="shared" si="83"/>
        <v>369.98775679463569</v>
      </c>
      <c r="AY82" s="165">
        <v>0</v>
      </c>
      <c r="AZ82" s="166">
        <f t="shared" si="84"/>
        <v>0</v>
      </c>
      <c r="BA82" s="33">
        <f t="shared" si="85"/>
        <v>5855.5271395751452</v>
      </c>
      <c r="BB82" s="167">
        <f t="shared" si="86"/>
        <v>409.88689977026019</v>
      </c>
      <c r="BC82" s="165">
        <v>0</v>
      </c>
      <c r="BD82" s="166">
        <f t="shared" si="87"/>
        <v>0</v>
      </c>
      <c r="BE82" s="33">
        <f t="shared" si="88"/>
        <v>6465.4140393454054</v>
      </c>
      <c r="BF82" s="167">
        <f t="shared" si="89"/>
        <v>452.57898275417841</v>
      </c>
      <c r="BG82" s="165">
        <v>0</v>
      </c>
      <c r="BH82" s="166">
        <f t="shared" si="90"/>
        <v>0</v>
      </c>
      <c r="BI82" s="33">
        <f t="shared" si="91"/>
        <v>7117.9930220995839</v>
      </c>
      <c r="BJ82" s="167">
        <f t="shared" si="92"/>
        <v>498.25951154697094</v>
      </c>
      <c r="BK82" s="87">
        <f t="shared" si="93"/>
        <v>0</v>
      </c>
      <c r="BL82" s="33">
        <f>'2023-2024'!BL82+'2024-2025'!BK82</f>
        <v>11000</v>
      </c>
    </row>
    <row r="83" spans="1:64">
      <c r="A83" s="10" t="s">
        <v>654</v>
      </c>
      <c r="B83" s="10" t="s">
        <v>127</v>
      </c>
      <c r="C83" s="80">
        <v>0</v>
      </c>
      <c r="D83" s="79">
        <f t="shared" si="47"/>
        <v>2400</v>
      </c>
      <c r="E83" s="78">
        <f>'2023-2024'!I83</f>
        <v>17423.50936224289</v>
      </c>
      <c r="F83" s="187">
        <f t="shared" si="48"/>
        <v>2400</v>
      </c>
      <c r="G83" s="33">
        <f t="shared" si="49"/>
        <v>0</v>
      </c>
      <c r="H83" s="190">
        <f t="shared" si="50"/>
        <v>2400</v>
      </c>
      <c r="I83" s="78">
        <f t="shared" si="51"/>
        <v>39225.687171954109</v>
      </c>
      <c r="J83" s="78">
        <f t="shared" si="52"/>
        <v>0</v>
      </c>
      <c r="K83" s="78">
        <f t="shared" si="53"/>
        <v>0</v>
      </c>
      <c r="L83" s="78">
        <f t="shared" si="54"/>
        <v>19402.177809711222</v>
      </c>
      <c r="M83" s="194">
        <f t="shared" si="55"/>
        <v>19402.177809711222</v>
      </c>
      <c r="N83" s="78">
        <f t="shared" si="56"/>
        <v>-19402.177809711222</v>
      </c>
      <c r="O83" s="165">
        <v>0</v>
      </c>
      <c r="P83" s="166">
        <f t="shared" si="57"/>
        <v>0</v>
      </c>
      <c r="Q83" s="119">
        <f t="shared" si="58"/>
        <v>17623.50936224289</v>
      </c>
      <c r="R83" s="167">
        <f t="shared" si="59"/>
        <v>969.29301492335901</v>
      </c>
      <c r="S83" s="165">
        <v>0</v>
      </c>
      <c r="T83" s="166">
        <f t="shared" si="60"/>
        <v>0</v>
      </c>
      <c r="U83" s="33">
        <f t="shared" si="61"/>
        <v>18792.802377166248</v>
      </c>
      <c r="V83" s="167">
        <f t="shared" si="62"/>
        <v>1033.6041307441437</v>
      </c>
      <c r="W83" s="165">
        <v>0</v>
      </c>
      <c r="X83" s="166">
        <f t="shared" si="63"/>
        <v>0</v>
      </c>
      <c r="Y83" s="33">
        <f t="shared" si="64"/>
        <v>20026.406507910393</v>
      </c>
      <c r="Z83" s="167">
        <f t="shared" si="65"/>
        <v>1101.4523579350716</v>
      </c>
      <c r="AA83" s="165">
        <v>0</v>
      </c>
      <c r="AB83" s="166">
        <f t="shared" si="66"/>
        <v>0</v>
      </c>
      <c r="AC83" s="33">
        <f t="shared" si="67"/>
        <v>21327.858865845465</v>
      </c>
      <c r="AD83" s="167">
        <f t="shared" si="68"/>
        <v>1173.0322376215006</v>
      </c>
      <c r="AE83" s="165">
        <v>0</v>
      </c>
      <c r="AF83" s="166">
        <f t="shared" si="69"/>
        <v>0</v>
      </c>
      <c r="AG83" s="33">
        <f t="shared" si="70"/>
        <v>22700.891103466965</v>
      </c>
      <c r="AH83" s="167">
        <f t="shared" si="71"/>
        <v>1248.5490106906832</v>
      </c>
      <c r="AI83" s="165">
        <v>0</v>
      </c>
      <c r="AJ83" s="166">
        <f t="shared" si="72"/>
        <v>0</v>
      </c>
      <c r="AK83" s="33">
        <f t="shared" si="73"/>
        <v>24149.440114157649</v>
      </c>
      <c r="AL83" s="167">
        <f t="shared" si="74"/>
        <v>1328.2192062786708</v>
      </c>
      <c r="AM83" s="165">
        <v>0</v>
      </c>
      <c r="AN83" s="166">
        <f t="shared" si="75"/>
        <v>0</v>
      </c>
      <c r="AO83" s="33">
        <f t="shared" si="76"/>
        <v>25677.65932043632</v>
      </c>
      <c r="AP83" s="167">
        <f t="shared" si="77"/>
        <v>1412.2712626239977</v>
      </c>
      <c r="AQ83" s="165">
        <v>0</v>
      </c>
      <c r="AR83" s="166">
        <f t="shared" si="78"/>
        <v>0</v>
      </c>
      <c r="AS83" s="33">
        <f t="shared" si="79"/>
        <v>27289.930583060319</v>
      </c>
      <c r="AT83" s="167">
        <f t="shared" si="80"/>
        <v>1910.2951408142226</v>
      </c>
      <c r="AU83" s="165">
        <v>0</v>
      </c>
      <c r="AV83" s="166">
        <f t="shared" si="81"/>
        <v>0</v>
      </c>
      <c r="AW83" s="33">
        <f t="shared" si="82"/>
        <v>29400.225723874541</v>
      </c>
      <c r="AX83" s="167">
        <f t="shared" si="83"/>
        <v>2058.0158006712181</v>
      </c>
      <c r="AY83" s="165">
        <v>0</v>
      </c>
      <c r="AZ83" s="166">
        <f t="shared" si="84"/>
        <v>0</v>
      </c>
      <c r="BA83" s="33">
        <f t="shared" si="85"/>
        <v>31658.24152454576</v>
      </c>
      <c r="BB83" s="167">
        <f t="shared" si="86"/>
        <v>2216.0769067182032</v>
      </c>
      <c r="BC83" s="165">
        <v>0</v>
      </c>
      <c r="BD83" s="166">
        <f t="shared" si="87"/>
        <v>0</v>
      </c>
      <c r="BE83" s="33">
        <f t="shared" si="88"/>
        <v>34074.318431263964</v>
      </c>
      <c r="BF83" s="167">
        <f t="shared" si="89"/>
        <v>2385.2022901884775</v>
      </c>
      <c r="BG83" s="165">
        <v>0</v>
      </c>
      <c r="BH83" s="166">
        <f t="shared" si="90"/>
        <v>0</v>
      </c>
      <c r="BI83" s="33">
        <f t="shared" si="91"/>
        <v>36659.520721452442</v>
      </c>
      <c r="BJ83" s="167">
        <f t="shared" si="92"/>
        <v>2566.1664505016711</v>
      </c>
      <c r="BK83" s="87">
        <f t="shared" si="93"/>
        <v>0</v>
      </c>
      <c r="BL83" s="33">
        <f>'2023-2024'!BL83+'2024-2025'!BK83</f>
        <v>6600</v>
      </c>
    </row>
    <row r="84" spans="1:64">
      <c r="A84" s="10" t="s">
        <v>655</v>
      </c>
      <c r="B84" s="10" t="s">
        <v>147</v>
      </c>
      <c r="C84" s="80">
        <v>0</v>
      </c>
      <c r="D84" s="79">
        <f t="shared" si="47"/>
        <v>2400</v>
      </c>
      <c r="E84" s="78">
        <f>'2023-2024'!I84</f>
        <v>34490.465346578465</v>
      </c>
      <c r="F84" s="187">
        <f t="shared" si="48"/>
        <v>2400</v>
      </c>
      <c r="G84" s="33">
        <f t="shared" si="49"/>
        <v>0</v>
      </c>
      <c r="H84" s="190">
        <f t="shared" si="50"/>
        <v>2400</v>
      </c>
      <c r="I84" s="78">
        <f t="shared" si="51"/>
        <v>74046.762150405848</v>
      </c>
      <c r="J84" s="78">
        <f t="shared" si="52"/>
        <v>0</v>
      </c>
      <c r="K84" s="78">
        <f t="shared" si="53"/>
        <v>0</v>
      </c>
      <c r="L84" s="78">
        <f t="shared" si="54"/>
        <v>37156.296803827376</v>
      </c>
      <c r="M84" s="194">
        <f t="shared" si="55"/>
        <v>37156.296803827376</v>
      </c>
      <c r="N84" s="78">
        <f t="shared" si="56"/>
        <v>-37156.296803827376</v>
      </c>
      <c r="O84" s="165">
        <v>0</v>
      </c>
      <c r="P84" s="166">
        <f t="shared" si="57"/>
        <v>0</v>
      </c>
      <c r="Q84" s="119">
        <f t="shared" si="58"/>
        <v>34690.465346578465</v>
      </c>
      <c r="R84" s="167">
        <f t="shared" si="59"/>
        <v>1907.9755940618156</v>
      </c>
      <c r="S84" s="165">
        <v>0</v>
      </c>
      <c r="T84" s="166">
        <f t="shared" si="60"/>
        <v>0</v>
      </c>
      <c r="U84" s="33">
        <f t="shared" si="61"/>
        <v>36798.440940640277</v>
      </c>
      <c r="V84" s="167">
        <f t="shared" si="62"/>
        <v>2023.9142517352152</v>
      </c>
      <c r="W84" s="165">
        <v>0</v>
      </c>
      <c r="X84" s="166">
        <f t="shared" si="63"/>
        <v>0</v>
      </c>
      <c r="Y84" s="33">
        <f t="shared" si="64"/>
        <v>39022.355192375493</v>
      </c>
      <c r="Z84" s="167">
        <f t="shared" si="65"/>
        <v>2146.2295355806523</v>
      </c>
      <c r="AA84" s="165">
        <v>0</v>
      </c>
      <c r="AB84" s="166">
        <f t="shared" si="66"/>
        <v>0</v>
      </c>
      <c r="AC84" s="33">
        <f t="shared" si="67"/>
        <v>41368.584727956142</v>
      </c>
      <c r="AD84" s="167">
        <f t="shared" si="68"/>
        <v>2275.272160037588</v>
      </c>
      <c r="AE84" s="165">
        <v>0</v>
      </c>
      <c r="AF84" s="166">
        <f t="shared" si="69"/>
        <v>0</v>
      </c>
      <c r="AG84" s="33">
        <f t="shared" si="70"/>
        <v>43843.85688799373</v>
      </c>
      <c r="AH84" s="167">
        <f t="shared" si="71"/>
        <v>2411.412128839655</v>
      </c>
      <c r="AI84" s="165">
        <v>0</v>
      </c>
      <c r="AJ84" s="166">
        <f t="shared" si="72"/>
        <v>0</v>
      </c>
      <c r="AK84" s="33">
        <f t="shared" si="73"/>
        <v>46455.269016833387</v>
      </c>
      <c r="AL84" s="167">
        <f t="shared" si="74"/>
        <v>2555.0397959258362</v>
      </c>
      <c r="AM84" s="165">
        <v>0</v>
      </c>
      <c r="AN84" s="166">
        <f t="shared" si="75"/>
        <v>0</v>
      </c>
      <c r="AO84" s="33">
        <f t="shared" si="76"/>
        <v>49210.30881275922</v>
      </c>
      <c r="AP84" s="167">
        <f t="shared" si="77"/>
        <v>2706.5669847017571</v>
      </c>
      <c r="AQ84" s="165">
        <v>0</v>
      </c>
      <c r="AR84" s="166">
        <f t="shared" si="78"/>
        <v>0</v>
      </c>
      <c r="AS84" s="33">
        <f t="shared" si="79"/>
        <v>52116.875797460976</v>
      </c>
      <c r="AT84" s="167">
        <f t="shared" si="80"/>
        <v>3648.1813058222688</v>
      </c>
      <c r="AU84" s="165">
        <v>0</v>
      </c>
      <c r="AV84" s="166">
        <f t="shared" si="81"/>
        <v>0</v>
      </c>
      <c r="AW84" s="33">
        <f t="shared" si="82"/>
        <v>55965.057103283245</v>
      </c>
      <c r="AX84" s="167">
        <f t="shared" si="83"/>
        <v>3917.5539972298275</v>
      </c>
      <c r="AY84" s="165">
        <v>0</v>
      </c>
      <c r="AZ84" s="166">
        <f t="shared" si="84"/>
        <v>0</v>
      </c>
      <c r="BA84" s="33">
        <f t="shared" si="85"/>
        <v>60082.611100513073</v>
      </c>
      <c r="BB84" s="167">
        <f t="shared" si="86"/>
        <v>4205.7827770359154</v>
      </c>
      <c r="BC84" s="165">
        <v>0</v>
      </c>
      <c r="BD84" s="166">
        <f t="shared" si="87"/>
        <v>0</v>
      </c>
      <c r="BE84" s="33">
        <f t="shared" si="88"/>
        <v>64488.393877548988</v>
      </c>
      <c r="BF84" s="167">
        <f t="shared" si="89"/>
        <v>4514.1875714284297</v>
      </c>
      <c r="BG84" s="165">
        <v>0</v>
      </c>
      <c r="BH84" s="166">
        <f t="shared" si="90"/>
        <v>0</v>
      </c>
      <c r="BI84" s="33">
        <f t="shared" si="91"/>
        <v>69202.58144897742</v>
      </c>
      <c r="BJ84" s="167">
        <f t="shared" si="92"/>
        <v>4844.1807014284195</v>
      </c>
      <c r="BK84" s="87">
        <f t="shared" si="93"/>
        <v>0</v>
      </c>
      <c r="BL84" s="33">
        <f>'2023-2024'!BL84+'2024-2025'!BK84</f>
        <v>2500</v>
      </c>
    </row>
    <row r="85" spans="1:64">
      <c r="A85" s="10" t="s">
        <v>656</v>
      </c>
      <c r="B85" s="10" t="s">
        <v>121</v>
      </c>
      <c r="C85" s="80">
        <v>0</v>
      </c>
      <c r="D85" s="79">
        <f t="shared" si="47"/>
        <v>2400</v>
      </c>
      <c r="E85" s="78">
        <f>'2023-2024'!I85</f>
        <v>24291.918477890133</v>
      </c>
      <c r="F85" s="187">
        <f t="shared" si="48"/>
        <v>2400</v>
      </c>
      <c r="G85" s="33">
        <f t="shared" si="49"/>
        <v>0</v>
      </c>
      <c r="H85" s="190">
        <f t="shared" si="50"/>
        <v>2400</v>
      </c>
      <c r="I85" s="78">
        <f t="shared" si="51"/>
        <v>53239.046614501756</v>
      </c>
      <c r="J85" s="78">
        <f t="shared" si="52"/>
        <v>0</v>
      </c>
      <c r="K85" s="78">
        <f t="shared" si="53"/>
        <v>0</v>
      </c>
      <c r="L85" s="78">
        <f t="shared" si="54"/>
        <v>26547.128136611624</v>
      </c>
      <c r="M85" s="194">
        <f t="shared" si="55"/>
        <v>26547.128136611624</v>
      </c>
      <c r="N85" s="78">
        <f t="shared" si="56"/>
        <v>-26547.128136611624</v>
      </c>
      <c r="O85" s="165">
        <v>0</v>
      </c>
      <c r="P85" s="166">
        <f t="shared" si="57"/>
        <v>0</v>
      </c>
      <c r="Q85" s="119">
        <f t="shared" si="58"/>
        <v>24491.918477890133</v>
      </c>
      <c r="R85" s="167">
        <f t="shared" si="59"/>
        <v>1347.0555162839573</v>
      </c>
      <c r="S85" s="165">
        <v>0</v>
      </c>
      <c r="T85" s="166">
        <f t="shared" si="60"/>
        <v>0</v>
      </c>
      <c r="U85" s="33">
        <f t="shared" si="61"/>
        <v>26038.973994174092</v>
      </c>
      <c r="V85" s="167">
        <f t="shared" si="62"/>
        <v>1432.143569679575</v>
      </c>
      <c r="W85" s="165">
        <v>0</v>
      </c>
      <c r="X85" s="166">
        <f t="shared" si="63"/>
        <v>0</v>
      </c>
      <c r="Y85" s="33">
        <f t="shared" si="64"/>
        <v>27671.117563853666</v>
      </c>
      <c r="Z85" s="167">
        <f t="shared" si="65"/>
        <v>1521.9114660119517</v>
      </c>
      <c r="AA85" s="165">
        <v>0</v>
      </c>
      <c r="AB85" s="166">
        <f t="shared" si="66"/>
        <v>0</v>
      </c>
      <c r="AC85" s="33">
        <f t="shared" si="67"/>
        <v>29393.029029865618</v>
      </c>
      <c r="AD85" s="167">
        <f t="shared" si="68"/>
        <v>1616.616596642609</v>
      </c>
      <c r="AE85" s="165">
        <v>0</v>
      </c>
      <c r="AF85" s="166">
        <f t="shared" si="69"/>
        <v>0</v>
      </c>
      <c r="AG85" s="33">
        <f t="shared" si="70"/>
        <v>31209.645626508227</v>
      </c>
      <c r="AH85" s="167">
        <f t="shared" si="71"/>
        <v>1716.5305094579526</v>
      </c>
      <c r="AI85" s="165">
        <v>0</v>
      </c>
      <c r="AJ85" s="166">
        <f t="shared" si="72"/>
        <v>0</v>
      </c>
      <c r="AK85" s="33">
        <f t="shared" si="73"/>
        <v>33126.176135966176</v>
      </c>
      <c r="AL85" s="167">
        <f t="shared" si="74"/>
        <v>1821.9396874781396</v>
      </c>
      <c r="AM85" s="165">
        <v>0</v>
      </c>
      <c r="AN85" s="166">
        <f t="shared" si="75"/>
        <v>0</v>
      </c>
      <c r="AO85" s="33">
        <f t="shared" si="76"/>
        <v>35148.115823444314</v>
      </c>
      <c r="AP85" s="167">
        <f t="shared" si="77"/>
        <v>1933.1463702894373</v>
      </c>
      <c r="AQ85" s="165">
        <v>0</v>
      </c>
      <c r="AR85" s="166">
        <f t="shared" si="78"/>
        <v>0</v>
      </c>
      <c r="AS85" s="33">
        <f t="shared" si="79"/>
        <v>37281.262193733754</v>
      </c>
      <c r="AT85" s="167">
        <f t="shared" si="80"/>
        <v>2609.6883535613629</v>
      </c>
      <c r="AU85" s="165">
        <v>0</v>
      </c>
      <c r="AV85" s="166">
        <f t="shared" si="81"/>
        <v>0</v>
      </c>
      <c r="AW85" s="33">
        <f t="shared" si="82"/>
        <v>40090.950547295113</v>
      </c>
      <c r="AX85" s="167">
        <f t="shared" si="83"/>
        <v>2806.3665383106581</v>
      </c>
      <c r="AY85" s="165">
        <v>0</v>
      </c>
      <c r="AZ85" s="166">
        <f t="shared" si="84"/>
        <v>0</v>
      </c>
      <c r="BA85" s="33">
        <f t="shared" si="85"/>
        <v>43097.31708560577</v>
      </c>
      <c r="BB85" s="167">
        <f t="shared" si="86"/>
        <v>3016.8121959924042</v>
      </c>
      <c r="BC85" s="165">
        <v>0</v>
      </c>
      <c r="BD85" s="166">
        <f t="shared" si="87"/>
        <v>0</v>
      </c>
      <c r="BE85" s="33">
        <f t="shared" si="88"/>
        <v>46314.129281598172</v>
      </c>
      <c r="BF85" s="167">
        <f t="shared" si="89"/>
        <v>3241.9890497118722</v>
      </c>
      <c r="BG85" s="165">
        <v>0</v>
      </c>
      <c r="BH85" s="166">
        <f t="shared" si="90"/>
        <v>0</v>
      </c>
      <c r="BI85" s="33">
        <f t="shared" si="91"/>
        <v>49756.118331310048</v>
      </c>
      <c r="BJ85" s="167">
        <f t="shared" si="92"/>
        <v>3482.9282831917035</v>
      </c>
      <c r="BK85" s="87">
        <f t="shared" si="93"/>
        <v>0</v>
      </c>
      <c r="BL85" s="33">
        <f>'2023-2024'!BL85+'2024-2025'!BK85</f>
        <v>4850</v>
      </c>
    </row>
    <row r="86" spans="1:64">
      <c r="A86" s="10" t="s">
        <v>657</v>
      </c>
      <c r="B86" s="10" t="s">
        <v>145</v>
      </c>
      <c r="C86" s="80">
        <v>0</v>
      </c>
      <c r="D86" s="79">
        <f t="shared" si="47"/>
        <v>2400</v>
      </c>
      <c r="E86" s="78">
        <f>'2023-2024'!I86</f>
        <v>13974.808761470958</v>
      </c>
      <c r="F86" s="187">
        <f t="shared" si="48"/>
        <v>2400</v>
      </c>
      <c r="G86" s="33">
        <f t="shared" si="49"/>
        <v>1800</v>
      </c>
      <c r="H86" s="190">
        <f t="shared" si="50"/>
        <v>600</v>
      </c>
      <c r="I86" s="78">
        <f t="shared" si="51"/>
        <v>28972.369364455953</v>
      </c>
      <c r="J86" s="78">
        <f t="shared" si="52"/>
        <v>0</v>
      </c>
      <c r="K86" s="78">
        <f t="shared" si="53"/>
        <v>99</v>
      </c>
      <c r="L86" s="78">
        <f t="shared" si="54"/>
        <v>14397.560602984995</v>
      </c>
      <c r="M86" s="194">
        <f t="shared" si="55"/>
        <v>14397.560602984995</v>
      </c>
      <c r="N86" s="78">
        <f t="shared" si="56"/>
        <v>-12498.560602984995</v>
      </c>
      <c r="O86" s="165">
        <v>0</v>
      </c>
      <c r="P86" s="166">
        <f t="shared" si="57"/>
        <v>0</v>
      </c>
      <c r="Q86" s="119">
        <f t="shared" si="58"/>
        <v>14174.808761470958</v>
      </c>
      <c r="R86" s="167">
        <f t="shared" si="59"/>
        <v>779.61448188090276</v>
      </c>
      <c r="S86" s="165">
        <v>300</v>
      </c>
      <c r="T86" s="166">
        <f t="shared" si="60"/>
        <v>0</v>
      </c>
      <c r="U86" s="33">
        <f t="shared" si="61"/>
        <v>14854.423243351861</v>
      </c>
      <c r="V86" s="167">
        <f t="shared" si="62"/>
        <v>800.49327838435238</v>
      </c>
      <c r="W86" s="165">
        <v>300</v>
      </c>
      <c r="X86" s="166">
        <f t="shared" si="63"/>
        <v>0</v>
      </c>
      <c r="Y86" s="33">
        <f t="shared" si="64"/>
        <v>15554.916521736213</v>
      </c>
      <c r="Z86" s="167">
        <f t="shared" si="65"/>
        <v>839.02040869549171</v>
      </c>
      <c r="AA86" s="165">
        <v>300</v>
      </c>
      <c r="AB86" s="166">
        <f t="shared" si="66"/>
        <v>0</v>
      </c>
      <c r="AC86" s="33">
        <f t="shared" si="67"/>
        <v>16293.936930431704</v>
      </c>
      <c r="AD86" s="167">
        <f t="shared" si="68"/>
        <v>879.66653117374369</v>
      </c>
      <c r="AE86" s="165">
        <v>300</v>
      </c>
      <c r="AF86" s="166">
        <f t="shared" si="69"/>
        <v>0</v>
      </c>
      <c r="AG86" s="33">
        <f t="shared" si="70"/>
        <v>17073.603461605449</v>
      </c>
      <c r="AH86" s="167">
        <f t="shared" si="71"/>
        <v>922.54819038829976</v>
      </c>
      <c r="AI86" s="165">
        <v>300</v>
      </c>
      <c r="AJ86" s="166">
        <f t="shared" si="72"/>
        <v>0</v>
      </c>
      <c r="AK86" s="33">
        <f t="shared" si="73"/>
        <v>17896.15165199375</v>
      </c>
      <c r="AL86" s="167">
        <f t="shared" si="74"/>
        <v>967.78834085965627</v>
      </c>
      <c r="AM86" s="165">
        <v>300</v>
      </c>
      <c r="AN86" s="166">
        <f t="shared" si="75"/>
        <v>0</v>
      </c>
      <c r="AO86" s="33">
        <f t="shared" si="76"/>
        <v>18763.939992853408</v>
      </c>
      <c r="AP86" s="167">
        <f t="shared" si="77"/>
        <v>1015.5166996069374</v>
      </c>
      <c r="AQ86" s="165">
        <v>0</v>
      </c>
      <c r="AR86" s="166">
        <f t="shared" si="78"/>
        <v>0</v>
      </c>
      <c r="AS86" s="33">
        <f t="shared" si="79"/>
        <v>19979.456692460346</v>
      </c>
      <c r="AT86" s="167">
        <f t="shared" si="80"/>
        <v>1398.5619684722244</v>
      </c>
      <c r="AU86" s="165">
        <v>0</v>
      </c>
      <c r="AV86" s="166">
        <f t="shared" si="81"/>
        <v>0</v>
      </c>
      <c r="AW86" s="33">
        <f t="shared" si="82"/>
        <v>21578.018660932572</v>
      </c>
      <c r="AX86" s="167">
        <f t="shared" si="83"/>
        <v>1510.4613062652802</v>
      </c>
      <c r="AY86" s="165">
        <v>0</v>
      </c>
      <c r="AZ86" s="166">
        <f t="shared" si="84"/>
        <v>0</v>
      </c>
      <c r="BA86" s="33">
        <f t="shared" si="85"/>
        <v>23288.479967197851</v>
      </c>
      <c r="BB86" s="167">
        <f t="shared" si="86"/>
        <v>1630.1935977038497</v>
      </c>
      <c r="BC86" s="165">
        <v>0</v>
      </c>
      <c r="BD86" s="166">
        <f t="shared" si="87"/>
        <v>0</v>
      </c>
      <c r="BE86" s="33">
        <f t="shared" si="88"/>
        <v>25118.673564901699</v>
      </c>
      <c r="BF86" s="167">
        <f t="shared" si="89"/>
        <v>1758.3071495431191</v>
      </c>
      <c r="BG86" s="165">
        <v>0</v>
      </c>
      <c r="BH86" s="166">
        <f t="shared" si="90"/>
        <v>0</v>
      </c>
      <c r="BI86" s="33">
        <f t="shared" si="91"/>
        <v>27076.980714444817</v>
      </c>
      <c r="BJ86" s="167">
        <f t="shared" si="92"/>
        <v>1895.3886500111373</v>
      </c>
      <c r="BK86" s="87">
        <f t="shared" si="93"/>
        <v>1800</v>
      </c>
      <c r="BL86" s="33">
        <f>'2023-2024'!BL86+'2024-2025'!BK86</f>
        <v>14700</v>
      </c>
    </row>
    <row r="87" spans="1:64">
      <c r="A87" s="10" t="s">
        <v>658</v>
      </c>
      <c r="B87" s="10" t="s">
        <v>146</v>
      </c>
      <c r="C87" s="80">
        <v>0</v>
      </c>
      <c r="D87" s="79">
        <f t="shared" si="47"/>
        <v>2400</v>
      </c>
      <c r="E87" s="78">
        <f>'2023-2024'!I87</f>
        <v>44064.611386571589</v>
      </c>
      <c r="F87" s="78">
        <f t="shared" si="48"/>
        <v>2400</v>
      </c>
      <c r="G87" s="33">
        <f t="shared" si="49"/>
        <v>0</v>
      </c>
      <c r="H87" s="78">
        <f t="shared" si="50"/>
        <v>2400</v>
      </c>
      <c r="I87" s="78">
        <f t="shared" si="51"/>
        <v>93580.535918805617</v>
      </c>
      <c r="J87" s="78">
        <f t="shared" si="52"/>
        <v>0</v>
      </c>
      <c r="K87" s="78">
        <f t="shared" si="53"/>
        <v>0</v>
      </c>
      <c r="L87" s="78">
        <f t="shared" si="54"/>
        <v>47115.924532234028</v>
      </c>
      <c r="M87" s="194">
        <f t="shared" si="55"/>
        <v>47115.924532234028</v>
      </c>
      <c r="N87" s="78">
        <f t="shared" si="56"/>
        <v>-47115.924532234028</v>
      </c>
      <c r="O87" s="165">
        <v>0</v>
      </c>
      <c r="P87" s="166">
        <f t="shared" si="57"/>
        <v>0</v>
      </c>
      <c r="Q87" s="119">
        <f t="shared" si="58"/>
        <v>44264.611386571589</v>
      </c>
      <c r="R87" s="167">
        <f t="shared" si="59"/>
        <v>2434.5536262614373</v>
      </c>
      <c r="S87" s="165">
        <v>0</v>
      </c>
      <c r="T87" s="166">
        <f t="shared" si="60"/>
        <v>0</v>
      </c>
      <c r="U87" s="33">
        <f t="shared" si="61"/>
        <v>46899.165012833029</v>
      </c>
      <c r="V87" s="167">
        <f t="shared" si="62"/>
        <v>2579.4540757058166</v>
      </c>
      <c r="W87" s="165">
        <v>0</v>
      </c>
      <c r="X87" s="166">
        <f t="shared" si="63"/>
        <v>0</v>
      </c>
      <c r="Y87" s="33">
        <f t="shared" si="64"/>
        <v>49678.61908853885</v>
      </c>
      <c r="Z87" s="167">
        <f t="shared" si="65"/>
        <v>2732.3240498696368</v>
      </c>
      <c r="AA87" s="165">
        <v>0</v>
      </c>
      <c r="AB87" s="166">
        <f t="shared" si="66"/>
        <v>0</v>
      </c>
      <c r="AC87" s="33">
        <f t="shared" si="67"/>
        <v>52610.943138408489</v>
      </c>
      <c r="AD87" s="167">
        <f t="shared" si="68"/>
        <v>2893.6018726124671</v>
      </c>
      <c r="AE87" s="165">
        <v>0</v>
      </c>
      <c r="AF87" s="166">
        <f t="shared" si="69"/>
        <v>0</v>
      </c>
      <c r="AG87" s="33">
        <f t="shared" si="70"/>
        <v>55704.545011020957</v>
      </c>
      <c r="AH87" s="167">
        <f t="shared" si="71"/>
        <v>3063.7499756061525</v>
      </c>
      <c r="AI87" s="165">
        <v>0</v>
      </c>
      <c r="AJ87" s="166">
        <f t="shared" si="72"/>
        <v>0</v>
      </c>
      <c r="AK87" s="33">
        <f t="shared" si="73"/>
        <v>58968.294986627108</v>
      </c>
      <c r="AL87" s="167">
        <f t="shared" si="74"/>
        <v>3243.2562242644908</v>
      </c>
      <c r="AM87" s="165">
        <v>0</v>
      </c>
      <c r="AN87" s="166">
        <f t="shared" si="75"/>
        <v>0</v>
      </c>
      <c r="AO87" s="33">
        <f t="shared" si="76"/>
        <v>62411.551210891601</v>
      </c>
      <c r="AP87" s="167">
        <f t="shared" si="77"/>
        <v>3432.6353165990381</v>
      </c>
      <c r="AQ87" s="165">
        <v>0</v>
      </c>
      <c r="AR87" s="166">
        <f t="shared" si="78"/>
        <v>0</v>
      </c>
      <c r="AS87" s="33">
        <f t="shared" si="79"/>
        <v>66044.186527490645</v>
      </c>
      <c r="AT87" s="167">
        <f t="shared" si="80"/>
        <v>4623.0930569243455</v>
      </c>
      <c r="AU87" s="165">
        <v>0</v>
      </c>
      <c r="AV87" s="166">
        <f t="shared" si="81"/>
        <v>0</v>
      </c>
      <c r="AW87" s="33">
        <f t="shared" si="82"/>
        <v>70867.279584414995</v>
      </c>
      <c r="AX87" s="167">
        <f t="shared" si="83"/>
        <v>4960.7095709090499</v>
      </c>
      <c r="AY87" s="165">
        <v>0</v>
      </c>
      <c r="AZ87" s="166">
        <f t="shared" si="84"/>
        <v>0</v>
      </c>
      <c r="BA87" s="33">
        <f t="shared" si="85"/>
        <v>76027.989155324045</v>
      </c>
      <c r="BB87" s="167">
        <f t="shared" si="86"/>
        <v>5321.9592408726839</v>
      </c>
      <c r="BC87" s="165">
        <v>0</v>
      </c>
      <c r="BD87" s="166">
        <f t="shared" si="87"/>
        <v>0</v>
      </c>
      <c r="BE87" s="33">
        <f t="shared" si="88"/>
        <v>81549.948396196734</v>
      </c>
      <c r="BF87" s="167">
        <f t="shared" si="89"/>
        <v>5708.4963877337723</v>
      </c>
      <c r="BG87" s="165">
        <v>0</v>
      </c>
      <c r="BH87" s="166">
        <f t="shared" si="90"/>
        <v>0</v>
      </c>
      <c r="BI87" s="33">
        <f t="shared" si="91"/>
        <v>87458.444783930507</v>
      </c>
      <c r="BJ87" s="167">
        <f t="shared" si="92"/>
        <v>6122.091134875136</v>
      </c>
      <c r="BK87" s="185">
        <f t="shared" si="93"/>
        <v>0</v>
      </c>
      <c r="BL87" s="33">
        <f>'2023-2024'!BL87+'2024-2025'!BK87</f>
        <v>100</v>
      </c>
    </row>
    <row r="88" spans="1:64">
      <c r="A88" s="10" t="s">
        <v>659</v>
      </c>
      <c r="B88" s="10" t="s">
        <v>133</v>
      </c>
      <c r="C88" s="80">
        <v>0</v>
      </c>
      <c r="D88" s="79">
        <f t="shared" si="47"/>
        <v>2400</v>
      </c>
      <c r="E88" s="78">
        <f>'2023-2024'!I88</f>
        <v>32864.767641929044</v>
      </c>
      <c r="F88" s="78">
        <f t="shared" si="48"/>
        <v>2400</v>
      </c>
      <c r="G88" s="33">
        <f t="shared" si="49"/>
        <v>0</v>
      </c>
      <c r="H88" s="78">
        <f t="shared" si="50"/>
        <v>2400</v>
      </c>
      <c r="I88" s="78">
        <f t="shared" si="51"/>
        <v>70729.911640106831</v>
      </c>
      <c r="J88" s="78">
        <f t="shared" si="52"/>
        <v>0</v>
      </c>
      <c r="K88" s="78">
        <f t="shared" si="53"/>
        <v>0</v>
      </c>
      <c r="L88" s="78">
        <f t="shared" si="54"/>
        <v>35465.143998177788</v>
      </c>
      <c r="M88" s="194">
        <f t="shared" si="55"/>
        <v>35465.143998177788</v>
      </c>
      <c r="N88" s="78">
        <f t="shared" si="56"/>
        <v>-35465.143998177788</v>
      </c>
      <c r="O88" s="165">
        <v>0</v>
      </c>
      <c r="P88" s="166">
        <f t="shared" si="57"/>
        <v>0</v>
      </c>
      <c r="Q88" s="119">
        <f t="shared" si="58"/>
        <v>33064.767641929044</v>
      </c>
      <c r="R88" s="167">
        <f t="shared" si="59"/>
        <v>1818.5622203060975</v>
      </c>
      <c r="S88" s="165">
        <v>0</v>
      </c>
      <c r="T88" s="166">
        <f t="shared" si="60"/>
        <v>0</v>
      </c>
      <c r="U88" s="33">
        <f t="shared" si="61"/>
        <v>35083.329862235143</v>
      </c>
      <c r="V88" s="167">
        <f t="shared" si="62"/>
        <v>1929.583142422933</v>
      </c>
      <c r="W88" s="165">
        <v>0</v>
      </c>
      <c r="X88" s="166">
        <f t="shared" si="63"/>
        <v>0</v>
      </c>
      <c r="Y88" s="33">
        <f t="shared" si="64"/>
        <v>37212.913004658076</v>
      </c>
      <c r="Z88" s="167">
        <f t="shared" si="65"/>
        <v>2046.7102152561943</v>
      </c>
      <c r="AA88" s="165">
        <v>0</v>
      </c>
      <c r="AB88" s="166">
        <f t="shared" si="66"/>
        <v>0</v>
      </c>
      <c r="AC88" s="33">
        <f t="shared" si="67"/>
        <v>39459.623219914269</v>
      </c>
      <c r="AD88" s="167">
        <f t="shared" si="68"/>
        <v>2170.2792770952847</v>
      </c>
      <c r="AE88" s="165">
        <v>0</v>
      </c>
      <c r="AF88" s="166">
        <f t="shared" si="69"/>
        <v>0</v>
      </c>
      <c r="AG88" s="33">
        <f t="shared" si="70"/>
        <v>41829.902497009556</v>
      </c>
      <c r="AH88" s="167">
        <f t="shared" si="71"/>
        <v>2300.6446373355257</v>
      </c>
      <c r="AI88" s="165">
        <v>0</v>
      </c>
      <c r="AJ88" s="166">
        <f t="shared" si="72"/>
        <v>0</v>
      </c>
      <c r="AK88" s="33">
        <f t="shared" si="73"/>
        <v>44330.547134345084</v>
      </c>
      <c r="AL88" s="167">
        <f t="shared" si="74"/>
        <v>2438.1800923889796</v>
      </c>
      <c r="AM88" s="165">
        <v>0</v>
      </c>
      <c r="AN88" s="166">
        <f t="shared" si="75"/>
        <v>0</v>
      </c>
      <c r="AO88" s="33">
        <f t="shared" si="76"/>
        <v>46968.727226734067</v>
      </c>
      <c r="AP88" s="167">
        <f t="shared" si="77"/>
        <v>2583.2799974703735</v>
      </c>
      <c r="AQ88" s="165">
        <v>0</v>
      </c>
      <c r="AR88" s="166">
        <f t="shared" si="78"/>
        <v>0</v>
      </c>
      <c r="AS88" s="33">
        <f t="shared" si="79"/>
        <v>49752.007224204441</v>
      </c>
      <c r="AT88" s="167">
        <f t="shared" si="80"/>
        <v>3482.6405056943113</v>
      </c>
      <c r="AU88" s="165">
        <v>0</v>
      </c>
      <c r="AV88" s="166">
        <f t="shared" si="81"/>
        <v>0</v>
      </c>
      <c r="AW88" s="33">
        <f t="shared" si="82"/>
        <v>53434.647729898752</v>
      </c>
      <c r="AX88" s="167">
        <f t="shared" si="83"/>
        <v>3740.4253410929132</v>
      </c>
      <c r="AY88" s="165">
        <v>0</v>
      </c>
      <c r="AZ88" s="166">
        <f t="shared" si="84"/>
        <v>0</v>
      </c>
      <c r="BA88" s="33">
        <f t="shared" si="85"/>
        <v>57375.073070991668</v>
      </c>
      <c r="BB88" s="167">
        <f t="shared" si="86"/>
        <v>4016.2551149694173</v>
      </c>
      <c r="BC88" s="165">
        <v>0</v>
      </c>
      <c r="BD88" s="166">
        <f t="shared" si="87"/>
        <v>0</v>
      </c>
      <c r="BE88" s="33">
        <f t="shared" si="88"/>
        <v>61591.328185961087</v>
      </c>
      <c r="BF88" s="167">
        <f t="shared" si="89"/>
        <v>4311.3929730172767</v>
      </c>
      <c r="BG88" s="165">
        <v>0</v>
      </c>
      <c r="BH88" s="166">
        <f t="shared" si="90"/>
        <v>0</v>
      </c>
      <c r="BI88" s="33">
        <f t="shared" si="91"/>
        <v>66102.721158978369</v>
      </c>
      <c r="BJ88" s="167">
        <f t="shared" si="92"/>
        <v>4627.1904811284867</v>
      </c>
      <c r="BK88" s="185">
        <f t="shared" si="93"/>
        <v>0</v>
      </c>
      <c r="BL88" s="33">
        <f>'2023-2024'!BL88+'2024-2025'!BK88</f>
        <v>5100</v>
      </c>
    </row>
    <row r="89" spans="1:64">
      <c r="A89" s="10" t="s">
        <v>660</v>
      </c>
      <c r="B89" s="10" t="s">
        <v>134</v>
      </c>
      <c r="C89" s="80">
        <v>0</v>
      </c>
      <c r="D89" s="79">
        <f t="shared" si="47"/>
        <v>2400</v>
      </c>
      <c r="E89" s="78">
        <f>'2023-2024'!I89</f>
        <v>41983.275290920908</v>
      </c>
      <c r="F89" s="78">
        <f t="shared" si="48"/>
        <v>2400</v>
      </c>
      <c r="G89" s="33">
        <f t="shared" si="49"/>
        <v>0</v>
      </c>
      <c r="H89" s="78">
        <f t="shared" si="50"/>
        <v>2400</v>
      </c>
      <c r="I89" s="78">
        <f t="shared" si="51"/>
        <v>89334.063360457832</v>
      </c>
      <c r="J89" s="78">
        <f t="shared" si="52"/>
        <v>0</v>
      </c>
      <c r="K89" s="78">
        <f t="shared" si="53"/>
        <v>0</v>
      </c>
      <c r="L89" s="78">
        <f t="shared" si="54"/>
        <v>44950.788069536917</v>
      </c>
      <c r="M89" s="194">
        <f t="shared" si="55"/>
        <v>44950.788069536917</v>
      </c>
      <c r="N89" s="78">
        <f t="shared" si="56"/>
        <v>-44950.788069536917</v>
      </c>
      <c r="O89" s="165">
        <v>0</v>
      </c>
      <c r="P89" s="166">
        <f t="shared" si="57"/>
        <v>0</v>
      </c>
      <c r="Q89" s="119">
        <f t="shared" si="58"/>
        <v>42183.275290920908</v>
      </c>
      <c r="R89" s="167">
        <f t="shared" si="59"/>
        <v>2320.0801410006502</v>
      </c>
      <c r="S89" s="165">
        <v>0</v>
      </c>
      <c r="T89" s="166">
        <f t="shared" si="60"/>
        <v>0</v>
      </c>
      <c r="U89" s="33">
        <f t="shared" si="61"/>
        <v>44703.355431921562</v>
      </c>
      <c r="V89" s="167">
        <f t="shared" si="62"/>
        <v>2458.6845487556861</v>
      </c>
      <c r="W89" s="165">
        <v>0</v>
      </c>
      <c r="X89" s="166">
        <f t="shared" si="63"/>
        <v>0</v>
      </c>
      <c r="Y89" s="33">
        <f t="shared" si="64"/>
        <v>47362.039980677248</v>
      </c>
      <c r="Z89" s="167">
        <f t="shared" si="65"/>
        <v>2604.9121989372488</v>
      </c>
      <c r="AA89" s="165">
        <v>0</v>
      </c>
      <c r="AB89" s="166">
        <f t="shared" si="66"/>
        <v>0</v>
      </c>
      <c r="AC89" s="33">
        <f t="shared" si="67"/>
        <v>50166.952179614498</v>
      </c>
      <c r="AD89" s="167">
        <f t="shared" si="68"/>
        <v>2759.1823698787975</v>
      </c>
      <c r="AE89" s="165">
        <v>0</v>
      </c>
      <c r="AF89" s="166">
        <f t="shared" si="69"/>
        <v>0</v>
      </c>
      <c r="AG89" s="33">
        <f t="shared" si="70"/>
        <v>53126.134549493298</v>
      </c>
      <c r="AH89" s="167">
        <f t="shared" si="71"/>
        <v>2921.9374002221316</v>
      </c>
      <c r="AI89" s="165">
        <v>0</v>
      </c>
      <c r="AJ89" s="166">
        <f t="shared" si="72"/>
        <v>0</v>
      </c>
      <c r="AK89" s="33">
        <f t="shared" si="73"/>
        <v>56248.071949715428</v>
      </c>
      <c r="AL89" s="167">
        <f t="shared" si="74"/>
        <v>3093.6439572343484</v>
      </c>
      <c r="AM89" s="165">
        <v>0</v>
      </c>
      <c r="AN89" s="166">
        <f t="shared" si="75"/>
        <v>0</v>
      </c>
      <c r="AO89" s="33">
        <f t="shared" si="76"/>
        <v>59541.715906949779</v>
      </c>
      <c r="AP89" s="167">
        <f t="shared" si="77"/>
        <v>3274.7943748822377</v>
      </c>
      <c r="AQ89" s="165">
        <v>0</v>
      </c>
      <c r="AR89" s="166">
        <f t="shared" si="78"/>
        <v>0</v>
      </c>
      <c r="AS89" s="33">
        <f t="shared" si="79"/>
        <v>63016.510281832016</v>
      </c>
      <c r="AT89" s="167">
        <f t="shared" si="80"/>
        <v>4411.1557197282418</v>
      </c>
      <c r="AU89" s="165">
        <v>0</v>
      </c>
      <c r="AV89" s="166">
        <f t="shared" si="81"/>
        <v>0</v>
      </c>
      <c r="AW89" s="33">
        <f t="shared" si="82"/>
        <v>67627.666001560254</v>
      </c>
      <c r="AX89" s="167">
        <f t="shared" si="83"/>
        <v>4733.936620109218</v>
      </c>
      <c r="AY89" s="165">
        <v>0</v>
      </c>
      <c r="AZ89" s="166">
        <f t="shared" si="84"/>
        <v>0</v>
      </c>
      <c r="BA89" s="33">
        <f t="shared" si="85"/>
        <v>72561.602621669474</v>
      </c>
      <c r="BB89" s="167">
        <f t="shared" si="86"/>
        <v>5079.312183516864</v>
      </c>
      <c r="BC89" s="165">
        <v>0</v>
      </c>
      <c r="BD89" s="166">
        <f t="shared" si="87"/>
        <v>0</v>
      </c>
      <c r="BE89" s="33">
        <f t="shared" si="88"/>
        <v>77840.91480518633</v>
      </c>
      <c r="BF89" s="167">
        <f t="shared" si="89"/>
        <v>5448.8640363630439</v>
      </c>
      <c r="BG89" s="165">
        <v>0</v>
      </c>
      <c r="BH89" s="166">
        <f t="shared" si="90"/>
        <v>0</v>
      </c>
      <c r="BI89" s="33">
        <f t="shared" si="91"/>
        <v>83489.778841549371</v>
      </c>
      <c r="BJ89" s="167">
        <f t="shared" si="92"/>
        <v>5844.2845189084564</v>
      </c>
      <c r="BK89" s="185">
        <f t="shared" si="93"/>
        <v>0</v>
      </c>
      <c r="BL89" s="33">
        <f>'2023-2024'!BL89+'2024-2025'!BK89</f>
        <v>700</v>
      </c>
    </row>
    <row r="90" spans="1:64">
      <c r="A90" s="10" t="s">
        <v>661</v>
      </c>
      <c r="B90" s="10" t="s">
        <v>116</v>
      </c>
      <c r="C90" s="80">
        <v>0</v>
      </c>
      <c r="D90" s="79">
        <f t="shared" si="47"/>
        <v>2400</v>
      </c>
      <c r="E90" s="78">
        <f>'2023-2024'!I90</f>
        <v>8250.5270127832664</v>
      </c>
      <c r="F90" s="78">
        <f t="shared" si="48"/>
        <v>2400</v>
      </c>
      <c r="G90" s="33">
        <f t="shared" si="49"/>
        <v>0</v>
      </c>
      <c r="H90" s="78">
        <f t="shared" si="50"/>
        <v>2400</v>
      </c>
      <c r="I90" s="78">
        <f t="shared" si="51"/>
        <v>20510.392748056118</v>
      </c>
      <c r="J90" s="78">
        <f t="shared" si="52"/>
        <v>0</v>
      </c>
      <c r="K90" s="78">
        <f t="shared" si="53"/>
        <v>0</v>
      </c>
      <c r="L90" s="78">
        <f t="shared" si="54"/>
        <v>9859.8657352728533</v>
      </c>
      <c r="M90" s="194">
        <f t="shared" si="55"/>
        <v>9859.8657352728533</v>
      </c>
      <c r="N90" s="78">
        <f t="shared" si="56"/>
        <v>-9859.8657352728533</v>
      </c>
      <c r="O90" s="165">
        <v>0</v>
      </c>
      <c r="P90" s="166">
        <f t="shared" si="57"/>
        <v>0</v>
      </c>
      <c r="Q90" s="119">
        <f t="shared" si="58"/>
        <v>8450.5270127832664</v>
      </c>
      <c r="R90" s="167">
        <f t="shared" si="59"/>
        <v>464.77898570307963</v>
      </c>
      <c r="S90" s="165">
        <v>0</v>
      </c>
      <c r="T90" s="166">
        <f t="shared" si="60"/>
        <v>0</v>
      </c>
      <c r="U90" s="33">
        <f t="shared" si="61"/>
        <v>9115.3059984863467</v>
      </c>
      <c r="V90" s="167">
        <f t="shared" si="62"/>
        <v>501.34182991674908</v>
      </c>
      <c r="W90" s="165">
        <v>0</v>
      </c>
      <c r="X90" s="166">
        <f t="shared" si="63"/>
        <v>0</v>
      </c>
      <c r="Y90" s="33">
        <f t="shared" si="64"/>
        <v>9816.6478284030964</v>
      </c>
      <c r="Z90" s="167">
        <f t="shared" si="65"/>
        <v>539.91563056217035</v>
      </c>
      <c r="AA90" s="165">
        <v>0</v>
      </c>
      <c r="AB90" s="166">
        <f t="shared" si="66"/>
        <v>0</v>
      </c>
      <c r="AC90" s="33">
        <f t="shared" si="67"/>
        <v>10556.563458965267</v>
      </c>
      <c r="AD90" s="167">
        <f t="shared" si="68"/>
        <v>580.61099024308976</v>
      </c>
      <c r="AE90" s="165">
        <v>0</v>
      </c>
      <c r="AF90" s="166">
        <f t="shared" si="69"/>
        <v>0</v>
      </c>
      <c r="AG90" s="33">
        <f t="shared" si="70"/>
        <v>11337.174449208356</v>
      </c>
      <c r="AH90" s="167">
        <f t="shared" si="71"/>
        <v>623.54459470645963</v>
      </c>
      <c r="AI90" s="165">
        <v>0</v>
      </c>
      <c r="AJ90" s="166">
        <f t="shared" si="72"/>
        <v>0</v>
      </c>
      <c r="AK90" s="33">
        <f t="shared" si="73"/>
        <v>12160.719043914816</v>
      </c>
      <c r="AL90" s="167">
        <f t="shared" si="74"/>
        <v>668.83954741531488</v>
      </c>
      <c r="AM90" s="165">
        <v>0</v>
      </c>
      <c r="AN90" s="166">
        <f t="shared" si="75"/>
        <v>0</v>
      </c>
      <c r="AO90" s="33">
        <f t="shared" si="76"/>
        <v>13029.558591330131</v>
      </c>
      <c r="AP90" s="167">
        <f t="shared" si="77"/>
        <v>716.62572252315726</v>
      </c>
      <c r="AQ90" s="165">
        <v>0</v>
      </c>
      <c r="AR90" s="166">
        <f t="shared" si="78"/>
        <v>0</v>
      </c>
      <c r="AS90" s="33">
        <f t="shared" si="79"/>
        <v>13946.184313853288</v>
      </c>
      <c r="AT90" s="167">
        <f t="shared" si="80"/>
        <v>976.23290196973028</v>
      </c>
      <c r="AU90" s="165">
        <v>0</v>
      </c>
      <c r="AV90" s="166">
        <f t="shared" si="81"/>
        <v>0</v>
      </c>
      <c r="AW90" s="33">
        <f t="shared" si="82"/>
        <v>15122.417215823018</v>
      </c>
      <c r="AX90" s="167">
        <f t="shared" si="83"/>
        <v>1058.5692051076114</v>
      </c>
      <c r="AY90" s="165">
        <v>0</v>
      </c>
      <c r="AZ90" s="166">
        <f t="shared" si="84"/>
        <v>0</v>
      </c>
      <c r="BA90" s="33">
        <f t="shared" si="85"/>
        <v>16380.986420930629</v>
      </c>
      <c r="BB90" s="167">
        <f t="shared" si="86"/>
        <v>1146.6690494651441</v>
      </c>
      <c r="BC90" s="165">
        <v>0</v>
      </c>
      <c r="BD90" s="166">
        <f t="shared" si="87"/>
        <v>0</v>
      </c>
      <c r="BE90" s="33">
        <f t="shared" si="88"/>
        <v>17727.655470395774</v>
      </c>
      <c r="BF90" s="167">
        <f t="shared" si="89"/>
        <v>1240.9358829277044</v>
      </c>
      <c r="BG90" s="165">
        <v>0</v>
      </c>
      <c r="BH90" s="166">
        <f t="shared" si="90"/>
        <v>0</v>
      </c>
      <c r="BI90" s="33">
        <f t="shared" si="91"/>
        <v>19168.591353323478</v>
      </c>
      <c r="BJ90" s="167">
        <f t="shared" si="92"/>
        <v>1341.8013947326435</v>
      </c>
      <c r="BK90" s="185">
        <f t="shared" si="93"/>
        <v>0</v>
      </c>
      <c r="BL90" s="33">
        <f>'2023-2024'!BL90+'2024-2025'!BK90</f>
        <v>12300</v>
      </c>
    </row>
    <row r="91" spans="1:64" s="41" customFormat="1" ht="14.65" thickBot="1">
      <c r="C91" s="258">
        <f t="shared" ref="C91:AH91" si="94">SUM(C2:C90)</f>
        <v>0</v>
      </c>
      <c r="D91" s="258">
        <f t="shared" si="94"/>
        <v>213600</v>
      </c>
      <c r="E91" s="259">
        <f>'2022-2023'!I91</f>
        <v>1009620.0957399784</v>
      </c>
      <c r="F91" s="258">
        <f t="shared" si="94"/>
        <v>213600</v>
      </c>
      <c r="G91" s="258">
        <f t="shared" si="94"/>
        <v>30300</v>
      </c>
      <c r="H91" s="258">
        <f t="shared" si="94"/>
        <v>183300</v>
      </c>
      <c r="I91" s="258">
        <f t="shared" si="94"/>
        <v>4986838.6256070882</v>
      </c>
      <c r="J91" s="258">
        <f t="shared" si="94"/>
        <v>0</v>
      </c>
      <c r="K91" s="258">
        <f t="shared" si="94"/>
        <v>1666.5</v>
      </c>
      <c r="L91" s="258">
        <f t="shared" si="94"/>
        <v>2493375.6121956795</v>
      </c>
      <c r="M91" s="260">
        <f t="shared" si="94"/>
        <v>2493375.6121956795</v>
      </c>
      <c r="N91" s="258">
        <f t="shared" si="94"/>
        <v>-2461409.1121956795</v>
      </c>
      <c r="O91" s="257">
        <f>SUM(O2:O90)</f>
        <v>1500</v>
      </c>
      <c r="P91" s="261">
        <f>SUM(P2:P90)</f>
        <v>0</v>
      </c>
      <c r="Q91" s="258">
        <f t="shared" si="94"/>
        <v>2327963.0134114102</v>
      </c>
      <c r="R91" s="262">
        <f t="shared" si="94"/>
        <v>127955.46573762751</v>
      </c>
      <c r="S91" s="257">
        <f>SUM(S2:S90)</f>
        <v>3800</v>
      </c>
      <c r="T91" s="261">
        <f>SUM(T2:T90)</f>
        <v>0</v>
      </c>
      <c r="U91" s="258">
        <f t="shared" si="94"/>
        <v>2469918.479149037</v>
      </c>
      <c r="V91" s="262">
        <f t="shared" si="94"/>
        <v>135636.51635319708</v>
      </c>
      <c r="W91" s="257">
        <f>SUM(W2:W90)</f>
        <v>10000</v>
      </c>
      <c r="X91" s="261">
        <f t="shared" si="94"/>
        <v>0</v>
      </c>
      <c r="Y91" s="258">
        <f t="shared" si="94"/>
        <v>2613354.995502234</v>
      </c>
      <c r="Z91" s="262">
        <f t="shared" si="94"/>
        <v>143184.52475262288</v>
      </c>
      <c r="AA91" s="257">
        <f>SUM(AA2:AA90)</f>
        <v>4000</v>
      </c>
      <c r="AB91" s="261">
        <f t="shared" si="94"/>
        <v>0</v>
      </c>
      <c r="AC91" s="258">
        <f t="shared" si="94"/>
        <v>2770339.520254856</v>
      </c>
      <c r="AD91" s="262">
        <f t="shared" si="94"/>
        <v>152148.67361401714</v>
      </c>
      <c r="AE91" s="257">
        <f>SUM(AE2:AE90)</f>
        <v>2050</v>
      </c>
      <c r="AF91" s="261">
        <f t="shared" si="94"/>
        <v>0</v>
      </c>
      <c r="AG91" s="258">
        <f t="shared" si="94"/>
        <v>2938238.1938688727</v>
      </c>
      <c r="AH91" s="262">
        <f t="shared" si="94"/>
        <v>161490.35066278806</v>
      </c>
      <c r="AI91" s="257">
        <f>SUM(AI2:AI90)</f>
        <v>3400</v>
      </c>
      <c r="AJ91" s="261">
        <f t="shared" ref="AJ91:BL91" si="95">SUM(AJ2:AJ90)</f>
        <v>0</v>
      </c>
      <c r="AK91" s="258">
        <f t="shared" si="95"/>
        <v>3114128.5445316634</v>
      </c>
      <c r="AL91" s="262">
        <f t="shared" si="95"/>
        <v>171090.06994924144</v>
      </c>
      <c r="AM91" s="257">
        <f>SUM(AM2:AM90)</f>
        <v>5550</v>
      </c>
      <c r="AN91" s="261">
        <f t="shared" si="95"/>
        <v>0</v>
      </c>
      <c r="AO91" s="258">
        <f t="shared" si="95"/>
        <v>3297468.6144809029</v>
      </c>
      <c r="AP91" s="262">
        <f t="shared" si="95"/>
        <v>181055.52379644971</v>
      </c>
      <c r="AQ91" s="257">
        <f>SUM(AQ2:AQ90)</f>
        <v>0</v>
      </c>
      <c r="AR91" s="261">
        <f t="shared" si="95"/>
        <v>0</v>
      </c>
      <c r="AS91" s="258">
        <f t="shared" si="95"/>
        <v>3496324.1382773519</v>
      </c>
      <c r="AT91" s="262">
        <f t="shared" si="95"/>
        <v>244742.68967941479</v>
      </c>
      <c r="AU91" s="257">
        <f>SUM(AU2:AU90)</f>
        <v>0</v>
      </c>
      <c r="AV91" s="261">
        <f t="shared" si="95"/>
        <v>0</v>
      </c>
      <c r="AW91" s="258">
        <f t="shared" si="95"/>
        <v>3758866.8279567682</v>
      </c>
      <c r="AX91" s="262">
        <f t="shared" si="95"/>
        <v>263120.67795697378</v>
      </c>
      <c r="AY91" s="257">
        <f>SUM(AY2:AY90)</f>
        <v>0</v>
      </c>
      <c r="AZ91" s="261">
        <f t="shared" si="95"/>
        <v>0</v>
      </c>
      <c r="BA91" s="258">
        <f t="shared" si="95"/>
        <v>4039787.5059137428</v>
      </c>
      <c r="BB91" s="262">
        <f t="shared" si="95"/>
        <v>282785.12541396194</v>
      </c>
      <c r="BC91" s="257">
        <f>SUM(BC2:BC90)</f>
        <v>0</v>
      </c>
      <c r="BD91" s="261">
        <f t="shared" si="95"/>
        <v>0</v>
      </c>
      <c r="BE91" s="258">
        <f t="shared" si="95"/>
        <v>4340372.6313277036</v>
      </c>
      <c r="BF91" s="262">
        <f t="shared" si="95"/>
        <v>303826.08419293934</v>
      </c>
      <c r="BG91" s="257">
        <f>SUM(BG2:BG90)</f>
        <v>0</v>
      </c>
      <c r="BH91" s="261">
        <f t="shared" si="95"/>
        <v>0</v>
      </c>
      <c r="BI91" s="258">
        <f t="shared" si="95"/>
        <v>4661998.7155206436</v>
      </c>
      <c r="BJ91" s="262">
        <f t="shared" si="95"/>
        <v>326339.9100864451</v>
      </c>
      <c r="BK91" s="258">
        <f t="shared" si="95"/>
        <v>30300</v>
      </c>
      <c r="BL91" s="258">
        <f t="shared" si="95"/>
        <v>536402.71</v>
      </c>
    </row>
    <row r="92" spans="1:64" ht="36" thickTop="1">
      <c r="G92" s="146"/>
      <c r="H92" s="207" t="s">
        <v>409</v>
      </c>
      <c r="O92" s="252" t="s">
        <v>186</v>
      </c>
      <c r="S92" t="s">
        <v>509</v>
      </c>
      <c r="W92" t="s">
        <v>495</v>
      </c>
      <c r="AA92" t="s">
        <v>496</v>
      </c>
      <c r="AE92" t="s">
        <v>497</v>
      </c>
      <c r="AI92" t="s">
        <v>498</v>
      </c>
      <c r="AM92" t="s">
        <v>499</v>
      </c>
      <c r="AQ92" t="s">
        <v>500</v>
      </c>
      <c r="AU92" s="252" t="s">
        <v>501</v>
      </c>
      <c r="AY92" s="252"/>
      <c r="BG92" s="252"/>
      <c r="BK92" s="170"/>
      <c r="BL92" s="170"/>
    </row>
    <row r="93" spans="1:64" s="263" customFormat="1" ht="35.65">
      <c r="A93" s="58"/>
      <c r="G93" s="264"/>
      <c r="H93" s="265" t="s">
        <v>408</v>
      </c>
      <c r="N93" s="263" t="s">
        <v>516</v>
      </c>
      <c r="O93" s="254">
        <f>AVERAGE(O91,S91,W91,AA91,AE91,AI91,AM91,AQ91,AU91)</f>
        <v>3366.6666666666665</v>
      </c>
      <c r="BK93" s="266"/>
      <c r="BL93" s="266"/>
    </row>
    <row r="94" spans="1:64" ht="47.25">
      <c r="G94" s="175"/>
      <c r="H94" s="207" t="s">
        <v>410</v>
      </c>
      <c r="AU94" s="58"/>
      <c r="BK94" t="s">
        <v>519</v>
      </c>
      <c r="BL94" s="250">
        <v>467611.02</v>
      </c>
    </row>
    <row r="95" spans="1:64">
      <c r="BK95" t="s">
        <v>518</v>
      </c>
      <c r="BL95" s="255">
        <f>'Interest Earned'!N8</f>
        <v>18891.82</v>
      </c>
    </row>
    <row r="96" spans="1:64">
      <c r="BK96" t="s">
        <v>520</v>
      </c>
      <c r="BL96" s="254">
        <v>2334.89</v>
      </c>
    </row>
    <row r="97" spans="45:64">
      <c r="BL97" s="254"/>
    </row>
    <row r="98" spans="45:64">
      <c r="BL98" s="256">
        <f>BL91+BL95+BL96</f>
        <v>557629.41999999993</v>
      </c>
    </row>
    <row r="99" spans="45:64">
      <c r="BK99" t="s">
        <v>521</v>
      </c>
      <c r="BL99" s="58">
        <f>BL98-BL94</f>
        <v>90018.399999999907</v>
      </c>
    </row>
    <row r="102" spans="45:64">
      <c r="AS102">
        <v>13400</v>
      </c>
    </row>
    <row r="103" spans="45:64">
      <c r="AS103">
        <v>1100</v>
      </c>
      <c r="BK103">
        <f>12000*60%</f>
        <v>7200</v>
      </c>
    </row>
    <row r="104" spans="45:64">
      <c r="AS104">
        <f>AS102-AS103</f>
        <v>12300</v>
      </c>
    </row>
  </sheetData>
  <autoFilter ref="A1:BL94" xr:uid="{00000000-0009-0000-0000-00000A000000}"/>
  <conditionalFormatting sqref="G2:G90">
    <cfRule type="cellIs" dxfId="6" priority="1" operator="lessThan">
      <formula>1199.99</formula>
    </cfRule>
    <cfRule type="cellIs" dxfId="5" priority="2" operator="between">
      <formula>1199.99</formula>
      <formula>2399.99</formula>
    </cfRule>
    <cfRule type="cellIs" dxfId="4" priority="3" operator="greaterThan">
      <formula>2400</formula>
    </cfRule>
    <cfRule type="cellIs" dxfId="3" priority="5" operator="between">
      <formula>1200</formula>
      <formula>2399.99</formula>
    </cfRule>
    <cfRule type="iconSet" priority="7">
      <iconSet iconSet="3Arrows">
        <cfvo type="percent" val="0"/>
        <cfvo type="percent" val="33"/>
        <cfvo type="percent" val="67"/>
      </iconSet>
    </cfRule>
    <cfRule type="cellIs" dxfId="2" priority="11" operator="between">
      <formula>1201</formula>
      <formula>2401</formula>
    </cfRule>
    <cfRule type="cellIs" dxfId="1" priority="12" operator="lessThan">
      <formula>1200</formula>
    </cfRule>
    <cfRule type="cellIs" dxfId="0" priority="13" operator="greaterThan">
      <formula>2400</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H15"/>
  <sheetViews>
    <sheetView workbookViewId="0">
      <selection activeCell="G18" sqref="G18"/>
    </sheetView>
  </sheetViews>
  <sheetFormatPr defaultRowHeight="14.25"/>
  <cols>
    <col min="1" max="2" width="10.3984375" bestFit="1" customWidth="1"/>
    <col min="3" max="3" width="14.265625" bestFit="1" customWidth="1"/>
    <col min="4" max="4" width="12.73046875" style="254" bestFit="1" customWidth="1"/>
    <col min="5" max="5" width="12.59765625" style="254" bestFit="1" customWidth="1"/>
    <col min="6" max="6" width="20.59765625" style="254" bestFit="1" customWidth="1"/>
    <col min="7" max="7" width="42.59765625" bestFit="1" customWidth="1"/>
  </cols>
  <sheetData>
    <row r="4" spans="1:8" s="41" customFormat="1">
      <c r="A4" s="44" t="s">
        <v>527</v>
      </c>
      <c r="B4" s="44" t="s">
        <v>529</v>
      </c>
      <c r="C4" s="44" t="s">
        <v>530</v>
      </c>
      <c r="D4" s="289" t="s">
        <v>257</v>
      </c>
      <c r="E4" s="289" t="s">
        <v>387</v>
      </c>
      <c r="F4" s="289" t="s">
        <v>550</v>
      </c>
      <c r="G4" s="44" t="s">
        <v>531</v>
      </c>
    </row>
    <row r="5" spans="1:8">
      <c r="A5" s="121">
        <v>45226</v>
      </c>
      <c r="B5" s="10" t="s">
        <v>528</v>
      </c>
      <c r="C5" s="10" t="s">
        <v>663</v>
      </c>
      <c r="D5" s="286">
        <v>-15000</v>
      </c>
      <c r="E5" s="244">
        <v>-14.99</v>
      </c>
      <c r="F5" s="311" t="s">
        <v>665</v>
      </c>
      <c r="G5" s="10" t="s">
        <v>532</v>
      </c>
    </row>
    <row r="6" spans="1:8">
      <c r="A6" s="121">
        <v>45253</v>
      </c>
      <c r="B6" s="10" t="s">
        <v>528</v>
      </c>
      <c r="C6" s="10" t="s">
        <v>663</v>
      </c>
      <c r="D6" s="286">
        <v>-15030</v>
      </c>
      <c r="E6" s="244">
        <v>-14.99</v>
      </c>
      <c r="F6" s="311" t="s">
        <v>665</v>
      </c>
      <c r="G6" s="10" t="s">
        <v>532</v>
      </c>
    </row>
    <row r="7" spans="1:8" s="278" customFormat="1">
      <c r="A7" s="121">
        <v>45341</v>
      </c>
      <c r="B7" s="10" t="s">
        <v>528</v>
      </c>
      <c r="C7" s="10" t="s">
        <v>663</v>
      </c>
      <c r="D7" s="287">
        <v>-27017</v>
      </c>
      <c r="E7" s="281" t="s">
        <v>538</v>
      </c>
      <c r="F7" s="311" t="s">
        <v>665</v>
      </c>
      <c r="G7" s="10" t="s">
        <v>532</v>
      </c>
      <c r="H7" s="280"/>
    </row>
    <row r="8" spans="1:8">
      <c r="A8" s="121">
        <v>45365</v>
      </c>
      <c r="B8" s="282" t="s">
        <v>539</v>
      </c>
      <c r="C8" s="10" t="s">
        <v>663</v>
      </c>
      <c r="D8" s="93">
        <v>-460397.69</v>
      </c>
      <c r="E8" s="283">
        <v>-50</v>
      </c>
      <c r="F8" s="282" t="s">
        <v>666</v>
      </c>
      <c r="G8" s="288" t="s">
        <v>540</v>
      </c>
    </row>
    <row r="9" spans="1:8">
      <c r="A9" s="121">
        <v>45415</v>
      </c>
      <c r="B9" s="282" t="s">
        <v>539</v>
      </c>
      <c r="C9" s="10" t="s">
        <v>663</v>
      </c>
      <c r="D9" s="93">
        <v>-9352.69</v>
      </c>
      <c r="E9" s="244">
        <v>-14.99</v>
      </c>
      <c r="F9" s="311" t="s">
        <v>667</v>
      </c>
      <c r="G9" s="10" t="s">
        <v>551</v>
      </c>
    </row>
    <row r="10" spans="1:8">
      <c r="A10" s="121">
        <v>45435</v>
      </c>
      <c r="B10" s="282" t="s">
        <v>539</v>
      </c>
      <c r="C10" s="10" t="s">
        <v>663</v>
      </c>
      <c r="D10" s="105">
        <v>-5000</v>
      </c>
      <c r="E10" s="244">
        <v>-14.99</v>
      </c>
      <c r="F10" s="311" t="s">
        <v>668</v>
      </c>
      <c r="G10" s="10" t="s">
        <v>552</v>
      </c>
    </row>
    <row r="11" spans="1:8">
      <c r="A11" s="121">
        <v>45663</v>
      </c>
      <c r="B11" s="282" t="s">
        <v>539</v>
      </c>
      <c r="C11" s="10" t="s">
        <v>664</v>
      </c>
      <c r="D11" s="105">
        <v>-32000</v>
      </c>
      <c r="E11" s="244">
        <v>-14.99</v>
      </c>
      <c r="F11" s="311" t="s">
        <v>666</v>
      </c>
      <c r="G11" s="10" t="s">
        <v>540</v>
      </c>
    </row>
    <row r="12" spans="1:8">
      <c r="D12" s="254">
        <f>SUM(D5:D11)</f>
        <v>-563797.38</v>
      </c>
      <c r="E12" s="309"/>
      <c r="F12" s="312"/>
    </row>
    <row r="15" spans="1:8">
      <c r="D15" s="254">
        <f>SUM(D5:D7)</f>
        <v>-57047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1"/>
  <sheetViews>
    <sheetView zoomScaleNormal="100" workbookViewId="0">
      <selection activeCell="E25" sqref="E25"/>
    </sheetView>
  </sheetViews>
  <sheetFormatPr defaultRowHeight="14.25"/>
  <cols>
    <col min="1" max="1" width="10.3984375" bestFit="1" customWidth="1"/>
    <col min="2" max="2" width="12.73046875" bestFit="1" customWidth="1"/>
    <col min="3" max="3" width="13.265625" bestFit="1" customWidth="1"/>
    <col min="4" max="4" width="11.86328125" bestFit="1" customWidth="1"/>
    <col min="5" max="5" width="11.73046875" customWidth="1"/>
    <col min="6" max="6" width="14.1328125" bestFit="1" customWidth="1"/>
    <col min="7" max="7" width="13.3984375" bestFit="1" customWidth="1"/>
    <col min="8" max="8" width="8.73046875" style="254"/>
    <col min="9" max="9" width="10.1328125" style="302" bestFit="1" customWidth="1"/>
  </cols>
  <sheetData>
    <row r="1" spans="1:9">
      <c r="A1" t="s">
        <v>555</v>
      </c>
      <c r="D1" s="254">
        <v>511.98</v>
      </c>
      <c r="E1" s="254"/>
    </row>
    <row r="3" spans="1:9">
      <c r="A3" s="44" t="s">
        <v>546</v>
      </c>
      <c r="B3" s="44" t="s">
        <v>547</v>
      </c>
      <c r="C3" s="44" t="s">
        <v>560</v>
      </c>
      <c r="D3" s="44" t="s">
        <v>548</v>
      </c>
      <c r="E3" s="44" t="s">
        <v>192</v>
      </c>
      <c r="F3" s="44" t="s">
        <v>518</v>
      </c>
      <c r="G3" s="44" t="s">
        <v>207</v>
      </c>
    </row>
    <row r="4" spans="1:9">
      <c r="A4" s="44"/>
      <c r="B4" s="44"/>
      <c r="C4" s="44"/>
      <c r="D4" s="44"/>
      <c r="E4" s="44"/>
      <c r="F4" s="44"/>
      <c r="G4" s="192">
        <f>D1</f>
        <v>511.98</v>
      </c>
    </row>
    <row r="5" spans="1:9">
      <c r="A5" s="10" t="s">
        <v>556</v>
      </c>
      <c r="B5" s="43"/>
      <c r="C5" s="43"/>
      <c r="D5" s="43"/>
      <c r="E5" s="43"/>
      <c r="F5" s="43">
        <v>2.97</v>
      </c>
      <c r="G5" s="45">
        <f>D1+F5</f>
        <v>514.95000000000005</v>
      </c>
      <c r="I5" s="305"/>
    </row>
    <row r="6" spans="1:9">
      <c r="A6" s="10" t="s">
        <v>557</v>
      </c>
      <c r="B6" s="43"/>
      <c r="C6" s="43"/>
      <c r="D6" s="43"/>
      <c r="E6" s="43"/>
      <c r="F6" s="43">
        <v>3.18</v>
      </c>
      <c r="G6" s="45">
        <f>G5+F6</f>
        <v>518.13</v>
      </c>
      <c r="I6" s="306"/>
    </row>
    <row r="7" spans="1:9">
      <c r="A7" s="10" t="s">
        <v>549</v>
      </c>
      <c r="B7" s="43">
        <v>460347.69</v>
      </c>
      <c r="C7" s="43" t="s">
        <v>669</v>
      </c>
      <c r="D7" s="43"/>
      <c r="E7" s="43"/>
      <c r="F7" s="43"/>
      <c r="G7" s="45">
        <f>G6+B7</f>
        <v>460865.82</v>
      </c>
      <c r="I7" s="254"/>
    </row>
    <row r="8" spans="1:9">
      <c r="A8" s="10" t="s">
        <v>549</v>
      </c>
      <c r="B8" s="43"/>
      <c r="C8" s="43"/>
      <c r="D8" s="43"/>
      <c r="E8" s="43"/>
      <c r="F8" s="43">
        <v>101.29</v>
      </c>
      <c r="G8" s="45">
        <f>G7+F8</f>
        <v>460967.11</v>
      </c>
    </row>
    <row r="9" spans="1:9">
      <c r="A9" s="10" t="s">
        <v>558</v>
      </c>
      <c r="B9" s="43"/>
      <c r="C9" s="43"/>
      <c r="D9" s="43"/>
      <c r="E9" s="43"/>
      <c r="F9" s="43">
        <v>2955.24</v>
      </c>
      <c r="G9" s="45">
        <f>G8+F9</f>
        <v>463922.35</v>
      </c>
    </row>
    <row r="10" spans="1:9">
      <c r="A10" s="10" t="s">
        <v>559</v>
      </c>
      <c r="B10" s="43"/>
      <c r="C10" s="43"/>
      <c r="D10" s="43"/>
      <c r="E10" s="43"/>
      <c r="F10" s="43">
        <v>3073.33</v>
      </c>
      <c r="G10" s="45">
        <f>G9+F10</f>
        <v>466995.68</v>
      </c>
    </row>
    <row r="11" spans="1:9">
      <c r="A11" s="10" t="s">
        <v>561</v>
      </c>
      <c r="B11" s="43"/>
      <c r="C11" s="43"/>
      <c r="D11" s="43"/>
      <c r="E11" s="43"/>
      <c r="F11" s="43">
        <v>3093.68</v>
      </c>
      <c r="G11" s="45">
        <f>G10+F11</f>
        <v>470089.36</v>
      </c>
    </row>
    <row r="12" spans="1:9">
      <c r="A12" s="10" t="s">
        <v>562</v>
      </c>
      <c r="B12" s="43">
        <v>500</v>
      </c>
      <c r="C12" s="43" t="s">
        <v>588</v>
      </c>
      <c r="D12" s="43"/>
      <c r="E12" s="43"/>
      <c r="F12" s="43"/>
      <c r="G12" s="45">
        <f>G11+B12</f>
        <v>470589.36</v>
      </c>
    </row>
    <row r="13" spans="1:9">
      <c r="A13" s="10" t="s">
        <v>563</v>
      </c>
      <c r="B13" s="43">
        <v>2000</v>
      </c>
      <c r="C13" s="43" t="s">
        <v>608</v>
      </c>
      <c r="D13" s="43"/>
      <c r="E13" s="43"/>
      <c r="F13" s="43"/>
      <c r="G13" s="45">
        <f>G12+B13</f>
        <v>472589.36</v>
      </c>
    </row>
    <row r="14" spans="1:9">
      <c r="A14" s="10" t="s">
        <v>564</v>
      </c>
      <c r="B14" s="43"/>
      <c r="C14" s="43"/>
      <c r="D14" s="43"/>
      <c r="E14" s="43"/>
      <c r="F14" s="43">
        <v>2922.03</v>
      </c>
      <c r="G14" s="43">
        <f>G13+F14</f>
        <v>475511.39</v>
      </c>
    </row>
    <row r="15" spans="1:9">
      <c r="A15" s="10" t="s">
        <v>565</v>
      </c>
      <c r="B15" s="43"/>
      <c r="C15" s="43"/>
      <c r="D15" s="43"/>
      <c r="E15" s="43"/>
      <c r="F15" s="43">
        <v>3251.72</v>
      </c>
      <c r="G15" s="45">
        <f>G14+F15</f>
        <v>478763.11</v>
      </c>
    </row>
    <row r="16" spans="1:9">
      <c r="A16" s="10" t="s">
        <v>566</v>
      </c>
      <c r="B16" s="43"/>
      <c r="C16" s="43"/>
      <c r="D16" s="43"/>
      <c r="E16" s="43"/>
      <c r="F16" s="43">
        <v>3171.64</v>
      </c>
      <c r="G16" s="45">
        <f>G15+F16</f>
        <v>481934.75</v>
      </c>
    </row>
    <row r="17" spans="1:7">
      <c r="A17" s="10" t="s">
        <v>567</v>
      </c>
      <c r="B17" s="43"/>
      <c r="C17" s="43"/>
      <c r="D17" s="43"/>
      <c r="E17" s="43"/>
      <c r="F17" s="43">
        <v>2891.61</v>
      </c>
      <c r="G17" s="45">
        <f>G16+F17</f>
        <v>484826.36</v>
      </c>
    </row>
    <row r="18" spans="1:7">
      <c r="A18" s="10" t="s">
        <v>554</v>
      </c>
      <c r="B18" s="43">
        <v>1500</v>
      </c>
      <c r="C18" s="43" t="s">
        <v>584</v>
      </c>
      <c r="D18" s="43"/>
      <c r="E18" s="43"/>
      <c r="F18" s="43"/>
      <c r="G18" s="45">
        <f>G17+B18</f>
        <v>486326.36</v>
      </c>
    </row>
    <row r="19" spans="1:7">
      <c r="A19" s="10" t="s">
        <v>568</v>
      </c>
      <c r="B19" s="43"/>
      <c r="C19" s="43"/>
      <c r="D19" s="43"/>
      <c r="E19" s="43"/>
      <c r="F19" s="43">
        <v>2968.89</v>
      </c>
      <c r="G19" s="45">
        <f>G18+F19</f>
        <v>489295.25</v>
      </c>
    </row>
    <row r="20" spans="1:7">
      <c r="A20" s="10" t="s">
        <v>569</v>
      </c>
      <c r="B20" s="43"/>
      <c r="C20" s="43"/>
      <c r="D20" s="43"/>
      <c r="E20" s="43"/>
      <c r="F20" s="43">
        <v>2818.47</v>
      </c>
      <c r="G20" s="45">
        <f>G19+F20</f>
        <v>492113.72</v>
      </c>
    </row>
    <row r="21" spans="1:7">
      <c r="A21" s="10" t="s">
        <v>570</v>
      </c>
      <c r="B21" s="43">
        <v>32000</v>
      </c>
      <c r="C21" s="43" t="s">
        <v>669</v>
      </c>
      <c r="D21" s="43"/>
      <c r="E21" s="43"/>
      <c r="F21" s="43"/>
      <c r="G21" s="45">
        <f>G20+B21</f>
        <v>524113.72</v>
      </c>
    </row>
    <row r="22" spans="1:7">
      <c r="B22" s="254"/>
      <c r="C22" s="254"/>
      <c r="D22" s="254"/>
      <c r="E22" s="254"/>
      <c r="F22" s="254"/>
    </row>
    <row r="23" spans="1:7">
      <c r="B23" s="254"/>
      <c r="C23" s="254"/>
      <c r="D23" s="254"/>
      <c r="E23" s="254"/>
      <c r="F23" s="254"/>
    </row>
    <row r="24" spans="1:7">
      <c r="B24" s="254"/>
      <c r="C24" s="254"/>
      <c r="D24" s="254"/>
      <c r="E24" s="254"/>
      <c r="F24" s="254"/>
    </row>
    <row r="25" spans="1:7">
      <c r="B25" s="254"/>
      <c r="C25" s="254"/>
      <c r="D25" s="254"/>
      <c r="E25" s="254"/>
      <c r="F25" s="254"/>
    </row>
    <row r="26" spans="1:7">
      <c r="B26" s="254"/>
      <c r="C26" s="254"/>
      <c r="D26" s="254"/>
      <c r="E26" s="254"/>
      <c r="F26" s="254"/>
    </row>
    <row r="27" spans="1:7">
      <c r="B27" s="254"/>
      <c r="C27" s="254"/>
      <c r="D27" s="254"/>
      <c r="E27" s="254"/>
      <c r="F27" s="254"/>
    </row>
    <row r="28" spans="1:7">
      <c r="B28" s="254"/>
      <c r="C28" s="254"/>
      <c r="D28" s="254"/>
      <c r="E28" s="254"/>
      <c r="F28" s="254"/>
    </row>
    <row r="29" spans="1:7">
      <c r="B29" s="254"/>
      <c r="C29" s="254"/>
      <c r="D29" s="254"/>
      <c r="E29" s="254"/>
      <c r="F29" s="254"/>
    </row>
    <row r="30" spans="1:7">
      <c r="B30" s="254"/>
      <c r="C30" s="254"/>
      <c r="D30" s="254"/>
      <c r="E30" s="254"/>
      <c r="F30" s="254"/>
    </row>
    <row r="31" spans="1:7">
      <c r="B31" s="254"/>
      <c r="C31" s="254"/>
      <c r="D31" s="254"/>
      <c r="E31" s="254"/>
      <c r="F31" s="254"/>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8"/>
  <sheetViews>
    <sheetView topLeftCell="A2" zoomScale="80" zoomScaleNormal="80" workbookViewId="0">
      <selection activeCell="A27" sqref="A27"/>
    </sheetView>
  </sheetViews>
  <sheetFormatPr defaultRowHeight="14.25"/>
  <cols>
    <col min="1" max="1" width="8.73046875"/>
    <col min="2" max="2" width="10.1328125" customWidth="1"/>
    <col min="3" max="3" width="10.1328125" bestFit="1" customWidth="1"/>
    <col min="4" max="4" width="12.1328125" customWidth="1"/>
    <col min="5" max="6" width="10.3984375" customWidth="1"/>
    <col min="7" max="7" width="10.1328125" bestFit="1" customWidth="1"/>
    <col min="8" max="8" width="11" customWidth="1"/>
    <col min="9" max="9" width="10.59765625" bestFit="1" customWidth="1"/>
    <col min="10" max="10" width="10.86328125" bestFit="1" customWidth="1"/>
    <col min="11" max="11" width="11.1328125" customWidth="1"/>
    <col min="12" max="12" width="11" customWidth="1"/>
    <col min="13" max="13" width="10.59765625" bestFit="1" customWidth="1"/>
    <col min="14" max="14" width="12.3984375" customWidth="1"/>
  </cols>
  <sheetData>
    <row r="1" spans="1:14" ht="21">
      <c r="B1" s="238" t="s">
        <v>489</v>
      </c>
    </row>
    <row r="2" spans="1:14" ht="21">
      <c r="B2" s="238"/>
      <c r="F2" s="320" t="s">
        <v>518</v>
      </c>
      <c r="G2" s="320"/>
      <c r="H2" s="320"/>
      <c r="I2" s="320"/>
      <c r="J2" s="320"/>
      <c r="K2" s="320"/>
      <c r="L2" s="320"/>
      <c r="M2" s="320"/>
    </row>
    <row r="3" spans="1:14" ht="21">
      <c r="B3" s="238"/>
    </row>
    <row r="4" spans="1:14" ht="21">
      <c r="B4" s="238" t="s">
        <v>526</v>
      </c>
    </row>
    <row r="6" spans="1:14" s="41" customFormat="1" ht="12" customHeight="1">
      <c r="B6" s="42">
        <v>44743</v>
      </c>
      <c r="C6" s="42">
        <v>44774</v>
      </c>
      <c r="D6" s="42">
        <v>44805</v>
      </c>
      <c r="E6" s="42">
        <v>44835</v>
      </c>
      <c r="F6" s="42">
        <v>44866</v>
      </c>
      <c r="G6" s="42">
        <v>44896</v>
      </c>
      <c r="H6" s="42">
        <v>44927</v>
      </c>
      <c r="I6" s="42">
        <v>44958</v>
      </c>
      <c r="J6" s="42">
        <v>44986</v>
      </c>
      <c r="K6" s="42">
        <v>45017</v>
      </c>
      <c r="L6" s="42">
        <v>45047</v>
      </c>
      <c r="M6" s="42">
        <v>45078</v>
      </c>
      <c r="N6" s="44" t="s">
        <v>182</v>
      </c>
    </row>
    <row r="7" spans="1:14">
      <c r="B7" s="244">
        <v>1157.51</v>
      </c>
      <c r="C7" s="244">
        <v>1392.08</v>
      </c>
      <c r="D7" s="43">
        <v>1401.63</v>
      </c>
      <c r="E7" s="43">
        <v>1707.2</v>
      </c>
      <c r="F7" s="43">
        <v>1740.58</v>
      </c>
      <c r="G7" s="43">
        <v>1922.18</v>
      </c>
      <c r="H7" s="245">
        <v>2090.1999999999998</v>
      </c>
      <c r="I7" s="246">
        <v>1986.49</v>
      </c>
      <c r="J7" s="43">
        <v>2222.7399999999998</v>
      </c>
      <c r="K7" s="43">
        <v>2356.46</v>
      </c>
      <c r="L7" s="43">
        <v>2399.04</v>
      </c>
      <c r="M7" s="43">
        <v>1065.3</v>
      </c>
      <c r="N7" s="45">
        <f>SUM(D7:M7)</f>
        <v>18891.82</v>
      </c>
    </row>
    <row r="8" spans="1:14" ht="14.65" thickBot="1">
      <c r="B8" s="239">
        <f t="shared" ref="B8:N8" si="0">SUM(B7:B7)</f>
        <v>1157.51</v>
      </c>
      <c r="C8" s="239">
        <f>SUM(C7:C7)</f>
        <v>1392.08</v>
      </c>
      <c r="D8" s="239">
        <f t="shared" si="0"/>
        <v>1401.63</v>
      </c>
      <c r="E8" s="239">
        <f t="shared" si="0"/>
        <v>1707.2</v>
      </c>
      <c r="F8" s="239">
        <f t="shared" si="0"/>
        <v>1740.58</v>
      </c>
      <c r="G8" s="239">
        <f t="shared" si="0"/>
        <v>1922.18</v>
      </c>
      <c r="H8" s="239">
        <f t="shared" si="0"/>
        <v>2090.1999999999998</v>
      </c>
      <c r="I8" s="239">
        <f t="shared" si="0"/>
        <v>1986.49</v>
      </c>
      <c r="J8" s="239">
        <f t="shared" si="0"/>
        <v>2222.7399999999998</v>
      </c>
      <c r="K8" s="239">
        <f t="shared" si="0"/>
        <v>2356.46</v>
      </c>
      <c r="L8" s="239">
        <f t="shared" si="0"/>
        <v>2399.04</v>
      </c>
      <c r="M8" s="239">
        <f t="shared" si="0"/>
        <v>1065.3</v>
      </c>
      <c r="N8" s="239">
        <f t="shared" si="0"/>
        <v>18891.82</v>
      </c>
    </row>
    <row r="9" spans="1:14" ht="14.65" thickTop="1"/>
    <row r="10" spans="1:14" ht="21">
      <c r="B10" s="238" t="s">
        <v>525</v>
      </c>
    </row>
    <row r="11" spans="1:14" s="17" customFormat="1" hidden="1">
      <c r="A11" s="296" t="s">
        <v>571</v>
      </c>
      <c r="B11" s="295">
        <f>B13+580</f>
        <v>3302.01</v>
      </c>
      <c r="C11" s="295">
        <f>C13+580</f>
        <v>3332.23</v>
      </c>
      <c r="D11" s="295">
        <f t="shared" ref="D11:M11" si="1">D13+580</f>
        <v>3288.15</v>
      </c>
      <c r="E11" s="295">
        <f t="shared" si="1"/>
        <v>3214.59</v>
      </c>
      <c r="F11" s="295">
        <f t="shared" si="1"/>
        <v>3247.17</v>
      </c>
      <c r="G11" s="295">
        <f t="shared" si="1"/>
        <v>3299.75</v>
      </c>
      <c r="H11" s="295">
        <f t="shared" si="1"/>
        <v>3327.1</v>
      </c>
      <c r="I11" s="295">
        <f t="shared" si="1"/>
        <v>3140.97</v>
      </c>
      <c r="J11" s="295">
        <f t="shared" si="1"/>
        <v>809.06999999999994</v>
      </c>
      <c r="K11" s="295">
        <f t="shared" si="1"/>
        <v>809.06999999999994</v>
      </c>
      <c r="L11" s="295">
        <f t="shared" si="1"/>
        <v>645.71</v>
      </c>
      <c r="M11" s="295">
        <f t="shared" si="1"/>
        <v>606.64</v>
      </c>
    </row>
    <row r="12" spans="1:14">
      <c r="B12" s="42">
        <v>45108</v>
      </c>
      <c r="C12" s="42">
        <v>45139</v>
      </c>
      <c r="D12" s="42">
        <v>45170</v>
      </c>
      <c r="E12" s="42">
        <v>45200</v>
      </c>
      <c r="F12" s="42">
        <v>45231</v>
      </c>
      <c r="G12" s="42">
        <v>45261</v>
      </c>
      <c r="H12" s="42">
        <v>45292</v>
      </c>
      <c r="I12" s="42">
        <v>45323</v>
      </c>
      <c r="J12" s="42">
        <v>45352</v>
      </c>
      <c r="K12" s="42">
        <v>45383</v>
      </c>
      <c r="L12" s="42">
        <v>45413</v>
      </c>
      <c r="M12" s="42">
        <v>45444</v>
      </c>
      <c r="N12" s="44" t="s">
        <v>182</v>
      </c>
    </row>
    <row r="13" spans="1:14">
      <c r="A13" t="s">
        <v>670</v>
      </c>
      <c r="B13" s="244">
        <v>2722.01</v>
      </c>
      <c r="C13" s="244">
        <v>2752.23</v>
      </c>
      <c r="D13" s="244">
        <v>2708.15</v>
      </c>
      <c r="E13" s="244">
        <v>2634.59</v>
      </c>
      <c r="F13" s="244">
        <v>2667.17</v>
      </c>
      <c r="G13" s="244">
        <v>2719.75</v>
      </c>
      <c r="H13" s="244">
        <v>2747.1</v>
      </c>
      <c r="I13" s="244">
        <v>2560.9699999999998</v>
      </c>
      <c r="J13" s="293">
        <f>143.55+85.52</f>
        <v>229.07</v>
      </c>
      <c r="K13" s="244">
        <f>143.55+85.52</f>
        <v>229.07</v>
      </c>
      <c r="L13" s="244">
        <v>65.709999999999994</v>
      </c>
      <c r="M13" s="244">
        <v>26.64</v>
      </c>
      <c r="N13" s="285">
        <f>SUM(B13:M13)</f>
        <v>22062.46</v>
      </c>
    </row>
    <row r="14" spans="1:14">
      <c r="A14" t="s">
        <v>671</v>
      </c>
      <c r="B14" s="290">
        <v>0</v>
      </c>
      <c r="C14" s="290">
        <v>0</v>
      </c>
      <c r="D14" s="307">
        <v>0</v>
      </c>
      <c r="E14" s="307">
        <v>0</v>
      </c>
      <c r="F14" s="307">
        <v>0</v>
      </c>
      <c r="G14" s="307">
        <v>11.98</v>
      </c>
      <c r="H14" s="294">
        <f>'FNB PLF '!F5</f>
        <v>2.97</v>
      </c>
      <c r="I14" s="294">
        <f>'FNB PLF '!F6</f>
        <v>3.18</v>
      </c>
      <c r="J14" s="291">
        <f>'FNB PLF '!F8</f>
        <v>101.29</v>
      </c>
      <c r="K14" s="291">
        <f>'FNB PLF '!F9</f>
        <v>2955.24</v>
      </c>
      <c r="L14" s="291">
        <f>'FNB PLF '!F10</f>
        <v>3073.33</v>
      </c>
      <c r="M14" s="291">
        <f>'FNB PLF '!F11</f>
        <v>3093.68</v>
      </c>
      <c r="N14" s="285">
        <f>SUM(B14:M14)</f>
        <v>9241.67</v>
      </c>
    </row>
    <row r="15" spans="1:14" ht="14.65" thickBot="1">
      <c r="B15" s="292">
        <f>SUM(B13:B14)</f>
        <v>2722.01</v>
      </c>
      <c r="C15" s="292">
        <f t="shared" ref="C15:N15" si="2">SUM(C13:C14)</f>
        <v>2752.23</v>
      </c>
      <c r="D15" s="292">
        <f t="shared" si="2"/>
        <v>2708.15</v>
      </c>
      <c r="E15" s="292">
        <f t="shared" si="2"/>
        <v>2634.59</v>
      </c>
      <c r="F15" s="292">
        <f t="shared" si="2"/>
        <v>2667.17</v>
      </c>
      <c r="G15" s="292">
        <f t="shared" si="2"/>
        <v>2731.73</v>
      </c>
      <c r="H15" s="292">
        <f t="shared" si="2"/>
        <v>2750.0699999999997</v>
      </c>
      <c r="I15" s="292">
        <f t="shared" si="2"/>
        <v>2564.1499999999996</v>
      </c>
      <c r="J15" s="292">
        <f t="shared" si="2"/>
        <v>330.36</v>
      </c>
      <c r="K15" s="292">
        <f t="shared" si="2"/>
        <v>3184.31</v>
      </c>
      <c r="L15" s="292">
        <f t="shared" si="2"/>
        <v>3139.04</v>
      </c>
      <c r="M15" s="292">
        <f t="shared" si="2"/>
        <v>3120.3199999999997</v>
      </c>
      <c r="N15" s="292">
        <f t="shared" si="2"/>
        <v>31304.129999999997</v>
      </c>
    </row>
    <row r="16" spans="1:14" s="298" customFormat="1" ht="14.65" thickTop="1">
      <c r="B16" s="299">
        <v>45108</v>
      </c>
      <c r="C16" s="299">
        <v>45139</v>
      </c>
      <c r="D16" s="299">
        <v>45170</v>
      </c>
      <c r="E16" s="299">
        <v>45200</v>
      </c>
      <c r="F16" s="299">
        <v>45231</v>
      </c>
      <c r="G16" s="299">
        <v>45261</v>
      </c>
      <c r="H16" s="299">
        <v>45292</v>
      </c>
      <c r="I16" s="299">
        <v>45323</v>
      </c>
      <c r="J16" s="299">
        <v>45352</v>
      </c>
      <c r="K16" s="299">
        <v>45383</v>
      </c>
      <c r="L16" s="299">
        <v>45413</v>
      </c>
      <c r="M16" s="299">
        <v>45444</v>
      </c>
      <c r="N16" s="300" t="s">
        <v>182</v>
      </c>
    </row>
    <row r="17" spans="1:14" s="302" customFormat="1">
      <c r="A17"/>
      <c r="B17" s="303" t="s">
        <v>572</v>
      </c>
      <c r="C17" s="304">
        <v>6.7500000000000004E-2</v>
      </c>
      <c r="D17" s="304">
        <v>6.7500000000000004E-2</v>
      </c>
      <c r="E17" s="304">
        <v>6.7500000000000004E-2</v>
      </c>
      <c r="F17" s="304">
        <v>6.7500000000000004E-2</v>
      </c>
      <c r="G17" s="304">
        <v>6.7500000000000004E-2</v>
      </c>
      <c r="H17" s="304">
        <v>6.7500000000000004E-2</v>
      </c>
      <c r="I17" s="304">
        <v>6.7500000000000004E-2</v>
      </c>
      <c r="J17" s="303">
        <v>7.0000000000000007E-2</v>
      </c>
      <c r="K17" s="303">
        <v>7.0000000000000007E-2</v>
      </c>
      <c r="L17" s="303">
        <v>7.0000000000000007E-2</v>
      </c>
      <c r="M17" s="303">
        <v>7.0000000000000007E-2</v>
      </c>
      <c r="N17" s="301">
        <f>SUM(B17:M17)</f>
        <v>0.75250000000000017</v>
      </c>
    </row>
    <row r="18" spans="1:14">
      <c r="B18" s="303">
        <v>0</v>
      </c>
      <c r="C18" s="303">
        <v>0</v>
      </c>
      <c r="D18" s="308"/>
      <c r="E18" s="308"/>
      <c r="F18" s="308"/>
      <c r="G18" s="308"/>
      <c r="H18" s="308"/>
      <c r="I18" s="308"/>
      <c r="J18" s="308"/>
      <c r="K18" s="308"/>
      <c r="L18" s="308"/>
      <c r="M18" s="308"/>
      <c r="N18" s="285">
        <f>SUM(B18:M18)</f>
        <v>0</v>
      </c>
    </row>
    <row r="19" spans="1:14">
      <c r="B19" s="297"/>
      <c r="C19" s="297"/>
      <c r="D19" s="297"/>
      <c r="E19" s="297"/>
      <c r="F19" s="297"/>
      <c r="G19" s="297"/>
      <c r="H19" s="297"/>
      <c r="I19" s="297"/>
      <c r="J19" s="297"/>
      <c r="K19" s="297"/>
      <c r="L19" s="297"/>
      <c r="M19" s="297"/>
      <c r="N19" s="297"/>
    </row>
    <row r="21" spans="1:14">
      <c r="J21" s="284"/>
    </row>
    <row r="22" spans="1:14" ht="21">
      <c r="B22" s="238" t="s">
        <v>553</v>
      </c>
    </row>
    <row r="24" spans="1:14">
      <c r="B24" s="42">
        <v>45474</v>
      </c>
      <c r="C24" s="42">
        <v>45505</v>
      </c>
      <c r="D24" s="42">
        <v>45536</v>
      </c>
      <c r="E24" s="42">
        <v>45566</v>
      </c>
      <c r="F24" s="42">
        <v>45597</v>
      </c>
      <c r="G24" s="42">
        <v>45627</v>
      </c>
      <c r="H24" s="42">
        <v>45658</v>
      </c>
      <c r="I24" s="42">
        <v>45689</v>
      </c>
      <c r="J24" s="42">
        <v>45717</v>
      </c>
      <c r="K24" s="42">
        <v>45748</v>
      </c>
      <c r="L24" s="42">
        <v>45778</v>
      </c>
      <c r="M24" s="42">
        <v>45809</v>
      </c>
      <c r="N24" s="44" t="s">
        <v>182</v>
      </c>
    </row>
    <row r="25" spans="1:14">
      <c r="B25" s="244">
        <v>66.39</v>
      </c>
      <c r="C25" s="244">
        <v>119.54</v>
      </c>
      <c r="D25" s="244">
        <v>137.6</v>
      </c>
      <c r="E25" s="244">
        <v>153.03</v>
      </c>
      <c r="F25" s="244">
        <v>162.33000000000001</v>
      </c>
      <c r="G25" s="244">
        <v>190.02</v>
      </c>
      <c r="H25" s="244"/>
      <c r="I25" s="244"/>
      <c r="J25" s="244"/>
      <c r="K25" s="244"/>
      <c r="L25" s="244"/>
      <c r="M25" s="244"/>
      <c r="N25" s="285">
        <f>SUM(B25:M25)</f>
        <v>828.91</v>
      </c>
    </row>
    <row r="26" spans="1:14">
      <c r="B26" s="290"/>
      <c r="C26" s="290"/>
      <c r="D26" s="290"/>
      <c r="E26" s="290"/>
      <c r="F26" s="290"/>
      <c r="G26" s="290"/>
      <c r="H26" s="290"/>
      <c r="I26" s="290"/>
      <c r="J26" s="290"/>
      <c r="K26" s="290"/>
      <c r="L26" s="290"/>
      <c r="M26" s="290"/>
      <c r="N26" s="313"/>
    </row>
    <row r="27" spans="1:14" ht="14.65" thickBot="1">
      <c r="B27" s="239">
        <f>SUM(B25:B25)</f>
        <v>66.39</v>
      </c>
      <c r="C27" s="239">
        <f>SUM(C25:C25)</f>
        <v>119.54</v>
      </c>
      <c r="D27" s="239">
        <f>SUM(D25:D25)</f>
        <v>137.6</v>
      </c>
      <c r="E27" s="239">
        <f>SUM(E25:E25)</f>
        <v>153.03</v>
      </c>
      <c r="F27" s="239">
        <f>SUM(F25:F25)</f>
        <v>162.33000000000001</v>
      </c>
      <c r="G27" s="239">
        <v>2719.75</v>
      </c>
      <c r="H27" s="239">
        <v>2747.1</v>
      </c>
      <c r="I27" s="239">
        <f t="shared" ref="I27:N27" si="3">SUM(I25:I25)</f>
        <v>0</v>
      </c>
      <c r="J27" s="239">
        <f t="shared" si="3"/>
        <v>0</v>
      </c>
      <c r="K27" s="239">
        <f t="shared" si="3"/>
        <v>0</v>
      </c>
      <c r="L27" s="239">
        <f t="shared" si="3"/>
        <v>0</v>
      </c>
      <c r="M27" s="239">
        <f t="shared" si="3"/>
        <v>0</v>
      </c>
      <c r="N27" s="239">
        <f t="shared" si="3"/>
        <v>828.91</v>
      </c>
    </row>
    <row r="28" spans="1:14" ht="14.65" thickTop="1"/>
  </sheetData>
  <mergeCells count="1">
    <mergeCell ref="F2:M2"/>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T75"/>
  <sheetViews>
    <sheetView zoomScale="60" zoomScaleNormal="60" workbookViewId="0">
      <selection activeCell="F18" sqref="F18"/>
    </sheetView>
  </sheetViews>
  <sheetFormatPr defaultRowHeight="14.25"/>
  <cols>
    <col min="1" max="1" width="22" style="164" customWidth="1"/>
    <col min="2" max="2" width="12.73046875" style="201" customWidth="1"/>
    <col min="3" max="3" width="9.1328125" customWidth="1"/>
    <col min="7" max="7" width="22.3984375" customWidth="1"/>
  </cols>
  <sheetData>
    <row r="2" spans="1:7">
      <c r="A2" s="164" t="s">
        <v>401</v>
      </c>
      <c r="B2" s="200">
        <f>C2/C2</f>
        <v>1</v>
      </c>
      <c r="C2" s="17">
        <v>86</v>
      </c>
    </row>
    <row r="3" spans="1:7" ht="28.5">
      <c r="A3" s="164" t="s">
        <v>402</v>
      </c>
      <c r="B3" s="200">
        <f>C3/C2</f>
        <v>0.67441860465116277</v>
      </c>
      <c r="C3" s="17">
        <f>C2-F3</f>
        <v>58</v>
      </c>
      <c r="F3">
        <v>28</v>
      </c>
    </row>
    <row r="4" spans="1:7" ht="28.5">
      <c r="A4" s="164" t="s">
        <v>506</v>
      </c>
      <c r="B4" s="200">
        <f>C4/C2</f>
        <v>0.54651162790697672</v>
      </c>
      <c r="C4" s="17">
        <f>C2-F4</f>
        <v>47</v>
      </c>
      <c r="F4">
        <v>39</v>
      </c>
    </row>
    <row r="5" spans="1:7" ht="28.5">
      <c r="A5" s="164" t="s">
        <v>505</v>
      </c>
      <c r="B5" s="200">
        <f>C5/C2</f>
        <v>0.63953488372093026</v>
      </c>
      <c r="C5" s="17">
        <f>C2-F5</f>
        <v>55</v>
      </c>
      <c r="F5" s="68">
        <v>31</v>
      </c>
    </row>
    <row r="6" spans="1:7" ht="28.5">
      <c r="A6" s="164" t="s">
        <v>543</v>
      </c>
      <c r="B6" s="200">
        <f>22/71</f>
        <v>0.30985915492957744</v>
      </c>
      <c r="C6">
        <v>22</v>
      </c>
      <c r="F6">
        <f>71-C6</f>
        <v>49</v>
      </c>
    </row>
    <row r="8" spans="1:7">
      <c r="A8" s="164" t="s">
        <v>403</v>
      </c>
      <c r="B8" s="202">
        <f>B9+B10+B11+B12</f>
        <v>326892.70999999996</v>
      </c>
    </row>
    <row r="9" spans="1:7" ht="28.5">
      <c r="A9" s="164" t="s">
        <v>404</v>
      </c>
      <c r="B9" s="202">
        <f>'2019-2020 New'!H92</f>
        <v>107188.89</v>
      </c>
    </row>
    <row r="10" spans="1:7" ht="28.5">
      <c r="A10" s="164" t="s">
        <v>405</v>
      </c>
      <c r="B10" s="202">
        <f>'2020-2021 New'!H91</f>
        <v>88663.819999999992</v>
      </c>
    </row>
    <row r="11" spans="1:7" ht="28.5">
      <c r="A11" s="164" t="s">
        <v>465</v>
      </c>
      <c r="B11" s="202">
        <f>'2021-2022 (A) New'!I91+'2021-2022 (B)'!G91</f>
        <v>79640</v>
      </c>
      <c r="G11" s="199"/>
    </row>
    <row r="12" spans="1:7" ht="28.5">
      <c r="A12" s="164" t="s">
        <v>507</v>
      </c>
      <c r="B12" s="247">
        <f>'2023-2024'!BK91</f>
        <v>51400</v>
      </c>
      <c r="D12" t="s">
        <v>544</v>
      </c>
      <c r="F12">
        <v>25</v>
      </c>
      <c r="G12" s="199"/>
    </row>
    <row r="13" spans="1:7">
      <c r="B13" s="202"/>
      <c r="D13" t="s">
        <v>545</v>
      </c>
      <c r="F13">
        <f>71-F12</f>
        <v>46</v>
      </c>
      <c r="G13" s="199"/>
    </row>
    <row r="15" spans="1:7">
      <c r="A15" s="164" t="s">
        <v>466</v>
      </c>
      <c r="B15" s="224">
        <f>B16+B17+B18+B19</f>
        <v>1987035.5864561559</v>
      </c>
    </row>
    <row r="16" spans="1:7">
      <c r="A16" s="164" t="s">
        <v>467</v>
      </c>
      <c r="B16" s="224">
        <f>'2019-2020 New'!N92</f>
        <v>139341.65395330277</v>
      </c>
    </row>
    <row r="17" spans="1:20">
      <c r="A17" s="164" t="s">
        <v>468</v>
      </c>
      <c r="B17" s="224">
        <f>'2020-2021 New'!N91</f>
        <v>374337.37216509361</v>
      </c>
    </row>
    <row r="18" spans="1:20">
      <c r="A18" s="164" t="s">
        <v>469</v>
      </c>
      <c r="B18" s="224">
        <f>'2021-2022 (A) New'!O91+'2021-2022 (B)'!M91</f>
        <v>335013.64266632806</v>
      </c>
    </row>
    <row r="19" spans="1:20">
      <c r="A19" s="164" t="s">
        <v>508</v>
      </c>
      <c r="B19" s="248">
        <f>'2023-2024'!M91</f>
        <v>1138342.9176714313</v>
      </c>
      <c r="R19" t="s">
        <v>478</v>
      </c>
    </row>
    <row r="20" spans="1:20">
      <c r="B20" s="224"/>
      <c r="R20" t="s">
        <v>475</v>
      </c>
      <c r="T20">
        <v>20</v>
      </c>
    </row>
    <row r="21" spans="1:20">
      <c r="B21" s="224"/>
      <c r="R21" t="s">
        <v>476</v>
      </c>
      <c r="T21">
        <v>45</v>
      </c>
    </row>
    <row r="22" spans="1:20">
      <c r="R22" t="s">
        <v>477</v>
      </c>
      <c r="T22">
        <v>35</v>
      </c>
    </row>
    <row r="30" spans="1:20">
      <c r="A30" s="164" t="s">
        <v>466</v>
      </c>
      <c r="B30" s="224">
        <f>B15</f>
        <v>1987035.5864561559</v>
      </c>
    </row>
    <row r="31" spans="1:20">
      <c r="A31" s="164" t="s">
        <v>470</v>
      </c>
      <c r="B31" s="224">
        <f>B16+B17</f>
        <v>513679.02611839637</v>
      </c>
    </row>
    <row r="32" spans="1:20">
      <c r="A32" s="164" t="s">
        <v>513</v>
      </c>
      <c r="B32" s="224">
        <f>B18+B19</f>
        <v>1473356.5603377593</v>
      </c>
    </row>
    <row r="47" spans="1:2" ht="28.5">
      <c r="A47" s="164" t="s">
        <v>471</v>
      </c>
      <c r="B47" s="202">
        <f>' 2018-2019'!O93</f>
        <v>9175.8333333333339</v>
      </c>
    </row>
    <row r="48" spans="1:2" ht="28.5">
      <c r="A48" s="164" t="s">
        <v>472</v>
      </c>
      <c r="B48" s="202">
        <f>'2019-2020 New'!P94</f>
        <v>9099.0741666666672</v>
      </c>
    </row>
    <row r="49" spans="1:2" ht="28.5">
      <c r="A49" s="164" t="s">
        <v>473</v>
      </c>
      <c r="B49" s="202">
        <f>'2020-2021 New'!P93</f>
        <v>7388.6516666666676</v>
      </c>
    </row>
    <row r="50" spans="1:2" ht="28.5">
      <c r="A50" s="164" t="s">
        <v>474</v>
      </c>
      <c r="B50" s="202">
        <f>'2021-2022 (A) New'!Q93</f>
        <v>6398.75</v>
      </c>
    </row>
    <row r="51" spans="1:2" ht="28.5">
      <c r="A51" s="164" t="s">
        <v>512</v>
      </c>
      <c r="B51" s="249">
        <v>4916.67</v>
      </c>
    </row>
    <row r="52" spans="1:2" ht="28.5">
      <c r="A52" s="164" t="s">
        <v>542</v>
      </c>
      <c r="B52" s="249">
        <f>'2023-2024'!O93</f>
        <v>4144.4444444444443</v>
      </c>
    </row>
    <row r="54" spans="1:2">
      <c r="A54" s="227" t="s">
        <v>481</v>
      </c>
    </row>
    <row r="55" spans="1:2">
      <c r="A55" s="164" t="s">
        <v>479</v>
      </c>
    </row>
    <row r="56" spans="1:2">
      <c r="A56" s="164" t="s">
        <v>480</v>
      </c>
    </row>
    <row r="58" spans="1:2" ht="28.5">
      <c r="A58" s="164" t="s">
        <v>541</v>
      </c>
    </row>
    <row r="59" spans="1:2">
      <c r="A59" s="227" t="s">
        <v>503</v>
      </c>
      <c r="B59" s="241" t="s">
        <v>206</v>
      </c>
    </row>
    <row r="60" spans="1:2">
      <c r="A60" s="164" t="s">
        <v>194</v>
      </c>
      <c r="B60" s="243">
        <f>'2023-2024'!O91</f>
        <v>5100</v>
      </c>
    </row>
    <row r="61" spans="1:2">
      <c r="A61" s="164" t="s">
        <v>509</v>
      </c>
      <c r="B61" s="243">
        <f>'2023-2024'!S91</f>
        <v>1650</v>
      </c>
    </row>
    <row r="62" spans="1:2">
      <c r="A62" s="164" t="s">
        <v>495</v>
      </c>
      <c r="B62" s="243">
        <f>'2023-2024'!W91</f>
        <v>6450</v>
      </c>
    </row>
    <row r="63" spans="1:2">
      <c r="A63" s="164" t="s">
        <v>496</v>
      </c>
      <c r="B63" s="243">
        <f>'2023-2024'!AA91</f>
        <v>3700</v>
      </c>
    </row>
    <row r="64" spans="1:2">
      <c r="A64" s="164" t="s">
        <v>497</v>
      </c>
      <c r="B64" s="243">
        <f>'2023-2024'!AE91</f>
        <v>3600</v>
      </c>
    </row>
    <row r="65" spans="1:12">
      <c r="A65" s="164" t="s">
        <v>498</v>
      </c>
      <c r="B65" s="243">
        <f>'2023-2024'!AI91</f>
        <v>3000</v>
      </c>
    </row>
    <row r="66" spans="1:12">
      <c r="A66" s="164" t="s">
        <v>499</v>
      </c>
      <c r="B66" s="243">
        <f>'2023-2024'!AM91</f>
        <v>4200</v>
      </c>
    </row>
    <row r="67" spans="1:12">
      <c r="A67" s="164" t="s">
        <v>500</v>
      </c>
      <c r="B67" s="243">
        <f>'2023-2024'!AQ91</f>
        <v>5900</v>
      </c>
      <c r="J67">
        <f>89*200</f>
        <v>17800</v>
      </c>
      <c r="L67">
        <f>6498.75/J67</f>
        <v>0.36509831460674158</v>
      </c>
    </row>
    <row r="68" spans="1:12">
      <c r="A68" s="164" t="s">
        <v>501</v>
      </c>
      <c r="B68" s="202">
        <f>'2023-2024'!AU91</f>
        <v>3700</v>
      </c>
    </row>
    <row r="69" spans="1:12">
      <c r="A69" s="164" t="s">
        <v>203</v>
      </c>
      <c r="B69" s="202">
        <f>'2023-2024'!AY91</f>
        <v>4100</v>
      </c>
      <c r="L69" s="226">
        <f>6498.75/200</f>
        <v>32.493749999999999</v>
      </c>
    </row>
    <row r="70" spans="1:12">
      <c r="A70" s="164" t="s">
        <v>204</v>
      </c>
      <c r="B70" s="202">
        <f>'2023-2024'!BC91</f>
        <v>4400</v>
      </c>
    </row>
    <row r="71" spans="1:12">
      <c r="A71" s="164" t="s">
        <v>502</v>
      </c>
      <c r="B71" s="202">
        <f>'2023-2024'!BG91</f>
        <v>5600</v>
      </c>
    </row>
    <row r="75" spans="1:12">
      <c r="A75" s="164" t="s">
        <v>504</v>
      </c>
    </row>
  </sheetData>
  <conditionalFormatting sqref="B2:B5">
    <cfRule type="colorScale" priority="7">
      <colorScale>
        <cfvo type="min"/>
        <cfvo type="percentile" val="50"/>
        <cfvo type="max"/>
        <color rgb="FFF8696B"/>
        <color rgb="FFFCFCFF"/>
        <color rgb="FF63BE7B"/>
      </colorScale>
    </cfRule>
  </conditionalFormatting>
  <conditionalFormatting sqref="B8:B10">
    <cfRule type="colorScale" priority="53">
      <colorScale>
        <cfvo type="min"/>
        <cfvo type="percentile" val="50"/>
        <cfvo type="max"/>
        <color rgb="FFF8696B"/>
        <color rgb="FFFCFCFF"/>
        <color rgb="FF63BE7B"/>
      </colorScale>
    </cfRule>
  </conditionalFormatting>
  <conditionalFormatting sqref="B8:B11">
    <cfRule type="colorScale" priority="6">
      <colorScale>
        <cfvo type="min"/>
        <cfvo type="percentile" val="50"/>
        <cfvo type="max"/>
        <color rgb="FFF8696B"/>
        <color rgb="FFFCFCFF"/>
        <color rgb="FF63BE7B"/>
      </colorScale>
    </cfRule>
  </conditionalFormatting>
  <conditionalFormatting sqref="B15:B18">
    <cfRule type="colorScale" priority="54">
      <colorScale>
        <cfvo type="min"/>
        <cfvo type="percentile" val="50"/>
        <cfvo type="max"/>
        <color rgb="FFF8696B"/>
        <color rgb="FFFCFCFF"/>
        <color rgb="FF63BE7B"/>
      </colorScale>
    </cfRule>
  </conditionalFormatting>
  <conditionalFormatting sqref="B30:B32">
    <cfRule type="colorScale" priority="52">
      <colorScale>
        <cfvo type="min"/>
        <cfvo type="percentile" val="50"/>
        <cfvo type="max"/>
        <color rgb="FFF8696B"/>
        <color rgb="FFFCFCFF"/>
        <color rgb="FF63BE7B"/>
      </colorScale>
    </cfRule>
  </conditionalFormatting>
  <conditionalFormatting sqref="B47:B50">
    <cfRule type="colorScale" priority="1">
      <colorScale>
        <cfvo type="min"/>
        <cfvo type="percentile" val="50"/>
        <cfvo type="max"/>
        <color rgb="FFF8696B"/>
        <color rgb="FFFCFCFF"/>
        <color rgb="FF63BE7B"/>
      </colorScale>
    </cfRule>
  </conditionalFormatting>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manualMax="0" manualMin="0" displayEmptyCellsAs="span" xr2:uid="{00000000-0003-0000-0E00-000000000000}">
          <x14:colorSeries rgb="FF376092"/>
          <x14:colorNegative rgb="FFD00000"/>
          <x14:colorAxis rgb="FF000000"/>
          <x14:colorMarkers rgb="FFD00000"/>
          <x14:colorFirst rgb="FFD00000"/>
          <x14:colorLast rgb="FFD00000"/>
          <x14:colorHigh rgb="FFD00000"/>
          <x14:colorLow rgb="FFD00000"/>
          <x14:sparklines>
            <x14:sparkline>
              <xm:f>Dashboard!B15:B15</xm:f>
              <xm:sqref>C15</xm:sqref>
            </x14:sparkline>
            <x14:sparkline>
              <xm:f>Dashboard!B16:B16</xm:f>
              <xm:sqref>C16</xm:sqref>
            </x14:sparkline>
            <x14:sparkline>
              <xm:f>Dashboard!B17:B17</xm:f>
              <xm:sqref>C17</xm:sqref>
            </x14:sparkline>
            <x14:sparkline>
              <xm:f>Dashboard!B18:B18</xm:f>
              <xm:sqref>C18</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2:V93"/>
  <sheetViews>
    <sheetView workbookViewId="0">
      <selection activeCell="L103" sqref="L103"/>
    </sheetView>
  </sheetViews>
  <sheetFormatPr defaultRowHeight="14.25"/>
  <cols>
    <col min="1" max="1" width="18" bestFit="1" customWidth="1"/>
    <col min="2" max="2" width="13" customWidth="1"/>
    <col min="4" max="4" width="14" customWidth="1"/>
    <col min="5" max="5" width="12.265625" customWidth="1"/>
    <col min="6" max="6" width="12" customWidth="1"/>
    <col min="7" max="7" width="13.265625" customWidth="1"/>
    <col min="8" max="8" width="14.73046875" customWidth="1"/>
  </cols>
  <sheetData>
    <row r="2" spans="1:22">
      <c r="A2" s="41" t="s">
        <v>237</v>
      </c>
      <c r="Q2">
        <f>E2+200</f>
        <v>200</v>
      </c>
      <c r="U2">
        <f t="shared" ref="U2:U7" si="0">Q2-S2+200+R2</f>
        <v>400</v>
      </c>
      <c r="V2">
        <f>(U2-S2)*0.055</f>
        <v>22</v>
      </c>
    </row>
    <row r="3" spans="1:22">
      <c r="U3">
        <f t="shared" si="0"/>
        <v>200</v>
      </c>
    </row>
    <row r="4" spans="1:22" s="41" customFormat="1">
      <c r="A4" s="11" t="s">
        <v>0</v>
      </c>
      <c r="B4" s="11" t="s">
        <v>106</v>
      </c>
      <c r="C4" s="44" t="s">
        <v>238</v>
      </c>
      <c r="D4" s="44" t="s">
        <v>239</v>
      </c>
      <c r="E4" s="44" t="s">
        <v>240</v>
      </c>
      <c r="F4" s="44" t="s">
        <v>241</v>
      </c>
      <c r="G4" s="44" t="s">
        <v>242</v>
      </c>
      <c r="H4" s="44" t="s">
        <v>98</v>
      </c>
      <c r="U4">
        <f t="shared" si="0"/>
        <v>200</v>
      </c>
    </row>
    <row r="5" spans="1:22" hidden="1">
      <c r="A5" s="10" t="s">
        <v>30</v>
      </c>
      <c r="B5" s="121" t="s">
        <v>107</v>
      </c>
      <c r="C5" s="45">
        <f>' 2018-2019'!M2</f>
        <v>0</v>
      </c>
      <c r="D5" s="45"/>
      <c r="E5" s="45">
        <f>'2020-2021 New'!N2</f>
        <v>4053.100502546471</v>
      </c>
      <c r="F5" s="45">
        <f>'2021-2022 (A) New'!O2</f>
        <v>1918.3891831315475</v>
      </c>
      <c r="G5" s="45">
        <f>'2021-2022 (B)'!M2</f>
        <v>1920.8723563645642</v>
      </c>
      <c r="H5" s="45">
        <f>C5+D5+E5+F5+G5</f>
        <v>7892.3620420425832</v>
      </c>
      <c r="U5">
        <f t="shared" si="0"/>
        <v>200</v>
      </c>
    </row>
    <row r="6" spans="1:22" hidden="1">
      <c r="A6" s="10" t="s">
        <v>64</v>
      </c>
      <c r="B6" s="121" t="s">
        <v>136</v>
      </c>
      <c r="C6" s="45">
        <f>' 2018-2019'!M3</f>
        <v>0</v>
      </c>
      <c r="D6" s="45" t="e">
        <f>#REF!</f>
        <v>#REF!</v>
      </c>
      <c r="E6" s="45">
        <f>'2020-2021 New'!N3</f>
        <v>1716.4120607680863</v>
      </c>
      <c r="F6" s="45">
        <f>'2021-2022 (A) New'!O3</f>
        <v>974.39920218499458</v>
      </c>
      <c r="G6" s="45">
        <f>'2021-2022 (B)'!M3</f>
        <v>381.42701799999998</v>
      </c>
      <c r="H6" s="45" t="e">
        <f t="shared" ref="H6:H69" si="1">C6+D6+E6+F6+G6</f>
        <v>#REF!</v>
      </c>
      <c r="U6">
        <f t="shared" si="0"/>
        <v>200</v>
      </c>
    </row>
    <row r="7" spans="1:22" hidden="1">
      <c r="A7" s="10" t="s">
        <v>248</v>
      </c>
      <c r="B7" s="121" t="s">
        <v>108</v>
      </c>
      <c r="C7" s="45">
        <f>' 2018-2019'!M4</f>
        <v>0</v>
      </c>
      <c r="D7" s="45" t="e">
        <f>#REF!</f>
        <v>#REF!</v>
      </c>
      <c r="E7" s="45">
        <f>'2020-2021 New'!N4</f>
        <v>5715.2021804966344</v>
      </c>
      <c r="F7" s="45">
        <f>'2021-2022 (A) New'!O4</f>
        <v>3288.6809278775063</v>
      </c>
      <c r="G7" s="45">
        <f>'2021-2022 (B)'!M4</f>
        <v>2170.3218670000001</v>
      </c>
      <c r="H7" s="45" t="e">
        <f t="shared" si="1"/>
        <v>#REF!</v>
      </c>
      <c r="U7">
        <f t="shared" si="0"/>
        <v>200</v>
      </c>
    </row>
    <row r="8" spans="1:22" hidden="1">
      <c r="A8" s="10" t="s">
        <v>8</v>
      </c>
      <c r="B8" s="121" t="s">
        <v>109</v>
      </c>
      <c r="C8" s="45">
        <f>' 2018-2019'!M5</f>
        <v>0</v>
      </c>
      <c r="D8" s="45" t="e">
        <f>#REF!</f>
        <v>#REF!</v>
      </c>
      <c r="E8" s="45">
        <f>'2020-2021 New'!N5</f>
        <v>7942.5993240878424</v>
      </c>
      <c r="F8" s="45">
        <f>'2021-2022 (A) New'!O5</f>
        <v>4410.9100501164385</v>
      </c>
      <c r="G8" s="45">
        <f>'2021-2022 (B)'!M5</f>
        <v>2574.3566800000003</v>
      </c>
      <c r="H8" s="45" t="e">
        <f t="shared" si="1"/>
        <v>#REF!</v>
      </c>
    </row>
    <row r="9" spans="1:22" hidden="1">
      <c r="A9" s="29" t="s">
        <v>10</v>
      </c>
      <c r="B9" s="122" t="s">
        <v>110</v>
      </c>
      <c r="C9" s="45">
        <f>' 2018-2019'!M6</f>
        <v>0</v>
      </c>
      <c r="D9" s="45" t="e">
        <f>#REF!</f>
        <v>#REF!</v>
      </c>
      <c r="E9" s="45">
        <f>'2020-2021 New'!N6</f>
        <v>496.30251574689504</v>
      </c>
      <c r="F9" s="45">
        <f>'2021-2022 (A) New'!O6</f>
        <v>657.75286609812974</v>
      </c>
      <c r="G9" s="45">
        <f>'2021-2022 (B)'!M6</f>
        <v>946.19894629329997</v>
      </c>
      <c r="H9" s="45" t="e">
        <f t="shared" si="1"/>
        <v>#REF!</v>
      </c>
    </row>
    <row r="10" spans="1:22" hidden="1">
      <c r="A10" s="10" t="s">
        <v>66</v>
      </c>
      <c r="B10" s="121" t="s">
        <v>137</v>
      </c>
      <c r="C10" s="45">
        <f>' 2018-2019'!M7</f>
        <v>0</v>
      </c>
      <c r="D10" s="45" t="e">
        <f>#REF!</f>
        <v>#REF!</v>
      </c>
      <c r="E10" s="45">
        <f>'2020-2021 New'!N7</f>
        <v>6229.7933895701744</v>
      </c>
      <c r="F10" s="45">
        <f>'2021-2022 (A) New'!O7</f>
        <v>2690.0407991252064</v>
      </c>
      <c r="G10" s="45">
        <f>'2021-2022 (B)'!M7</f>
        <v>929.94283200000007</v>
      </c>
      <c r="H10" s="45" t="e">
        <f t="shared" si="1"/>
        <v>#REF!</v>
      </c>
    </row>
    <row r="11" spans="1:22" hidden="1">
      <c r="A11" s="10" t="s">
        <v>173</v>
      </c>
      <c r="B11" s="10" t="s">
        <v>175</v>
      </c>
      <c r="C11" s="45">
        <f>' 2018-2019'!M8</f>
        <v>0</v>
      </c>
      <c r="D11" s="45" t="e">
        <f>#REF!</f>
        <v>#REF!</v>
      </c>
      <c r="E11" s="45">
        <f>'2020-2021 New'!N8</f>
        <v>3659.1432787201352</v>
      </c>
      <c r="F11" s="45">
        <f>'2021-2022 (A) New'!O9</f>
        <v>4056.4882323969064</v>
      </c>
      <c r="G11" s="45">
        <f>'2021-2022 (B)'!M9</f>
        <v>1966.6936590000005</v>
      </c>
      <c r="H11" s="45" t="e">
        <f t="shared" si="1"/>
        <v>#REF!</v>
      </c>
    </row>
    <row r="12" spans="1:22" hidden="1">
      <c r="A12" s="10" t="s">
        <v>12</v>
      </c>
      <c r="B12" s="10" t="s">
        <v>111</v>
      </c>
      <c r="C12" s="45">
        <f>' 2018-2019'!M9</f>
        <v>0</v>
      </c>
      <c r="D12" s="45" t="e">
        <f>#REF!</f>
        <v>#REF!</v>
      </c>
      <c r="E12" s="45">
        <f>'2020-2021 New'!N9</f>
        <v>7326.3527267452391</v>
      </c>
      <c r="F12" s="45">
        <f>'2021-2022 (A) New'!O10</f>
        <v>1862.8589782095212</v>
      </c>
      <c r="G12" s="45">
        <f>'2021-2022 (B)'!M10</f>
        <v>1051.4562310000001</v>
      </c>
      <c r="H12" s="45" t="e">
        <f t="shared" si="1"/>
        <v>#REF!</v>
      </c>
    </row>
    <row r="13" spans="1:22" hidden="1">
      <c r="A13" s="10" t="s">
        <v>249</v>
      </c>
      <c r="B13" s="10" t="s">
        <v>112</v>
      </c>
      <c r="C13" s="45">
        <f>' 2018-2019'!M10</f>
        <v>0</v>
      </c>
      <c r="D13" s="45" t="e">
        <f>#REF!</f>
        <v>#REF!</v>
      </c>
      <c r="E13" s="45">
        <f>'2020-2021 New'!N10</f>
        <v>3210.7335670328598</v>
      </c>
      <c r="F13" s="45">
        <f>'2021-2022 (A) New'!O11</f>
        <v>2258.0934791383879</v>
      </c>
      <c r="G13" s="45">
        <f>'2021-2022 (B)'!M11</f>
        <v>2127.4453620000004</v>
      </c>
      <c r="H13" s="45" t="e">
        <f t="shared" si="1"/>
        <v>#REF!</v>
      </c>
    </row>
    <row r="14" spans="1:22" hidden="1">
      <c r="A14" s="10" t="s">
        <v>88</v>
      </c>
      <c r="B14" s="10" t="s">
        <v>138</v>
      </c>
      <c r="C14" s="45">
        <f>' 2018-2019'!M11</f>
        <v>0</v>
      </c>
      <c r="D14" s="45" t="e">
        <f>#REF!</f>
        <v>#REF!</v>
      </c>
      <c r="E14" s="45">
        <f>'2020-2021 New'!N11</f>
        <v>4046.4209570990224</v>
      </c>
      <c r="F14" s="45">
        <f>'2021-2022 (A) New'!O12</f>
        <v>2477.0237007201949</v>
      </c>
      <c r="G14" s="45">
        <f>'2021-2022 (B)'!M12</f>
        <v>694.0408195</v>
      </c>
      <c r="H14" s="45" t="e">
        <f t="shared" si="1"/>
        <v>#REF!</v>
      </c>
    </row>
    <row r="15" spans="1:22" hidden="1">
      <c r="A15" s="10" t="s">
        <v>58</v>
      </c>
      <c r="B15" s="10" t="s">
        <v>113</v>
      </c>
      <c r="C15" s="45">
        <f>' 2018-2019'!M12</f>
        <v>0</v>
      </c>
      <c r="D15" s="45" t="e">
        <f>#REF!</f>
        <v>#REF!</v>
      </c>
      <c r="E15" s="45">
        <f>'2020-2021 New'!N12</f>
        <v>4106.8091712626929</v>
      </c>
      <c r="F15" s="45">
        <f>'2021-2022 (A) New'!O13</f>
        <v>-377.91568606496452</v>
      </c>
      <c r="G15" s="45">
        <f>'2021-2022 (B)'!M13</f>
        <v>52.847203500000006</v>
      </c>
      <c r="H15" s="45" t="e">
        <f t="shared" si="1"/>
        <v>#REF!</v>
      </c>
    </row>
    <row r="16" spans="1:22" hidden="1">
      <c r="A16" s="10" t="s">
        <v>15</v>
      </c>
      <c r="B16" s="10" t="s">
        <v>114</v>
      </c>
      <c r="C16" s="45">
        <f>' 2018-2019'!M13</f>
        <v>0</v>
      </c>
      <c r="D16" s="45" t="e">
        <f>#REF!</f>
        <v>#REF!</v>
      </c>
      <c r="E16" s="45">
        <f>'2020-2021 New'!N13</f>
        <v>-814.32505788932247</v>
      </c>
      <c r="F16" s="45">
        <f>'2021-2022 (A) New'!O14</f>
        <v>167.8512950802178</v>
      </c>
      <c r="G16" s="45">
        <f>'2021-2022 (B)'!M14</f>
        <v>554.18261500000006</v>
      </c>
      <c r="H16" s="45" t="e">
        <f t="shared" si="1"/>
        <v>#REF!</v>
      </c>
    </row>
    <row r="17" spans="1:8" hidden="1">
      <c r="A17" s="10" t="s">
        <v>22</v>
      </c>
      <c r="B17" s="10" t="s">
        <v>115</v>
      </c>
      <c r="C17" s="45">
        <f>' 2018-2019'!M14</f>
        <v>0</v>
      </c>
      <c r="D17" s="45" t="e">
        <f>#REF!</f>
        <v>#REF!</v>
      </c>
      <c r="E17" s="45">
        <f>'2020-2021 New'!N14</f>
        <v>-159.2471017782739</v>
      </c>
      <c r="F17" s="45">
        <f>'2021-2022 (A) New'!O15</f>
        <v>2770.7290253056913</v>
      </c>
      <c r="G17" s="45">
        <f>'2021-2022 (B)'!M15</f>
        <v>2605.4362810000002</v>
      </c>
      <c r="H17" s="45" t="e">
        <f t="shared" si="1"/>
        <v>#REF!</v>
      </c>
    </row>
    <row r="18" spans="1:8" hidden="1">
      <c r="A18" s="10" t="s">
        <v>4</v>
      </c>
      <c r="B18" s="10" t="s">
        <v>116</v>
      </c>
      <c r="C18" s="45">
        <f>' 2018-2019'!M15</f>
        <v>0</v>
      </c>
      <c r="D18" s="45" t="e">
        <f>#REF!</f>
        <v>#REF!</v>
      </c>
      <c r="E18" s="45">
        <f>'2020-2021 New'!N15</f>
        <v>4687.1727296083845</v>
      </c>
      <c r="F18" s="45">
        <f>'2021-2022 (A) New'!O16</f>
        <v>2783.5816122573983</v>
      </c>
      <c r="G18" s="45">
        <f>'2021-2022 (B)'!M16</f>
        <v>1983.8442610000004</v>
      </c>
      <c r="H18" s="45" t="e">
        <f t="shared" si="1"/>
        <v>#REF!</v>
      </c>
    </row>
    <row r="19" spans="1:8" hidden="1">
      <c r="A19" s="10" t="s">
        <v>78</v>
      </c>
      <c r="B19" s="10"/>
      <c r="C19" s="45">
        <f>' 2018-2019'!M16</f>
        <v>0</v>
      </c>
      <c r="D19" s="45" t="e">
        <f>#REF!</f>
        <v>#REF!</v>
      </c>
      <c r="E19" s="45">
        <f>'2020-2021 New'!N16</f>
        <v>4712.6825073326299</v>
      </c>
      <c r="F19" s="45">
        <f>'2021-2022 (A) New'!O17</f>
        <v>4583.5606843070427</v>
      </c>
      <c r="G19" s="45">
        <f>'2021-2022 (B)'!M17</f>
        <v>2232.4810690000004</v>
      </c>
      <c r="H19" s="45" t="e">
        <f t="shared" si="1"/>
        <v>#REF!</v>
      </c>
    </row>
    <row r="20" spans="1:8" hidden="1">
      <c r="A20" s="10" t="s">
        <v>29</v>
      </c>
      <c r="B20" s="10" t="s">
        <v>115</v>
      </c>
      <c r="C20" s="45">
        <f>' 2018-2019'!M17</f>
        <v>0</v>
      </c>
      <c r="D20" s="45" t="e">
        <f>#REF!</f>
        <v>#REF!</v>
      </c>
      <c r="E20" s="45">
        <f>'2020-2021 New'!N17</f>
        <v>8285.2758077172566</v>
      </c>
      <c r="F20" s="45">
        <f>'2021-2022 (A) New'!O18</f>
        <v>-617.6232192645432</v>
      </c>
      <c r="G20" s="45">
        <f>'2021-2022 (B)'!M18</f>
        <v>-844.39943000000017</v>
      </c>
      <c r="H20" s="45" t="e">
        <f t="shared" si="1"/>
        <v>#REF!</v>
      </c>
    </row>
    <row r="21" spans="1:8" hidden="1">
      <c r="A21" s="10" t="s">
        <v>62</v>
      </c>
      <c r="B21" s="10" t="s">
        <v>139</v>
      </c>
      <c r="C21" s="45">
        <f>' 2018-2019'!M18</f>
        <v>0</v>
      </c>
      <c r="D21" s="45" t="e">
        <f>#REF!</f>
        <v>#REF!</v>
      </c>
      <c r="E21" s="45">
        <f>'2020-2021 New'!N18</f>
        <v>-1004.1113909016406</v>
      </c>
      <c r="F21" s="45">
        <f>'2021-2022 (A) New'!O19</f>
        <v>245.70618076795364</v>
      </c>
      <c r="G21" s="45">
        <f>'2021-2022 (B)'!M19</f>
        <v>221.02670800000001</v>
      </c>
      <c r="H21" s="45" t="e">
        <f t="shared" si="1"/>
        <v>#REF!</v>
      </c>
    </row>
    <row r="22" spans="1:8" hidden="1">
      <c r="A22" s="10" t="s">
        <v>13</v>
      </c>
      <c r="B22" s="10" t="s">
        <v>116</v>
      </c>
      <c r="C22" s="45">
        <f>' 2018-2019'!M19</f>
        <v>0</v>
      </c>
      <c r="D22" s="45" t="e">
        <f>#REF!</f>
        <v>#REF!</v>
      </c>
      <c r="E22" s="45">
        <f>'2020-2021 New'!N19</f>
        <v>257.00736272206223</v>
      </c>
      <c r="F22" s="45">
        <f>'2021-2022 (A) New'!O20</f>
        <v>2176.6011699560786</v>
      </c>
      <c r="G22" s="45">
        <f>'2021-2022 (B)'!M20</f>
        <v>2481.1178769999997</v>
      </c>
      <c r="H22" s="45" t="e">
        <f t="shared" si="1"/>
        <v>#REF!</v>
      </c>
    </row>
    <row r="23" spans="1:8" hidden="1">
      <c r="A23" s="10" t="s">
        <v>71</v>
      </c>
      <c r="B23" s="10" t="s">
        <v>140</v>
      </c>
      <c r="C23" s="45">
        <f>' 2018-2019'!M20</f>
        <v>0</v>
      </c>
      <c r="D23" s="45" t="e">
        <f>#REF!</f>
        <v>#REF!</v>
      </c>
      <c r="E23" s="45">
        <f>'2020-2021 New'!N20</f>
        <v>3507.9494660973664</v>
      </c>
      <c r="F23" s="45">
        <f>'2021-2022 (A) New'!O21</f>
        <v>1984.1587772594719</v>
      </c>
      <c r="G23" s="45">
        <f>'2021-2022 (B)'!M21</f>
        <v>515.27629230000002</v>
      </c>
      <c r="H23" s="45" t="e">
        <f t="shared" si="1"/>
        <v>#REF!</v>
      </c>
    </row>
    <row r="24" spans="1:8" hidden="1">
      <c r="A24" s="10" t="s">
        <v>23</v>
      </c>
      <c r="B24" s="10" t="s">
        <v>117</v>
      </c>
      <c r="C24" s="45">
        <f>' 2018-2019'!M21</f>
        <v>0</v>
      </c>
      <c r="D24" s="45" t="e">
        <f>#REF!</f>
        <v>#REF!</v>
      </c>
      <c r="E24" s="45">
        <f>'2020-2021 New'!N21</f>
        <v>3720.723670416618</v>
      </c>
      <c r="F24" s="45">
        <f>'2021-2022 (A) New'!O22</f>
        <v>3806.6328304493204</v>
      </c>
      <c r="G24" s="45">
        <f>'2021-2022 (B)'!M22</f>
        <v>2263.5606700000003</v>
      </c>
      <c r="H24" s="45" t="e">
        <f t="shared" si="1"/>
        <v>#REF!</v>
      </c>
    </row>
    <row r="25" spans="1:8" hidden="1">
      <c r="A25" s="10" t="s">
        <v>43</v>
      </c>
      <c r="B25" s="10" t="s">
        <v>118</v>
      </c>
      <c r="C25" s="45">
        <f>' 2018-2019'!M22</f>
        <v>0</v>
      </c>
      <c r="D25" s="45" t="e">
        <f>#REF!</f>
        <v>#REF!</v>
      </c>
      <c r="E25" s="45">
        <f>'2020-2021 New'!N22</f>
        <v>6743.2316313848833</v>
      </c>
      <c r="F25" s="45">
        <f>'2021-2022 (A) New'!O23</f>
        <v>2604.2866414387149</v>
      </c>
      <c r="G25" s="45">
        <f>'2021-2022 (B)'!M23</f>
        <v>1269.013438</v>
      </c>
      <c r="H25" s="45" t="e">
        <f t="shared" si="1"/>
        <v>#REF!</v>
      </c>
    </row>
    <row r="26" spans="1:8" hidden="1">
      <c r="A26" s="10" t="s">
        <v>47</v>
      </c>
      <c r="B26" s="10" t="s">
        <v>119</v>
      </c>
      <c r="C26" s="45">
        <f>' 2018-2019'!M23</f>
        <v>0</v>
      </c>
      <c r="D26" s="45" t="e">
        <f>#REF!</f>
        <v>#REF!</v>
      </c>
      <c r="E26" s="45">
        <f>'2020-2021 New'!N23</f>
        <v>4525.5726755213018</v>
      </c>
      <c r="F26" s="45">
        <f>'2021-2022 (A) New'!O24</f>
        <v>2252.7771227338771</v>
      </c>
      <c r="G26" s="45">
        <f>'2021-2022 (B)'!M24</f>
        <v>2481.1178769999997</v>
      </c>
      <c r="H26" s="45" t="e">
        <f t="shared" si="1"/>
        <v>#REF!</v>
      </c>
    </row>
    <row r="27" spans="1:8" hidden="1">
      <c r="A27" s="10" t="s">
        <v>18</v>
      </c>
      <c r="B27" s="10" t="s">
        <v>116</v>
      </c>
      <c r="C27" s="45">
        <f>' 2018-2019'!M24</f>
        <v>0</v>
      </c>
      <c r="D27" s="45" t="e">
        <f>#REF!</f>
        <v>#REF!</v>
      </c>
      <c r="E27" s="45">
        <f>'2020-2021 New'!N24</f>
        <v>3659.1432787201352</v>
      </c>
      <c r="F27" s="45">
        <f>'2021-2022 (A) New'!O25</f>
        <v>1310.2461720216402</v>
      </c>
      <c r="G27" s="45">
        <f>'2021-2022 (B)'!M25</f>
        <v>18.164902000000009</v>
      </c>
      <c r="H27" s="45" t="e">
        <f t="shared" si="1"/>
        <v>#REF!</v>
      </c>
    </row>
    <row r="28" spans="1:8">
      <c r="A28" s="10" t="s">
        <v>74</v>
      </c>
      <c r="B28" s="10" t="s">
        <v>120</v>
      </c>
      <c r="C28" s="45">
        <f>' 2018-2019'!M25</f>
        <v>0</v>
      </c>
      <c r="D28" s="45">
        <f>'2019-2020 New'!N25</f>
        <v>2022.8855300957782</v>
      </c>
      <c r="E28" s="45">
        <f>'2020-2021 New'!N25</f>
        <v>3006.6539919057318</v>
      </c>
      <c r="F28" s="45">
        <f>'2021-2022 (A) New'!O25</f>
        <v>1310.2461720216402</v>
      </c>
      <c r="G28" s="45">
        <f>'2021-2022 (B)'!M25</f>
        <v>18.164902000000009</v>
      </c>
      <c r="H28" s="45">
        <f t="shared" si="1"/>
        <v>6357.9505960231509</v>
      </c>
    </row>
    <row r="29" spans="1:8" hidden="1">
      <c r="A29" s="10" t="s">
        <v>250</v>
      </c>
      <c r="B29" s="10" t="s">
        <v>121</v>
      </c>
      <c r="C29" s="45">
        <f>' 2018-2019'!M26</f>
        <v>0</v>
      </c>
      <c r="D29" s="45" t="e">
        <f>#REF!</f>
        <v>#REF!</v>
      </c>
      <c r="E29" s="45">
        <f>'2020-2021 New'!N26</f>
        <v>7691.5854323026033</v>
      </c>
      <c r="F29" s="45">
        <f>'2021-2022 (A) New'!O27</f>
        <v>2201.5344942379993</v>
      </c>
      <c r="G29" s="45">
        <f>'2021-2022 (B)'!M27</f>
        <v>1983.8442610000004</v>
      </c>
      <c r="H29" s="45" t="e">
        <f t="shared" si="1"/>
        <v>#REF!</v>
      </c>
    </row>
    <row r="30" spans="1:8" hidden="1">
      <c r="A30" s="10" t="s">
        <v>251</v>
      </c>
      <c r="B30" s="10" t="s">
        <v>110</v>
      </c>
      <c r="C30" s="45">
        <f>' 2018-2019'!M27</f>
        <v>0</v>
      </c>
      <c r="D30" s="45" t="e">
        <f>#REF!</f>
        <v>#REF!</v>
      </c>
      <c r="E30" s="45">
        <f>'2020-2021 New'!N27</f>
        <v>3557.4370566305593</v>
      </c>
      <c r="F30" s="45">
        <f>'2021-2022 (A) New'!O28</f>
        <v>3573.8951805431798</v>
      </c>
      <c r="G30" s="45">
        <f>'2021-2022 (B)'!M28</f>
        <v>2294.6402710000007</v>
      </c>
      <c r="H30" s="45" t="e">
        <f t="shared" si="1"/>
        <v>#REF!</v>
      </c>
    </row>
    <row r="31" spans="1:8" hidden="1">
      <c r="A31" s="10" t="s">
        <v>219</v>
      </c>
      <c r="B31" s="10" t="s">
        <v>116</v>
      </c>
      <c r="C31" s="45">
        <f>' 2018-2019'!M28</f>
        <v>0</v>
      </c>
      <c r="D31" s="45" t="e">
        <f>#REF!</f>
        <v>#REF!</v>
      </c>
      <c r="E31" s="45">
        <f>'2020-2021 New'!N28</f>
        <v>6588.5340856529792</v>
      </c>
      <c r="F31" s="45">
        <f>'2021-2022 (A) New'!O29</f>
        <v>3642.4053822847554</v>
      </c>
      <c r="G31" s="45">
        <f>'2021-2022 (B)'!M29</f>
        <v>2481.1178769999997</v>
      </c>
      <c r="H31" s="45" t="e">
        <f t="shared" si="1"/>
        <v>#REF!</v>
      </c>
    </row>
    <row r="32" spans="1:8" hidden="1">
      <c r="A32" s="10" t="s">
        <v>252</v>
      </c>
      <c r="B32" s="10" t="s">
        <v>141</v>
      </c>
      <c r="C32" s="45">
        <f>' 2018-2019'!M29</f>
        <v>0</v>
      </c>
      <c r="D32" s="45" t="e">
        <f>#REF!</f>
        <v>#REF!</v>
      </c>
      <c r="E32" s="45">
        <f>'2020-2021 New'!N29</f>
        <v>6417.2734632246857</v>
      </c>
      <c r="F32" s="45">
        <f>'2021-2022 (A) New'!O30</f>
        <v>2513.6101158493689</v>
      </c>
      <c r="G32" s="45">
        <f>'2021-2022 (B)'!M30</f>
        <v>927.13782700000002</v>
      </c>
      <c r="H32" s="45" t="e">
        <f t="shared" si="1"/>
        <v>#REF!</v>
      </c>
    </row>
    <row r="33" spans="1:8" hidden="1">
      <c r="A33" s="10" t="s">
        <v>56</v>
      </c>
      <c r="B33" s="10" t="s">
        <v>122</v>
      </c>
      <c r="C33" s="45">
        <f>' 2018-2019'!M30</f>
        <v>0</v>
      </c>
      <c r="D33" s="45" t="e">
        <f>#REF!</f>
        <v>#REF!</v>
      </c>
      <c r="E33" s="45">
        <f>'2020-2021 New'!N30</f>
        <v>5104.9925720312076</v>
      </c>
      <c r="F33" s="45">
        <f>'2021-2022 (A) New'!O31</f>
        <v>763.81291374513864</v>
      </c>
      <c r="G33" s="45">
        <f>'2021-2022 (B)'!M31</f>
        <v>183.471407</v>
      </c>
      <c r="H33" s="45" t="e">
        <f t="shared" si="1"/>
        <v>#REF!</v>
      </c>
    </row>
    <row r="34" spans="1:8" hidden="1">
      <c r="A34" s="10" t="s">
        <v>7</v>
      </c>
      <c r="B34" s="10" t="s">
        <v>116</v>
      </c>
      <c r="C34" s="45">
        <f>' 2018-2019'!M31</f>
        <v>0</v>
      </c>
      <c r="D34" s="45" t="e">
        <f>#REF!</f>
        <v>#REF!</v>
      </c>
      <c r="E34" s="45">
        <f>'2020-2021 New'!N31</f>
        <v>1641.3119463817707</v>
      </c>
      <c r="F34" s="45">
        <f>'2021-2022 (A) New'!O32</f>
        <v>748.20064640415706</v>
      </c>
      <c r="G34" s="45">
        <f>'2021-2022 (B)'!M32</f>
        <v>-44.555301</v>
      </c>
      <c r="H34" s="45" t="e">
        <f t="shared" si="1"/>
        <v>#REF!</v>
      </c>
    </row>
    <row r="35" spans="1:8" hidden="1">
      <c r="A35" s="10" t="s">
        <v>176</v>
      </c>
      <c r="B35" s="10" t="s">
        <v>115</v>
      </c>
      <c r="C35" s="45">
        <f>' 2018-2019'!M32</f>
        <v>0</v>
      </c>
      <c r="D35" s="45" t="e">
        <f>#REF!</f>
        <v>#REF!</v>
      </c>
      <c r="E35" s="45">
        <f>'2020-2021 New'!N32</f>
        <v>2597.5347291807793</v>
      </c>
      <c r="F35" s="45">
        <f>'2021-2022 (A) New'!O33</f>
        <v>4151.9340988305303</v>
      </c>
      <c r="G35" s="45">
        <f>'2021-2022 (B)'!M33</f>
        <v>2263.5606700000003</v>
      </c>
      <c r="H35" s="45" t="e">
        <f t="shared" si="1"/>
        <v>#REF!</v>
      </c>
    </row>
    <row r="36" spans="1:8" hidden="1">
      <c r="A36" s="10" t="s">
        <v>42</v>
      </c>
      <c r="B36" s="10" t="s">
        <v>123</v>
      </c>
      <c r="C36" s="45">
        <f>' 2018-2019'!M33</f>
        <v>0</v>
      </c>
      <c r="D36" s="45" t="e">
        <f>#REF!</f>
        <v>#REF!</v>
      </c>
      <c r="E36" s="45">
        <f>'2020-2021 New'!N33</f>
        <v>7428.5845986437153</v>
      </c>
      <c r="F36" s="45">
        <f>'2021-2022 (A) New'!O34</f>
        <v>3514.6568791634136</v>
      </c>
      <c r="G36" s="45">
        <f>'2021-2022 (B)'!M34</f>
        <v>2526.1264769999998</v>
      </c>
      <c r="H36" s="45" t="e">
        <f t="shared" si="1"/>
        <v>#REF!</v>
      </c>
    </row>
    <row r="37" spans="1:8" hidden="1">
      <c r="A37" s="10" t="s">
        <v>181</v>
      </c>
      <c r="B37" s="10"/>
      <c r="C37" s="45">
        <f>' 2018-2019'!M34</f>
        <v>0</v>
      </c>
      <c r="D37" s="45" t="e">
        <f>#REF!</f>
        <v>#REF!</v>
      </c>
      <c r="E37" s="45">
        <f>'2020-2021 New'!N34</f>
        <v>6229.2169059407579</v>
      </c>
      <c r="F37" s="45">
        <f>'2021-2022 (A) New'!O35</f>
        <v>4583.5606843070427</v>
      </c>
      <c r="G37" s="45">
        <f>'2021-2022 (B)'!M35</f>
        <v>2512.197478</v>
      </c>
      <c r="H37" s="45" t="e">
        <f t="shared" si="1"/>
        <v>#REF!</v>
      </c>
    </row>
    <row r="38" spans="1:8" hidden="1">
      <c r="A38" s="10" t="s">
        <v>39</v>
      </c>
      <c r="B38" s="10" t="s">
        <v>113</v>
      </c>
      <c r="C38" s="45">
        <f>' 2018-2019'!M35</f>
        <v>0</v>
      </c>
      <c r="D38" s="45" t="e">
        <f>#REF!</f>
        <v>#REF!</v>
      </c>
      <c r="E38" s="45">
        <f>'2020-2021 New'!N35</f>
        <v>8285.2758077172566</v>
      </c>
      <c r="F38" s="45">
        <f>'2021-2022 (A) New'!O36</f>
        <v>4238.2594159258333</v>
      </c>
      <c r="G38" s="45">
        <f>'2021-2022 (B)'!M36</f>
        <v>2343.5042820000003</v>
      </c>
      <c r="H38" s="45" t="e">
        <f t="shared" si="1"/>
        <v>#REF!</v>
      </c>
    </row>
    <row r="39" spans="1:8" hidden="1">
      <c r="A39" s="10" t="s">
        <v>183</v>
      </c>
      <c r="B39" s="10"/>
      <c r="C39" s="45">
        <f>' 2018-2019'!M36</f>
        <v>0</v>
      </c>
      <c r="D39" s="45" t="e">
        <f>#REF!</f>
        <v>#REF!</v>
      </c>
      <c r="E39" s="45">
        <f>'2020-2021 New'!N36</f>
        <v>7599.9228404584246</v>
      </c>
      <c r="F39" s="45">
        <f>'2021-2022 (A) New'!O37</f>
        <v>2902.3679758986682</v>
      </c>
      <c r="G39" s="45">
        <f>'2021-2022 (B)'!M37</f>
        <v>1610.8890490000001</v>
      </c>
      <c r="H39" s="45" t="e">
        <f t="shared" si="1"/>
        <v>#REF!</v>
      </c>
    </row>
    <row r="40" spans="1:8" hidden="1">
      <c r="A40" s="10" t="s">
        <v>77</v>
      </c>
      <c r="B40" s="10" t="s">
        <v>142</v>
      </c>
      <c r="C40" s="45">
        <f>' 2018-2019'!M37</f>
        <v>0</v>
      </c>
      <c r="D40" s="45" t="e">
        <f>#REF!</f>
        <v>#REF!</v>
      </c>
      <c r="E40" s="45">
        <f>'2020-2021 New'!N37</f>
        <v>5260.4127417911941</v>
      </c>
      <c r="F40" s="45">
        <f>'2021-2022 (A) New'!O38</f>
        <v>3842.6163221593124</v>
      </c>
      <c r="G40" s="45">
        <f>'2021-2022 (B)'!M38</f>
        <v>1517.1614465000002</v>
      </c>
      <c r="H40" s="45" t="e">
        <f t="shared" si="1"/>
        <v>#REF!</v>
      </c>
    </row>
    <row r="41" spans="1:8" hidden="1">
      <c r="A41" s="10" t="s">
        <v>11</v>
      </c>
      <c r="B41" s="10" t="s">
        <v>124</v>
      </c>
      <c r="C41" s="45">
        <f>' 2018-2019'!M38</f>
        <v>0</v>
      </c>
      <c r="D41" s="45" t="e">
        <f>#REF!</f>
        <v>#REF!</v>
      </c>
      <c r="E41" s="45">
        <f>'2020-2021 New'!N38</f>
        <v>6815.3310171800076</v>
      </c>
      <c r="F41" s="45">
        <f>'2021-2022 (A) New'!O39</f>
        <v>2190.065592316434</v>
      </c>
      <c r="G41" s="45">
        <f>'2021-2022 (B)'!M39</f>
        <v>2481.1178769999997</v>
      </c>
      <c r="H41" s="45" t="e">
        <f t="shared" si="1"/>
        <v>#REF!</v>
      </c>
    </row>
    <row r="42" spans="1:8" hidden="1">
      <c r="A42" s="10" t="s">
        <v>72</v>
      </c>
      <c r="B42" s="10" t="s">
        <v>140</v>
      </c>
      <c r="C42" s="45">
        <f>' 2018-2019'!M39</f>
        <v>0</v>
      </c>
      <c r="D42" s="45" t="e">
        <f>#REF!</f>
        <v>#REF!</v>
      </c>
      <c r="E42" s="45">
        <f>'2020-2021 New'!N39</f>
        <v>3534.6736129861306</v>
      </c>
      <c r="F42" s="45">
        <f>'2021-2022 (A) New'!O40</f>
        <v>4583.5606843070427</v>
      </c>
      <c r="G42" s="45">
        <f>'2021-2022 (B)'!M40</f>
        <v>1850.2730260000001</v>
      </c>
      <c r="H42" s="45" t="e">
        <f t="shared" si="1"/>
        <v>#REF!</v>
      </c>
    </row>
    <row r="43" spans="1:8" hidden="1">
      <c r="A43" s="10" t="s">
        <v>17</v>
      </c>
      <c r="B43" s="10" t="s">
        <v>125</v>
      </c>
      <c r="C43" s="45">
        <f>' 2018-2019'!M40</f>
        <v>0</v>
      </c>
      <c r="D43" s="45" t="e">
        <f>#REF!</f>
        <v>#REF!</v>
      </c>
      <c r="E43" s="45">
        <f>'2020-2021 New'!N40</f>
        <v>8285.2758077172566</v>
      </c>
      <c r="F43" s="45">
        <f>'2021-2022 (A) New'!O41</f>
        <v>1042.5782776661295</v>
      </c>
      <c r="G43" s="45">
        <f>'2021-2022 (B)'!M41</f>
        <v>585.26221600000008</v>
      </c>
      <c r="H43" s="45" t="e">
        <f t="shared" si="1"/>
        <v>#REF!</v>
      </c>
    </row>
    <row r="44" spans="1:8" hidden="1">
      <c r="A44" s="10" t="s">
        <v>34</v>
      </c>
      <c r="B44" s="10" t="s">
        <v>144</v>
      </c>
      <c r="C44" s="45">
        <f>' 2018-2019'!M41</f>
        <v>0</v>
      </c>
      <c r="D44" s="45" t="e">
        <f>#REF!</f>
        <v>#REF!</v>
      </c>
      <c r="E44" s="45">
        <f>'2020-2021 New'!N41</f>
        <v>3860.2403348283374</v>
      </c>
      <c r="F44" s="45">
        <f>'2021-2022 (A) New'!O42</f>
        <v>2083.9499132891642</v>
      </c>
      <c r="G44" s="45">
        <f>'2021-2022 (B)'!M42</f>
        <v>1673.0482510000002</v>
      </c>
      <c r="H44" s="45" t="e">
        <f t="shared" si="1"/>
        <v>#REF!</v>
      </c>
    </row>
    <row r="45" spans="1:8" hidden="1">
      <c r="A45" s="10" t="s">
        <v>83</v>
      </c>
      <c r="B45" s="10" t="s">
        <v>143</v>
      </c>
      <c r="C45" s="45">
        <f>' 2018-2019'!M42</f>
        <v>0</v>
      </c>
      <c r="D45" s="45" t="e">
        <f>#REF!</f>
        <v>#REF!</v>
      </c>
      <c r="E45" s="45">
        <f>'2020-2021 New'!N42</f>
        <v>3324.0555175618883</v>
      </c>
      <c r="F45" s="45">
        <f>'2021-2022 (A) New'!O43</f>
        <v>3035.5584403286603</v>
      </c>
      <c r="G45" s="45">
        <f>'2021-2022 (B)'!M43</f>
        <v>1306.1367841711003</v>
      </c>
      <c r="H45" s="45" t="e">
        <f t="shared" si="1"/>
        <v>#REF!</v>
      </c>
    </row>
    <row r="46" spans="1:8" hidden="1">
      <c r="A46" s="10" t="s">
        <v>48</v>
      </c>
      <c r="B46" s="10" t="s">
        <v>150</v>
      </c>
      <c r="C46" s="45">
        <f>' 2018-2019'!M43</f>
        <v>0</v>
      </c>
      <c r="D46" s="45" t="e">
        <f>#REF!</f>
        <v>#REF!</v>
      </c>
      <c r="E46" s="45">
        <f>'2020-2021 New'!N43</f>
        <v>5532.9255744415932</v>
      </c>
      <c r="F46" s="45">
        <f>'2021-2022 (A) New'!O44</f>
        <v>985.0227523728995</v>
      </c>
      <c r="G46" s="45">
        <f>'2021-2022 (B)'!M44</f>
        <v>-256.83868630000006</v>
      </c>
      <c r="H46" s="45" t="e">
        <f t="shared" si="1"/>
        <v>#REF!</v>
      </c>
    </row>
    <row r="47" spans="1:8" hidden="1">
      <c r="A47" s="10" t="s">
        <v>54</v>
      </c>
      <c r="B47" s="10" t="s">
        <v>159</v>
      </c>
      <c r="C47" s="45">
        <f>' 2018-2019'!M44</f>
        <v>0</v>
      </c>
      <c r="D47" s="45" t="e">
        <f>#REF!</f>
        <v>#REF!</v>
      </c>
      <c r="E47" s="45">
        <f>'2020-2021 New'!N44</f>
        <v>1931.7565106854904</v>
      </c>
      <c r="F47" s="45">
        <f>'2021-2022 (A) New'!O45</f>
        <v>-1359.1907866913209</v>
      </c>
      <c r="G47" s="45">
        <f>'2021-2022 (B)'!M45</f>
        <v>896.0582260000001</v>
      </c>
      <c r="H47" s="45" t="e">
        <f t="shared" si="1"/>
        <v>#REF!</v>
      </c>
    </row>
    <row r="48" spans="1:8" hidden="1">
      <c r="A48" s="10" t="s">
        <v>33</v>
      </c>
      <c r="B48" s="10" t="s">
        <v>126</v>
      </c>
      <c r="C48" s="45">
        <f>' 2018-2019'!M45</f>
        <v>0</v>
      </c>
      <c r="D48" s="45" t="e">
        <f>#REF!</f>
        <v>#REF!</v>
      </c>
      <c r="E48" s="45">
        <f>'2020-2021 New'!N45</f>
        <v>-3509.8802698274503</v>
      </c>
      <c r="F48" s="45">
        <f>'2021-2022 (A) New'!O46</f>
        <v>2356.0811349277883</v>
      </c>
      <c r="G48" s="45">
        <f>'2021-2022 (B)'!M46</f>
        <v>279.71640900000006</v>
      </c>
      <c r="H48" s="45" t="e">
        <f t="shared" si="1"/>
        <v>#REF!</v>
      </c>
    </row>
    <row r="49" spans="1:8" hidden="1">
      <c r="A49" s="10" t="s">
        <v>67</v>
      </c>
      <c r="B49" s="10" t="s">
        <v>151</v>
      </c>
      <c r="C49" s="45">
        <f>' 2018-2019'!M46</f>
        <v>0</v>
      </c>
      <c r="D49" s="45" t="e">
        <f>#REF!</f>
        <v>#REF!</v>
      </c>
      <c r="E49" s="45">
        <f>'2020-2021 New'!N46</f>
        <v>5122.2357263323447</v>
      </c>
      <c r="F49" s="45">
        <f>'2021-2022 (A) New'!O47</f>
        <v>3806.6328304493204</v>
      </c>
      <c r="G49" s="45">
        <f>'2021-2022 (B)'!M47</f>
        <v>1859.5258570000001</v>
      </c>
      <c r="H49" s="45" t="e">
        <f t="shared" si="1"/>
        <v>#REF!</v>
      </c>
    </row>
    <row r="50" spans="1:8" hidden="1">
      <c r="A50" s="10" t="s">
        <v>5</v>
      </c>
      <c r="B50" s="10" t="s">
        <v>116</v>
      </c>
      <c r="C50" s="45">
        <f>' 2018-2019'!M47</f>
        <v>0</v>
      </c>
      <c r="D50" s="45" t="e">
        <f>#REF!</f>
        <v>#REF!</v>
      </c>
      <c r="E50" s="45">
        <f>'2020-2021 New'!N47</f>
        <v>6743.2316313848833</v>
      </c>
      <c r="F50" s="45">
        <f>'2021-2022 (A) New'!O48</f>
        <v>-258.50671818833393</v>
      </c>
      <c r="G50" s="45">
        <f>'2021-2022 (B)'!M48</f>
        <v>-45.842463100000003</v>
      </c>
      <c r="H50" s="45" t="e">
        <f t="shared" si="1"/>
        <v>#REF!</v>
      </c>
    </row>
    <row r="51" spans="1:8" hidden="1">
      <c r="A51" s="10" t="s">
        <v>53</v>
      </c>
      <c r="B51" s="10" t="s">
        <v>135</v>
      </c>
      <c r="C51" s="45">
        <f>' 2018-2019'!M48</f>
        <v>0</v>
      </c>
      <c r="D51" s="45" t="e">
        <f>#REF!</f>
        <v>#REF!</v>
      </c>
      <c r="E51" s="45">
        <f>'2020-2021 New'!N48</f>
        <v>-513.08339293768586</v>
      </c>
      <c r="F51" s="45">
        <f>'2021-2022 (A) New'!O49</f>
        <v>879.33135516949096</v>
      </c>
      <c r="G51" s="45">
        <f>'2021-2022 (B)'!M49</f>
        <v>492.97265290000001</v>
      </c>
      <c r="H51" s="45" t="e">
        <f t="shared" si="1"/>
        <v>#REF!</v>
      </c>
    </row>
    <row r="52" spans="1:8" hidden="1">
      <c r="A52" s="10" t="s">
        <v>253</v>
      </c>
      <c r="B52" s="10" t="s">
        <v>115</v>
      </c>
      <c r="C52" s="45">
        <f>' 2018-2019'!M49</f>
        <v>0</v>
      </c>
      <c r="D52" s="45" t="e">
        <f>#REF!</f>
        <v>#REF!</v>
      </c>
      <c r="E52" s="45">
        <f>'2020-2021 New'!N49</f>
        <v>1510.8234972546343</v>
      </c>
      <c r="F52" s="45">
        <f>'2021-2022 (A) New'!O50</f>
        <v>2209.6144641862256</v>
      </c>
      <c r="G52" s="45">
        <f>'2021-2022 (B)'!M50</f>
        <v>2512.197478</v>
      </c>
      <c r="H52" s="45" t="e">
        <f t="shared" si="1"/>
        <v>#REF!</v>
      </c>
    </row>
    <row r="53" spans="1:8" hidden="1">
      <c r="A53" s="10" t="s">
        <v>254</v>
      </c>
      <c r="B53" s="10" t="s">
        <v>126</v>
      </c>
      <c r="C53" s="45">
        <f>' 2018-2019'!M50</f>
        <v>0</v>
      </c>
      <c r="D53" s="45" t="e">
        <f>#REF!</f>
        <v>#REF!</v>
      </c>
      <c r="E53" s="45">
        <f>'2020-2021 New'!N50</f>
        <v>3573.474157812781</v>
      </c>
      <c r="F53" s="45">
        <f>'2021-2022 (A) New'!O51</f>
        <v>4238.2594159258333</v>
      </c>
      <c r="G53" s="45">
        <f>'2021-2022 (B)'!M51</f>
        <v>2356.7994730000005</v>
      </c>
      <c r="H53" s="45" t="e">
        <f t="shared" si="1"/>
        <v>#REF!</v>
      </c>
    </row>
    <row r="54" spans="1:8" hidden="1">
      <c r="A54" s="10" t="s">
        <v>32</v>
      </c>
      <c r="B54" s="10" t="s">
        <v>117</v>
      </c>
      <c r="C54" s="45">
        <f>' 2018-2019'!M51</f>
        <v>0</v>
      </c>
      <c r="D54" s="45" t="e">
        <f>#REF!</f>
        <v>#REF!</v>
      </c>
      <c r="E54" s="45">
        <f>'2020-2021 New'!N51</f>
        <v>7599.9228404584246</v>
      </c>
      <c r="F54" s="45">
        <f>'2021-2022 (A) New'!O52</f>
        <v>3756.7269371128468</v>
      </c>
      <c r="G54" s="45">
        <f>'2021-2022 (B)'!M52</f>
        <v>2589.8964805000005</v>
      </c>
      <c r="H54" s="45" t="e">
        <f t="shared" si="1"/>
        <v>#REF!</v>
      </c>
    </row>
    <row r="55" spans="1:8" hidden="1">
      <c r="A55" s="10" t="s">
        <v>70</v>
      </c>
      <c r="B55" s="10" t="s">
        <v>112</v>
      </c>
      <c r="C55" s="45">
        <f>' 2018-2019'!M52</f>
        <v>0</v>
      </c>
      <c r="D55" s="45" t="e">
        <f>#REF!</f>
        <v>#REF!</v>
      </c>
      <c r="E55" s="45">
        <f>'2020-2021 New'!N52</f>
        <v>6644.1785574063206</v>
      </c>
      <c r="F55" s="45">
        <f>'2021-2022 (A) New'!O53</f>
        <v>1451.7778405554891</v>
      </c>
      <c r="G55" s="45">
        <f>'2021-2022 (B)'!M53</f>
        <v>833.89902400000005</v>
      </c>
      <c r="H55" s="45" t="e">
        <f t="shared" si="1"/>
        <v>#REF!</v>
      </c>
    </row>
    <row r="56" spans="1:8" hidden="1">
      <c r="A56" s="10" t="s">
        <v>86</v>
      </c>
      <c r="B56" s="10" t="s">
        <v>117</v>
      </c>
      <c r="C56" s="45">
        <f>' 2018-2019'!M53</f>
        <v>0</v>
      </c>
      <c r="D56" s="45" t="e">
        <f>#REF!</f>
        <v>#REF!</v>
      </c>
      <c r="E56" s="45">
        <f>'2020-2021 New'!N53</f>
        <v>2448.2812187628533</v>
      </c>
      <c r="F56" s="45">
        <f>'2021-2022 (A) New'!O54</f>
        <v>1437.9343604161577</v>
      </c>
      <c r="G56" s="45">
        <f>'2021-2022 (B)'!M54</f>
        <v>-106.31572770000001</v>
      </c>
      <c r="H56" s="45" t="e">
        <f t="shared" si="1"/>
        <v>#REF!</v>
      </c>
    </row>
    <row r="57" spans="1:8" hidden="1">
      <c r="A57" s="10" t="s">
        <v>69</v>
      </c>
      <c r="B57" s="10" t="s">
        <v>116</v>
      </c>
      <c r="C57" s="45">
        <f>' 2018-2019'!M54</f>
        <v>0</v>
      </c>
      <c r="D57" s="45" t="e">
        <f>#REF!</f>
        <v>#REF!</v>
      </c>
      <c r="E57" s="45">
        <f>'2020-2021 New'!N54</f>
        <v>2885.1114000738676</v>
      </c>
      <c r="F57" s="45">
        <f>'2021-2022 (A) New'!O55</f>
        <v>1376.5706856533609</v>
      </c>
      <c r="G57" s="45">
        <f>'2021-2022 (B)'!M55</f>
        <v>385.69360900000004</v>
      </c>
      <c r="H57" s="45" t="e">
        <f t="shared" si="1"/>
        <v>#REF!</v>
      </c>
    </row>
    <row r="58" spans="1:8">
      <c r="A58" s="10" t="s">
        <v>52</v>
      </c>
      <c r="B58" s="10" t="s">
        <v>124</v>
      </c>
      <c r="C58" s="45">
        <f>' 2018-2019'!M55</f>
        <v>0</v>
      </c>
      <c r="D58" s="45">
        <f>'2019-2020 New'!N55</f>
        <v>1700.047200474874</v>
      </c>
      <c r="E58" s="45">
        <f>'2020-2021 New'!N55</f>
        <v>2736.7250158473444</v>
      </c>
      <c r="F58" s="45">
        <f>'2021-2022 (A) New'!O55</f>
        <v>1376.5706856533609</v>
      </c>
      <c r="G58" s="45">
        <f>'2021-2022 (B)'!M55</f>
        <v>385.69360900000004</v>
      </c>
      <c r="H58" s="45">
        <f t="shared" si="1"/>
        <v>6199.0365109755794</v>
      </c>
    </row>
    <row r="59" spans="1:8" hidden="1">
      <c r="A59" s="10" t="s">
        <v>19</v>
      </c>
      <c r="B59" s="10" t="s">
        <v>124</v>
      </c>
      <c r="C59" s="45">
        <f>' 2018-2019'!M56</f>
        <v>0</v>
      </c>
      <c r="D59" s="45" t="e">
        <f>#REF!</f>
        <v>#REF!</v>
      </c>
      <c r="E59" s="45">
        <f>'2020-2021 New'!N56</f>
        <v>2666.2550325158268</v>
      </c>
      <c r="F59" s="45">
        <f>'2021-2022 (A) New'!O57</f>
        <v>659.72232918899613</v>
      </c>
      <c r="G59" s="45">
        <f>'2021-2022 (B)'!M57</f>
        <v>1673.0482510000002</v>
      </c>
      <c r="H59" s="45" t="e">
        <f t="shared" si="1"/>
        <v>#REF!</v>
      </c>
    </row>
    <row r="60" spans="1:8" hidden="1">
      <c r="A60" s="10" t="s">
        <v>80</v>
      </c>
      <c r="B60" s="10" t="s">
        <v>152</v>
      </c>
      <c r="C60" s="45">
        <f>' 2018-2019'!M57</f>
        <v>0</v>
      </c>
      <c r="D60" s="45" t="e">
        <f>#REF!</f>
        <v>#REF!</v>
      </c>
      <c r="E60" s="45">
        <f>'2020-2021 New'!N57</f>
        <v>568.37417549550867</v>
      </c>
      <c r="F60" s="45">
        <f>'2021-2022 (A) New'!O58</f>
        <v>3988.968446222133</v>
      </c>
      <c r="G60" s="45">
        <f>'2021-2022 (B)'!M58</f>
        <v>2325.7198720000006</v>
      </c>
      <c r="H60" s="45" t="e">
        <f t="shared" si="1"/>
        <v>#REF!</v>
      </c>
    </row>
    <row r="61" spans="1:8" hidden="1">
      <c r="A61" s="10" t="s">
        <v>82</v>
      </c>
      <c r="B61" s="10" t="s">
        <v>156</v>
      </c>
      <c r="C61" s="45">
        <f>' 2018-2019'!M58</f>
        <v>0</v>
      </c>
      <c r="D61" s="45" t="e">
        <f>#REF!</f>
        <v>#REF!</v>
      </c>
      <c r="E61" s="45">
        <f>'2020-2021 New'!N58</f>
        <v>7105.1308386849378</v>
      </c>
      <c r="F61" s="45">
        <f>'2021-2022 (A) New'!O59</f>
        <v>4211.3557338259698</v>
      </c>
      <c r="G61" s="45">
        <f>'2021-2022 (B)'!M59</f>
        <v>2418.9586749999999</v>
      </c>
      <c r="H61" s="45" t="e">
        <f t="shared" si="1"/>
        <v>#REF!</v>
      </c>
    </row>
    <row r="62" spans="1:8" hidden="1">
      <c r="A62" s="10" t="s">
        <v>87</v>
      </c>
      <c r="B62" s="10" t="s">
        <v>158</v>
      </c>
      <c r="C62" s="45">
        <f>' 2018-2019'!M59</f>
        <v>0</v>
      </c>
      <c r="D62" s="45" t="e">
        <f>#REF!</f>
        <v>#REF!</v>
      </c>
      <c r="E62" s="45">
        <f>'2020-2021 New'!N59</f>
        <v>7546.5244893785948</v>
      </c>
      <c r="F62" s="45">
        <f>'2021-2022 (A) New'!O60</f>
        <v>2945.9136451150061</v>
      </c>
      <c r="G62" s="45">
        <f>'2021-2022 (B)'!M60</f>
        <v>463.81183100000004</v>
      </c>
      <c r="H62" s="45" t="e">
        <f t="shared" si="1"/>
        <v>#REF!</v>
      </c>
    </row>
    <row r="63" spans="1:8" hidden="1">
      <c r="A63" s="10" t="s">
        <v>45</v>
      </c>
      <c r="B63" s="10" t="s">
        <v>118</v>
      </c>
      <c r="C63" s="45">
        <f>' 2018-2019'!M60</f>
        <v>0</v>
      </c>
      <c r="D63" s="45" t="e">
        <f>#REF!</f>
        <v>#REF!</v>
      </c>
      <c r="E63" s="45">
        <f>'2020-2021 New'!N60</f>
        <v>5667.7073310150654</v>
      </c>
      <c r="F63" s="45">
        <f>'2021-2022 (A) New'!O61</f>
        <v>3389.174516979524</v>
      </c>
      <c r="G63" s="45">
        <f>'2021-2022 (B)'!M61</f>
        <v>2543.277079</v>
      </c>
      <c r="H63" s="45" t="e">
        <f t="shared" si="1"/>
        <v>#REF!</v>
      </c>
    </row>
    <row r="64" spans="1:8" hidden="1">
      <c r="A64" s="10" t="s">
        <v>73</v>
      </c>
      <c r="B64" s="10" t="s">
        <v>157</v>
      </c>
      <c r="C64" s="45">
        <f>' 2018-2019'!M61</f>
        <v>0</v>
      </c>
      <c r="D64" s="45" t="e">
        <f>#REF!</f>
        <v>#REF!</v>
      </c>
      <c r="E64" s="45">
        <f>'2020-2021 New'!N61</f>
        <v>5914.6615679597635</v>
      </c>
      <c r="F64" s="45">
        <f>'2021-2022 (A) New'!O62</f>
        <v>4477.3034957853406</v>
      </c>
      <c r="G64" s="45">
        <f>'2021-2022 (B)'!M62</f>
        <v>1704.1278520000001</v>
      </c>
      <c r="H64" s="45" t="e">
        <f t="shared" si="1"/>
        <v>#REF!</v>
      </c>
    </row>
    <row r="65" spans="1:8" hidden="1">
      <c r="A65" s="10" t="s">
        <v>37</v>
      </c>
      <c r="B65" s="10" t="s">
        <v>127</v>
      </c>
      <c r="C65" s="45">
        <f>' 2018-2019'!M62</f>
        <v>0</v>
      </c>
      <c r="D65" s="45" t="e">
        <f>#REF!</f>
        <v>#REF!</v>
      </c>
      <c r="E65" s="45">
        <f>'2020-2021 New'!N62</f>
        <v>8224.5942224672563</v>
      </c>
      <c r="F65" s="45">
        <f>'2021-2022 (A) New'!O63</f>
        <v>1265.6020296825495</v>
      </c>
      <c r="G65" s="45">
        <f>'2021-2022 (B)'!M63</f>
        <v>1548.7298470000001</v>
      </c>
      <c r="H65" s="45" t="e">
        <f t="shared" si="1"/>
        <v>#REF!</v>
      </c>
    </row>
    <row r="66" spans="1:8" hidden="1">
      <c r="A66" s="10" t="s">
        <v>49</v>
      </c>
      <c r="B66" s="10" t="s">
        <v>127</v>
      </c>
      <c r="C66" s="45">
        <f>' 2018-2019'!M63</f>
        <v>0</v>
      </c>
      <c r="D66" s="45" t="e">
        <f>#REF!</f>
        <v>#REF!</v>
      </c>
      <c r="E66" s="45">
        <f>'2020-2021 New'!N63</f>
        <v>2483.9552567550886</v>
      </c>
      <c r="F66" s="45">
        <f>'2021-2022 (A) New'!O64</f>
        <v>4065.6087817352281</v>
      </c>
      <c r="G66" s="45">
        <f>'2021-2022 (B)'!M64</f>
        <v>2415.8507148999997</v>
      </c>
      <c r="H66" s="45" t="e">
        <f t="shared" si="1"/>
        <v>#REF!</v>
      </c>
    </row>
    <row r="67" spans="1:8" hidden="1">
      <c r="A67" s="10" t="s">
        <v>27</v>
      </c>
      <c r="B67" s="10" t="s">
        <v>128</v>
      </c>
      <c r="C67" s="45">
        <f>' 2018-2019'!M64</f>
        <v>0</v>
      </c>
      <c r="D67" s="45" t="e">
        <f>#REF!</f>
        <v>#REF!</v>
      </c>
      <c r="E67" s="45">
        <f>'2020-2021 New'!N64</f>
        <v>7257.2463568290068</v>
      </c>
      <c r="F67" s="45">
        <f>'2021-2022 (A) New'!O65</f>
        <v>3970.6509329303954</v>
      </c>
      <c r="G67" s="45">
        <f>'2021-2022 (B)'!M65</f>
        <v>2543.277079</v>
      </c>
      <c r="H67" s="45" t="e">
        <f t="shared" si="1"/>
        <v>#REF!</v>
      </c>
    </row>
    <row r="68" spans="1:8" hidden="1">
      <c r="A68" s="10" t="s">
        <v>40</v>
      </c>
      <c r="B68" s="10" t="s">
        <v>128</v>
      </c>
      <c r="C68" s="45">
        <f>' 2018-2019'!M65</f>
        <v>0</v>
      </c>
      <c r="D68" s="45" t="e">
        <f>#REF!</f>
        <v>#REF!</v>
      </c>
      <c r="E68" s="45">
        <f>'2020-2021 New'!N65</f>
        <v>7068.7742908328264</v>
      </c>
      <c r="F68" s="45">
        <f>'2021-2022 (A) New'!O66</f>
        <v>3033.2242248233988</v>
      </c>
      <c r="G68" s="45">
        <f>'2021-2022 (B)'!M66</f>
        <v>1890.6054580000002</v>
      </c>
      <c r="H68" s="45" t="e">
        <f t="shared" si="1"/>
        <v>#REF!</v>
      </c>
    </row>
    <row r="69" spans="1:8" hidden="1">
      <c r="A69" s="10" t="s">
        <v>59</v>
      </c>
      <c r="B69" s="10" t="s">
        <v>155</v>
      </c>
      <c r="C69" s="45">
        <f>' 2018-2019'!M66</f>
        <v>0</v>
      </c>
      <c r="D69" s="45" t="e">
        <f>#REF!</f>
        <v>#REF!</v>
      </c>
      <c r="E69" s="45">
        <f>'2020-2021 New'!N66</f>
        <v>5208.172448850798</v>
      </c>
      <c r="F69" s="45">
        <f>'2021-2022 (A) New'!O67</f>
        <v>3103.2743251514439</v>
      </c>
      <c r="G69" s="45">
        <f>'2021-2022 (B)'!M67</f>
        <v>1367.156252</v>
      </c>
      <c r="H69" s="45" t="e">
        <f t="shared" si="1"/>
        <v>#REF!</v>
      </c>
    </row>
    <row r="70" spans="1:8" hidden="1">
      <c r="A70" s="10" t="s">
        <v>25</v>
      </c>
      <c r="B70" s="10" t="s">
        <v>126</v>
      </c>
      <c r="C70" s="45">
        <f>' 2018-2019'!M67</f>
        <v>0</v>
      </c>
      <c r="D70" s="45" t="e">
        <f>#REF!</f>
        <v>#REF!</v>
      </c>
      <c r="E70" s="45">
        <f>'2020-2021 New'!N67</f>
        <v>5704.2513712017062</v>
      </c>
      <c r="F70" s="45">
        <f>'2021-2022 (A) New'!O68</f>
        <v>1638.7534364956182</v>
      </c>
      <c r="G70" s="45">
        <f>'2021-2022 (B)'!M68</f>
        <v>258.43760600000002</v>
      </c>
      <c r="H70" s="45" t="e">
        <f t="shared" ref="H70:H93" si="2">C70+D70+E70+F70+G70</f>
        <v>#REF!</v>
      </c>
    </row>
    <row r="71" spans="1:8" hidden="1">
      <c r="A71" s="10" t="s">
        <v>31</v>
      </c>
      <c r="B71" s="10" t="s">
        <v>116</v>
      </c>
      <c r="C71" s="45">
        <f>' 2018-2019'!M68</f>
        <v>0</v>
      </c>
      <c r="D71" s="45" t="e">
        <f>#REF!</f>
        <v>#REF!</v>
      </c>
      <c r="E71" s="45">
        <f>'2020-2021 New'!N68</f>
        <v>3369.4941141969621</v>
      </c>
      <c r="F71" s="45">
        <f>'2021-2022 (A) New'!O69</f>
        <v>-191.94941376063889</v>
      </c>
      <c r="G71" s="45">
        <f>'2021-2022 (B)'!M69</f>
        <v>1082.535832</v>
      </c>
      <c r="H71" s="45" t="e">
        <f t="shared" si="2"/>
        <v>#REF!</v>
      </c>
    </row>
    <row r="72" spans="1:8" hidden="1">
      <c r="A72" s="10" t="s">
        <v>68</v>
      </c>
      <c r="B72" s="10" t="s">
        <v>154</v>
      </c>
      <c r="C72" s="45">
        <f>' 2018-2019'!M69</f>
        <v>0</v>
      </c>
      <c r="D72" s="45" t="e">
        <f>#REF!</f>
        <v>#REF!</v>
      </c>
      <c r="E72" s="45">
        <f>'2020-2021 New'!N69</f>
        <v>-976.26424881685398</v>
      </c>
      <c r="F72" s="45">
        <f>'2021-2022 (A) New'!O70</f>
        <v>1760.2395016564087</v>
      </c>
      <c r="G72" s="45">
        <f>'2021-2022 (B)'!M70</f>
        <v>154.34520850000001</v>
      </c>
      <c r="H72" s="45" t="e">
        <f t="shared" si="2"/>
        <v>#REF!</v>
      </c>
    </row>
    <row r="73" spans="1:8" hidden="1">
      <c r="A73" s="10" t="s">
        <v>20</v>
      </c>
      <c r="B73" s="10" t="s">
        <v>115</v>
      </c>
      <c r="C73" s="45">
        <f>' 2018-2019'!M70</f>
        <v>0</v>
      </c>
      <c r="D73" s="45" t="e">
        <f>#REF!</f>
        <v>#REF!</v>
      </c>
      <c r="E73" s="45">
        <f>'2020-2021 New'!N70</f>
        <v>3327.8199842413351</v>
      </c>
      <c r="F73" s="45">
        <f>'2021-2022 (A) New'!O71</f>
        <v>816.15619245544565</v>
      </c>
      <c r="G73" s="45">
        <f>'2021-2022 (B)'!M71</f>
        <v>1424.4114430000002</v>
      </c>
      <c r="H73" s="45" t="e">
        <f t="shared" si="2"/>
        <v>#REF!</v>
      </c>
    </row>
    <row r="74" spans="1:8" hidden="1">
      <c r="A74" s="10" t="s">
        <v>255</v>
      </c>
      <c r="B74" s="10" t="s">
        <v>153</v>
      </c>
      <c r="C74" s="45">
        <f>' 2018-2019'!M71</f>
        <v>0</v>
      </c>
      <c r="D74" s="45" t="e">
        <f>#REF!</f>
        <v>#REF!</v>
      </c>
      <c r="E74" s="45">
        <f>'2020-2021 New'!N71</f>
        <v>1024.7413117117098</v>
      </c>
      <c r="F74" s="45">
        <f>'2021-2022 (A) New'!O72</f>
        <v>2817.9565986614102</v>
      </c>
      <c r="G74" s="45">
        <f>'2021-2022 (B)'!M72</f>
        <v>2356.7994730000005</v>
      </c>
      <c r="H74" s="45" t="e">
        <f t="shared" si="2"/>
        <v>#REF!</v>
      </c>
    </row>
    <row r="75" spans="1:8" hidden="1">
      <c r="A75" s="10" t="s">
        <v>76</v>
      </c>
      <c r="B75" s="10" t="s">
        <v>122</v>
      </c>
      <c r="C75" s="45">
        <f>' 2018-2019'!M72</f>
        <v>0</v>
      </c>
      <c r="D75" s="45" t="e">
        <f>#REF!</f>
        <v>#REF!</v>
      </c>
      <c r="E75" s="45">
        <f>'2020-2021 New'!N72</f>
        <v>4780.9098817697914</v>
      </c>
      <c r="F75" s="45">
        <f>'2021-2022 (A) New'!O73</f>
        <v>2158.1329273825604</v>
      </c>
      <c r="G75" s="45">
        <f>'2021-2022 (B)'!M73</f>
        <v>62.159202000000008</v>
      </c>
      <c r="H75" s="45" t="e">
        <f t="shared" si="2"/>
        <v>#REF!</v>
      </c>
    </row>
    <row r="76" spans="1:8" hidden="1">
      <c r="A76" s="10" t="s">
        <v>36</v>
      </c>
      <c r="B76" s="10" t="s">
        <v>129</v>
      </c>
      <c r="C76" s="45">
        <f>' 2018-2019'!M73</f>
        <v>0</v>
      </c>
      <c r="D76" s="45" t="e">
        <f>#REF!</f>
        <v>#REF!</v>
      </c>
      <c r="E76" s="45">
        <f>'2020-2021 New'!N73</f>
        <v>4283.4560453677041</v>
      </c>
      <c r="F76" s="45">
        <f>'2021-2022 (A) New'!O74</f>
        <v>942.54041902878441</v>
      </c>
      <c r="G76" s="45">
        <f>'2021-2022 (B)'!M74</f>
        <v>953.50886844850004</v>
      </c>
      <c r="H76" s="45" t="e">
        <f t="shared" si="2"/>
        <v>#REF!</v>
      </c>
    </row>
    <row r="77" spans="1:8" hidden="1">
      <c r="A77" s="10" t="s">
        <v>57</v>
      </c>
      <c r="B77" s="10" t="s">
        <v>130</v>
      </c>
      <c r="C77" s="45">
        <f>' 2018-2019'!M74</f>
        <v>0</v>
      </c>
      <c r="D77" s="45" t="e">
        <f>#REF!</f>
        <v>#REF!</v>
      </c>
      <c r="E77" s="45">
        <f>'2020-2021 New'!N74</f>
        <v>1136.0104312608653</v>
      </c>
      <c r="F77" s="45">
        <f>'2021-2022 (A) New'!O75</f>
        <v>386.46790315203958</v>
      </c>
      <c r="G77" s="45">
        <f>'2021-2022 (B)'!M75</f>
        <v>958.21742800000015</v>
      </c>
      <c r="H77" s="45" t="e">
        <f t="shared" si="2"/>
        <v>#REF!</v>
      </c>
    </row>
    <row r="78" spans="1:8" hidden="1">
      <c r="A78" s="10" t="s">
        <v>46</v>
      </c>
      <c r="B78" s="10" t="s">
        <v>125</v>
      </c>
      <c r="C78" s="45">
        <f>' 2018-2019'!M75</f>
        <v>0</v>
      </c>
      <c r="D78" s="45" t="e">
        <f>#REF!</f>
        <v>#REF!</v>
      </c>
      <c r="E78" s="45">
        <f>'2020-2021 New'!N75</f>
        <v>9.5053951908471817</v>
      </c>
      <c r="F78" s="45">
        <f>'2021-2022 (A) New'!O76</f>
        <v>2789.620054647979</v>
      </c>
      <c r="G78" s="45">
        <f>'2021-2022 (B)'!M76</f>
        <v>1952.76466</v>
      </c>
      <c r="H78" s="45" t="e">
        <f t="shared" si="2"/>
        <v>#REF!</v>
      </c>
    </row>
    <row r="79" spans="1:8" hidden="1">
      <c r="A79" s="10" t="s">
        <v>35</v>
      </c>
      <c r="B79" s="10" t="s">
        <v>131</v>
      </c>
      <c r="C79" s="45">
        <f>' 2018-2019'!M76</f>
        <v>0</v>
      </c>
      <c r="D79" s="45" t="e">
        <f>#REF!</f>
        <v>#REF!</v>
      </c>
      <c r="E79" s="45">
        <f>'2020-2021 New'!N76</f>
        <v>4724.6675904729464</v>
      </c>
      <c r="F79" s="45">
        <f>'2021-2022 (A) New'!O77</f>
        <v>3029.704976591599</v>
      </c>
      <c r="G79" s="45">
        <f>'2021-2022 (B)'!M77</f>
        <v>2543.277079</v>
      </c>
      <c r="H79" s="45" t="e">
        <f t="shared" si="2"/>
        <v>#REF!</v>
      </c>
    </row>
    <row r="80" spans="1:8" hidden="1">
      <c r="A80" s="10" t="s">
        <v>9</v>
      </c>
      <c r="B80" s="10" t="s">
        <v>116</v>
      </c>
      <c r="C80" s="45">
        <f>' 2018-2019'!M77</f>
        <v>0</v>
      </c>
      <c r="D80" s="45" t="e">
        <f>#REF!</f>
        <v>#REF!</v>
      </c>
      <c r="E80" s="45">
        <f>'2020-2021 New'!N77</f>
        <v>5201.1874550525081</v>
      </c>
      <c r="F80" s="45">
        <f>'2021-2022 (A) New'!O78</f>
        <v>2967.0980615236913</v>
      </c>
      <c r="G80" s="45">
        <f>'2021-2022 (B)'!M78</f>
        <v>1237.933837</v>
      </c>
      <c r="H80" s="45" t="e">
        <f t="shared" si="2"/>
        <v>#REF!</v>
      </c>
    </row>
    <row r="81" spans="1:8" hidden="1">
      <c r="A81" s="10" t="s">
        <v>24</v>
      </c>
      <c r="B81" s="10" t="s">
        <v>132</v>
      </c>
      <c r="C81" s="45">
        <f>' 2018-2019'!M78</f>
        <v>0</v>
      </c>
      <c r="D81" s="45" t="e">
        <f>#REF!</f>
        <v>#REF!</v>
      </c>
      <c r="E81" s="45">
        <f>'2020-2021 New'!N78</f>
        <v>5293.9245651590372</v>
      </c>
      <c r="F81" s="45">
        <f>'2021-2022 (A) New'!O79</f>
        <v>2770.7290253056913</v>
      </c>
      <c r="G81" s="45">
        <f>'2021-2022 (B)'!M79</f>
        <v>2418.9586749999999</v>
      </c>
      <c r="H81" s="45" t="e">
        <f t="shared" si="2"/>
        <v>#REF!</v>
      </c>
    </row>
    <row r="82" spans="1:8" hidden="1">
      <c r="A82" s="10" t="s">
        <v>44</v>
      </c>
      <c r="B82" s="10" t="s">
        <v>113</v>
      </c>
      <c r="C82" s="45">
        <f>' 2018-2019'!M79</f>
        <v>0</v>
      </c>
      <c r="D82" s="45" t="e">
        <f>#REF!</f>
        <v>#REF!</v>
      </c>
      <c r="E82" s="45">
        <f>'2020-2021 New'!N79</f>
        <v>4687.1727296083845</v>
      </c>
      <c r="F82" s="45">
        <f>'2021-2022 (A) New'!O80</f>
        <v>3979.283464639926</v>
      </c>
      <c r="G82" s="45">
        <f>'2021-2022 (B)'!M80</f>
        <v>2046.003463</v>
      </c>
      <c r="H82" s="45" t="e">
        <f t="shared" si="2"/>
        <v>#REF!</v>
      </c>
    </row>
    <row r="83" spans="1:8" hidden="1">
      <c r="A83" s="10" t="s">
        <v>28</v>
      </c>
      <c r="B83" s="10" t="s">
        <v>124</v>
      </c>
      <c r="C83" s="45">
        <f>' 2018-2019'!M80</f>
        <v>0</v>
      </c>
      <c r="D83" s="45" t="e">
        <f>#REF!</f>
        <v>#REF!</v>
      </c>
      <c r="E83" s="45">
        <f>'2020-2021 New'!N80</f>
        <v>7085.9081150142974</v>
      </c>
      <c r="F83" s="45">
        <f>'2021-2022 (A) New'!O81</f>
        <v>1907.4134974407439</v>
      </c>
      <c r="G83" s="45">
        <f>'2021-2022 (B)'!M81</f>
        <v>1059.4344355000001</v>
      </c>
      <c r="H83" s="45" t="e">
        <f t="shared" si="2"/>
        <v>#REF!</v>
      </c>
    </row>
    <row r="84" spans="1:8" hidden="1">
      <c r="A84" s="10" t="s">
        <v>61</v>
      </c>
      <c r="B84" s="10" t="s">
        <v>149</v>
      </c>
      <c r="C84" s="45">
        <f>' 2018-2019'!M81</f>
        <v>0</v>
      </c>
      <c r="D84" s="45" t="e">
        <f>#REF!</f>
        <v>#REF!</v>
      </c>
      <c r="E84" s="45">
        <f>'2020-2021 New'!N81</f>
        <v>3187.0441580834104</v>
      </c>
      <c r="F84" s="45">
        <f>'2021-2022 (A) New'!O82</f>
        <v>1750.5236492056774</v>
      </c>
      <c r="G84" s="45">
        <f>'2021-2022 (B)'!M82</f>
        <v>647.42141800000013</v>
      </c>
      <c r="H84" s="45" t="e">
        <f t="shared" si="2"/>
        <v>#REF!</v>
      </c>
    </row>
    <row r="85" spans="1:8" hidden="1">
      <c r="A85" s="10" t="s">
        <v>63</v>
      </c>
      <c r="B85" s="10" t="s">
        <v>148</v>
      </c>
      <c r="C85" s="45">
        <f>' 2018-2019'!M82</f>
        <v>0</v>
      </c>
      <c r="D85" s="45" t="e">
        <f>#REF!</f>
        <v>#REF!</v>
      </c>
      <c r="E85" s="45">
        <f>'2020-2021 New'!N82</f>
        <v>3182.6259453333419</v>
      </c>
      <c r="F85" s="45">
        <f>'2021-2022 (A) New'!O83</f>
        <v>216.02467902339271</v>
      </c>
      <c r="G85" s="45">
        <f>'2021-2022 (B)'!M83</f>
        <v>616.34181700000011</v>
      </c>
      <c r="H85" s="45" t="e">
        <f t="shared" si="2"/>
        <v>#REF!</v>
      </c>
    </row>
    <row r="86" spans="1:8" hidden="1">
      <c r="A86" s="10" t="s">
        <v>50</v>
      </c>
      <c r="B86" s="10" t="s">
        <v>127</v>
      </c>
      <c r="C86" s="45">
        <f>' 2018-2019'!M83</f>
        <v>0</v>
      </c>
      <c r="D86" s="45" t="e">
        <f>#REF!</f>
        <v>#REF!</v>
      </c>
      <c r="E86" s="45">
        <f>'2020-2021 New'!N83</f>
        <v>-150.21213442118614</v>
      </c>
      <c r="F86" s="45">
        <f>'2021-2022 (A) New'!O84</f>
        <v>2511.7530740197844</v>
      </c>
      <c r="G86" s="45">
        <f>'2021-2022 (B)'!M84</f>
        <v>1890.6054580000002</v>
      </c>
      <c r="H86" s="45" t="e">
        <f t="shared" si="2"/>
        <v>#REF!</v>
      </c>
    </row>
    <row r="87" spans="1:8" hidden="1">
      <c r="A87" s="10" t="s">
        <v>38</v>
      </c>
      <c r="B87" s="10" t="s">
        <v>147</v>
      </c>
      <c r="C87" s="45">
        <f>' 2018-2019'!M84</f>
        <v>0</v>
      </c>
      <c r="D87" s="45" t="e">
        <f>#REF!</f>
        <v>#REF!</v>
      </c>
      <c r="E87" s="45">
        <f>'2020-2021 New'!N84</f>
        <v>4173.1580041642601</v>
      </c>
      <c r="F87" s="45">
        <f>'2021-2022 (A) New'!O85</f>
        <v>266.88393750074334</v>
      </c>
      <c r="G87" s="45">
        <f>'2021-2022 (B)'!M85</f>
        <v>1129.1552335000001</v>
      </c>
      <c r="H87" s="45" t="e">
        <f t="shared" si="2"/>
        <v>#REF!</v>
      </c>
    </row>
    <row r="88" spans="1:8" hidden="1">
      <c r="A88" s="10" t="s">
        <v>6</v>
      </c>
      <c r="B88" s="10" t="s">
        <v>121</v>
      </c>
      <c r="C88" s="45">
        <f>' 2018-2019'!M85</f>
        <v>0</v>
      </c>
      <c r="D88" s="45" t="e">
        <f>#REF!</f>
        <v>#REF!</v>
      </c>
      <c r="E88" s="45">
        <f>'2020-2021 New'!N85</f>
        <v>-186.58933404873324</v>
      </c>
      <c r="F88" s="45">
        <f>'2021-2022 (A) New'!O86</f>
        <v>2326.9049489639806</v>
      </c>
      <c r="G88" s="45">
        <f>'2021-2022 (B)'!M86</f>
        <v>1394.2426470000003</v>
      </c>
      <c r="H88" s="45" t="e">
        <f t="shared" si="2"/>
        <v>#REF!</v>
      </c>
    </row>
    <row r="89" spans="1:8" hidden="1">
      <c r="A89" s="10" t="s">
        <v>60</v>
      </c>
      <c r="B89" s="10" t="s">
        <v>145</v>
      </c>
      <c r="C89" s="45">
        <f>' 2018-2019'!M86</f>
        <v>0</v>
      </c>
      <c r="D89" s="45" t="e">
        <f>#REF!</f>
        <v>#REF!</v>
      </c>
      <c r="E89" s="45">
        <f>'2020-2021 New'!N86</f>
        <v>4017.2148657738021</v>
      </c>
      <c r="F89" s="45">
        <f>'2021-2022 (A) New'!O87</f>
        <v>3305.5123900490448</v>
      </c>
      <c r="G89" s="45">
        <f>'2021-2022 (B)'!M87</f>
        <v>2605.4362810000002</v>
      </c>
      <c r="H89" s="45" t="e">
        <f t="shared" si="2"/>
        <v>#REF!</v>
      </c>
    </row>
    <row r="90" spans="1:8" hidden="1">
      <c r="A90" s="10" t="s">
        <v>84</v>
      </c>
      <c r="B90" s="10" t="s">
        <v>146</v>
      </c>
      <c r="C90" s="45">
        <f>' 2018-2019'!M87</f>
        <v>0</v>
      </c>
      <c r="D90" s="45" t="e">
        <f>#REF!</f>
        <v>#REF!</v>
      </c>
      <c r="E90" s="45">
        <f>'2020-2021 New'!N87</f>
        <v>5748.6092183469364</v>
      </c>
      <c r="F90" s="45">
        <f>'2021-2022 (A) New'!O88</f>
        <v>4583.5606843070427</v>
      </c>
      <c r="G90" s="45">
        <f>'2021-2022 (B)'!M88</f>
        <v>2144.4924690000007</v>
      </c>
      <c r="H90" s="45" t="e">
        <f t="shared" si="2"/>
        <v>#REF!</v>
      </c>
    </row>
    <row r="91" spans="1:8" hidden="1">
      <c r="A91" s="10" t="s">
        <v>26</v>
      </c>
      <c r="B91" s="10" t="s">
        <v>133</v>
      </c>
      <c r="C91" s="45">
        <f>' 2018-2019'!M88</f>
        <v>0</v>
      </c>
      <c r="D91" s="45" t="e">
        <f>#REF!</f>
        <v>#REF!</v>
      </c>
      <c r="E91" s="45">
        <f>'2020-2021 New'!N88</f>
        <v>8285.2758077172566</v>
      </c>
      <c r="F91" s="45">
        <f>'2021-2022 (A) New'!O89</f>
        <v>3633.9821962587157</v>
      </c>
      <c r="G91" s="45">
        <f>'2021-2022 (B)'!M89</f>
        <v>2450.0382760000002</v>
      </c>
      <c r="H91" s="45" t="e">
        <f t="shared" si="2"/>
        <v>#REF!</v>
      </c>
    </row>
    <row r="92" spans="1:8" hidden="1">
      <c r="A92" s="10" t="s">
        <v>41</v>
      </c>
      <c r="B92" s="10" t="s">
        <v>134</v>
      </c>
      <c r="C92" s="45">
        <f>' 2018-2019'!M89</f>
        <v>0</v>
      </c>
      <c r="D92" s="45" t="e">
        <f>#REF!</f>
        <v>#REF!</v>
      </c>
      <c r="E92" s="45">
        <f>'2020-2021 New'!N89</f>
        <v>6400.5551477554654</v>
      </c>
      <c r="F92" s="45">
        <f>'2021-2022 (A) New'!O90</f>
        <v>2302.3571382397272</v>
      </c>
      <c r="G92" s="45">
        <f>'2021-2022 (B)'!M90</f>
        <v>948.55261900000005</v>
      </c>
      <c r="H92" s="45" t="e">
        <f t="shared" si="2"/>
        <v>#REF!</v>
      </c>
    </row>
    <row r="93" spans="1:8" hidden="1">
      <c r="A93" s="10" t="s">
        <v>51</v>
      </c>
      <c r="B93" s="10" t="s">
        <v>116</v>
      </c>
      <c r="C93" s="45">
        <f>' 2018-2019'!M90</f>
        <v>0</v>
      </c>
      <c r="D93" s="45" t="e">
        <f>#REF!</f>
        <v>#REF!</v>
      </c>
      <c r="E93" s="45">
        <f>'2020-2021 New'!N90</f>
        <v>3757.5495513149986</v>
      </c>
      <c r="F93" s="45">
        <f>'2021-2022 (A) New'!O8</f>
        <v>2252.7771227338771</v>
      </c>
      <c r="G93" s="45">
        <f>'2021-2022 (B)'!M8</f>
        <v>181.22740300000004</v>
      </c>
      <c r="H93" s="45" t="e">
        <f t="shared" si="2"/>
        <v>#REF!</v>
      </c>
    </row>
  </sheetData>
  <autoFilter ref="A4:H93" xr:uid="{00000000-0009-0000-0000-00000F000000}">
    <filterColumn colId="0">
      <filters>
        <filter val="Jeff Matlou"/>
        <filter val="Naomi  Mokhine"/>
      </filters>
    </filterColumn>
  </autoFilter>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90"/>
  <sheetViews>
    <sheetView workbookViewId="0">
      <selection activeCell="G19" sqref="G19"/>
    </sheetView>
  </sheetViews>
  <sheetFormatPr defaultRowHeight="14.25"/>
  <cols>
    <col min="1" max="1" width="24.73046875" customWidth="1"/>
    <col min="2" max="2" width="12.59765625" customWidth="1"/>
    <col min="3" max="3" width="15.59765625" customWidth="1"/>
    <col min="4" max="4" width="12" bestFit="1" customWidth="1"/>
    <col min="5" max="5" width="13.86328125" bestFit="1" customWidth="1"/>
  </cols>
  <sheetData>
    <row r="1" spans="1:5">
      <c r="A1" s="11" t="s">
        <v>0</v>
      </c>
      <c r="B1" t="s">
        <v>385</v>
      </c>
      <c r="C1" s="11" t="s">
        <v>106</v>
      </c>
      <c r="D1" t="s">
        <v>397</v>
      </c>
      <c r="E1" t="s">
        <v>398</v>
      </c>
    </row>
    <row r="2" spans="1:5">
      <c r="A2" s="10" t="s">
        <v>573</v>
      </c>
      <c r="B2" s="121" t="s">
        <v>386</v>
      </c>
      <c r="C2" s="121" t="s">
        <v>107</v>
      </c>
      <c r="D2">
        <v>200</v>
      </c>
      <c r="E2">
        <v>200</v>
      </c>
    </row>
    <row r="3" spans="1:5">
      <c r="A3" s="10" t="s">
        <v>574</v>
      </c>
      <c r="B3" s="121" t="s">
        <v>386</v>
      </c>
      <c r="C3" s="121" t="s">
        <v>136</v>
      </c>
      <c r="D3">
        <f>200*8</f>
        <v>1600</v>
      </c>
      <c r="E3">
        <v>200</v>
      </c>
    </row>
    <row r="4" spans="1:5">
      <c r="A4" s="10" t="s">
        <v>575</v>
      </c>
      <c r="B4" s="121" t="s">
        <v>386</v>
      </c>
      <c r="C4" s="121" t="s">
        <v>108</v>
      </c>
      <c r="D4">
        <v>0</v>
      </c>
      <c r="E4">
        <v>200</v>
      </c>
    </row>
    <row r="5" spans="1:5">
      <c r="A5" s="10" t="s">
        <v>576</v>
      </c>
      <c r="B5" s="121" t="s">
        <v>386</v>
      </c>
      <c r="C5" s="121" t="s">
        <v>109</v>
      </c>
      <c r="D5">
        <v>0</v>
      </c>
      <c r="E5">
        <v>200</v>
      </c>
    </row>
    <row r="6" spans="1:5">
      <c r="A6" s="10" t="s">
        <v>577</v>
      </c>
      <c r="B6" s="121" t="s">
        <v>386</v>
      </c>
      <c r="C6" s="122" t="s">
        <v>110</v>
      </c>
      <c r="D6">
        <v>0</v>
      </c>
      <c r="E6">
        <v>200</v>
      </c>
    </row>
    <row r="7" spans="1:5">
      <c r="A7" s="10" t="s">
        <v>578</v>
      </c>
      <c r="B7" s="121" t="s">
        <v>386</v>
      </c>
      <c r="C7" s="121" t="s">
        <v>137</v>
      </c>
      <c r="D7">
        <f>200*3</f>
        <v>600</v>
      </c>
      <c r="E7">
        <v>200</v>
      </c>
    </row>
    <row r="8" spans="1:5">
      <c r="A8" s="10" t="s">
        <v>579</v>
      </c>
      <c r="B8" s="121" t="s">
        <v>386</v>
      </c>
      <c r="C8" s="10" t="s">
        <v>175</v>
      </c>
      <c r="D8">
        <f>200*39</f>
        <v>7800</v>
      </c>
      <c r="E8">
        <v>200</v>
      </c>
    </row>
    <row r="9" spans="1:5">
      <c r="A9" s="10" t="s">
        <v>580</v>
      </c>
      <c r="B9" s="121" t="s">
        <v>386</v>
      </c>
      <c r="C9" s="10" t="s">
        <v>111</v>
      </c>
      <c r="D9">
        <v>0</v>
      </c>
      <c r="E9">
        <v>200</v>
      </c>
    </row>
    <row r="10" spans="1:5">
      <c r="A10" s="10" t="s">
        <v>581</v>
      </c>
      <c r="B10" s="121" t="s">
        <v>386</v>
      </c>
      <c r="C10" s="10" t="s">
        <v>112</v>
      </c>
      <c r="D10">
        <v>0</v>
      </c>
      <c r="E10">
        <v>200</v>
      </c>
    </row>
    <row r="11" spans="1:5">
      <c r="A11" s="10" t="s">
        <v>582</v>
      </c>
      <c r="B11" s="121" t="s">
        <v>386</v>
      </c>
      <c r="C11" s="10" t="s">
        <v>138</v>
      </c>
      <c r="D11">
        <f>200*12</f>
        <v>2400</v>
      </c>
      <c r="E11">
        <v>200</v>
      </c>
    </row>
    <row r="12" spans="1:5">
      <c r="A12" s="10" t="s">
        <v>583</v>
      </c>
      <c r="B12" s="121" t="s">
        <v>386</v>
      </c>
      <c r="C12" s="10" t="s">
        <v>113</v>
      </c>
      <c r="D12">
        <v>200</v>
      </c>
      <c r="E12">
        <v>200</v>
      </c>
    </row>
    <row r="13" spans="1:5">
      <c r="A13" s="10" t="s">
        <v>584</v>
      </c>
      <c r="B13" s="121" t="s">
        <v>386</v>
      </c>
      <c r="C13" s="10" t="s">
        <v>114</v>
      </c>
      <c r="D13">
        <v>0</v>
      </c>
      <c r="E13">
        <v>200</v>
      </c>
    </row>
    <row r="14" spans="1:5">
      <c r="A14" s="10" t="s">
        <v>585</v>
      </c>
      <c r="B14" s="121" t="s">
        <v>386</v>
      </c>
      <c r="C14" s="10" t="s">
        <v>115</v>
      </c>
      <c r="D14">
        <v>0</v>
      </c>
      <c r="E14">
        <v>200</v>
      </c>
    </row>
    <row r="15" spans="1:5">
      <c r="A15" s="10" t="s">
        <v>586</v>
      </c>
      <c r="B15" s="121" t="s">
        <v>386</v>
      </c>
      <c r="C15" s="10" t="s">
        <v>116</v>
      </c>
      <c r="D15">
        <v>0</v>
      </c>
      <c r="E15">
        <v>200</v>
      </c>
    </row>
    <row r="16" spans="1:5">
      <c r="A16" s="10" t="s">
        <v>587</v>
      </c>
      <c r="B16" s="121" t="s">
        <v>386</v>
      </c>
      <c r="C16" s="10"/>
      <c r="E16">
        <v>200</v>
      </c>
    </row>
    <row r="17" spans="1:5">
      <c r="A17" s="10" t="s">
        <v>588</v>
      </c>
      <c r="B17" s="121" t="s">
        <v>386</v>
      </c>
      <c r="C17" s="10" t="s">
        <v>115</v>
      </c>
      <c r="D17">
        <v>0</v>
      </c>
      <c r="E17">
        <v>200</v>
      </c>
    </row>
    <row r="18" spans="1:5">
      <c r="A18" s="10" t="s">
        <v>589</v>
      </c>
      <c r="B18" s="121" t="s">
        <v>386</v>
      </c>
      <c r="C18" s="10" t="s">
        <v>139</v>
      </c>
      <c r="D18">
        <f>200*6</f>
        <v>1200</v>
      </c>
      <c r="E18">
        <v>200</v>
      </c>
    </row>
    <row r="19" spans="1:5">
      <c r="A19" s="10" t="s">
        <v>590</v>
      </c>
      <c r="B19" s="121" t="s">
        <v>386</v>
      </c>
      <c r="C19" s="10" t="s">
        <v>116</v>
      </c>
      <c r="D19">
        <v>0</v>
      </c>
      <c r="E19">
        <v>200</v>
      </c>
    </row>
    <row r="20" spans="1:5">
      <c r="A20" s="10" t="s">
        <v>591</v>
      </c>
      <c r="B20" s="121" t="s">
        <v>386</v>
      </c>
      <c r="C20" s="10" t="s">
        <v>140</v>
      </c>
      <c r="D20">
        <f>200*12</f>
        <v>2400</v>
      </c>
      <c r="E20">
        <v>200</v>
      </c>
    </row>
    <row r="21" spans="1:5">
      <c r="A21" s="10" t="s">
        <v>592</v>
      </c>
      <c r="B21" s="121" t="s">
        <v>386</v>
      </c>
      <c r="C21" s="10" t="s">
        <v>117</v>
      </c>
      <c r="D21">
        <v>0</v>
      </c>
      <c r="E21">
        <v>200</v>
      </c>
    </row>
    <row r="22" spans="1:5">
      <c r="A22" s="10" t="s">
        <v>593</v>
      </c>
      <c r="B22" s="121" t="s">
        <v>386</v>
      </c>
      <c r="C22" s="10" t="s">
        <v>118</v>
      </c>
      <c r="D22">
        <v>200</v>
      </c>
      <c r="E22">
        <v>200</v>
      </c>
    </row>
    <row r="23" spans="1:5">
      <c r="A23" s="10" t="s">
        <v>594</v>
      </c>
      <c r="B23" s="121" t="s">
        <v>386</v>
      </c>
      <c r="C23" s="10" t="s">
        <v>119</v>
      </c>
      <c r="D23">
        <v>200</v>
      </c>
      <c r="E23">
        <v>200</v>
      </c>
    </row>
    <row r="24" spans="1:5">
      <c r="A24" s="10" t="s">
        <v>595</v>
      </c>
      <c r="B24" s="121" t="s">
        <v>386</v>
      </c>
      <c r="C24" s="10" t="s">
        <v>116</v>
      </c>
      <c r="D24">
        <v>0</v>
      </c>
      <c r="E24">
        <v>200</v>
      </c>
    </row>
    <row r="25" spans="1:5">
      <c r="A25" s="10" t="s">
        <v>596</v>
      </c>
      <c r="B25" s="121" t="s">
        <v>386</v>
      </c>
      <c r="C25" s="143" t="s">
        <v>120</v>
      </c>
      <c r="D25">
        <v>200</v>
      </c>
      <c r="E25">
        <v>200</v>
      </c>
    </row>
    <row r="26" spans="1:5">
      <c r="A26" s="10" t="s">
        <v>597</v>
      </c>
      <c r="B26" s="121" t="s">
        <v>386</v>
      </c>
      <c r="C26" s="10" t="s">
        <v>121</v>
      </c>
      <c r="D26">
        <v>0</v>
      </c>
      <c r="E26">
        <v>200</v>
      </c>
    </row>
    <row r="27" spans="1:5">
      <c r="A27" s="10" t="s">
        <v>598</v>
      </c>
      <c r="B27" s="121" t="s">
        <v>386</v>
      </c>
      <c r="C27" s="10" t="s">
        <v>110</v>
      </c>
      <c r="D27">
        <v>0</v>
      </c>
      <c r="E27">
        <v>200</v>
      </c>
    </row>
    <row r="28" spans="1:5">
      <c r="A28" s="10" t="s">
        <v>599</v>
      </c>
      <c r="B28" s="121" t="s">
        <v>386</v>
      </c>
      <c r="C28" s="10" t="s">
        <v>116</v>
      </c>
      <c r="D28">
        <v>0</v>
      </c>
      <c r="E28">
        <v>200</v>
      </c>
    </row>
    <row r="29" spans="1:5">
      <c r="A29" s="10" t="s">
        <v>600</v>
      </c>
      <c r="B29" s="121" t="s">
        <v>386</v>
      </c>
      <c r="C29" s="10" t="s">
        <v>141</v>
      </c>
      <c r="D29">
        <f>200*15</f>
        <v>3000</v>
      </c>
      <c r="E29">
        <v>200</v>
      </c>
    </row>
    <row r="30" spans="1:5">
      <c r="A30" s="10" t="s">
        <v>601</v>
      </c>
      <c r="B30" s="121" t="s">
        <v>386</v>
      </c>
      <c r="C30" s="10" t="s">
        <v>122</v>
      </c>
      <c r="D30">
        <v>200</v>
      </c>
      <c r="E30">
        <v>200</v>
      </c>
    </row>
    <row r="31" spans="1:5">
      <c r="A31" s="10" t="s">
        <v>602</v>
      </c>
      <c r="B31" s="121" t="s">
        <v>386</v>
      </c>
      <c r="C31" s="10" t="s">
        <v>116</v>
      </c>
      <c r="D31">
        <v>0</v>
      </c>
      <c r="E31">
        <v>200</v>
      </c>
    </row>
    <row r="32" spans="1:5">
      <c r="A32" s="10" t="s">
        <v>603</v>
      </c>
      <c r="B32" s="121" t="s">
        <v>386</v>
      </c>
      <c r="C32" s="10" t="s">
        <v>115</v>
      </c>
      <c r="D32">
        <v>0</v>
      </c>
      <c r="E32">
        <v>200</v>
      </c>
    </row>
    <row r="33" spans="1:5">
      <c r="A33" s="10" t="s">
        <v>604</v>
      </c>
      <c r="B33" s="121" t="s">
        <v>386</v>
      </c>
      <c r="C33" s="10" t="s">
        <v>123</v>
      </c>
      <c r="D33">
        <v>200</v>
      </c>
      <c r="E33">
        <v>200</v>
      </c>
    </row>
    <row r="34" spans="1:5">
      <c r="A34" s="10" t="s">
        <v>605</v>
      </c>
      <c r="B34" s="121" t="s">
        <v>386</v>
      </c>
      <c r="C34" s="10"/>
      <c r="E34">
        <v>200</v>
      </c>
    </row>
    <row r="35" spans="1:5">
      <c r="A35" s="10" t="s">
        <v>606</v>
      </c>
      <c r="B35" s="121" t="s">
        <v>386</v>
      </c>
      <c r="C35" s="10" t="s">
        <v>113</v>
      </c>
      <c r="D35">
        <v>200</v>
      </c>
      <c r="E35">
        <v>200</v>
      </c>
    </row>
    <row r="36" spans="1:5">
      <c r="A36" s="10" t="s">
        <v>607</v>
      </c>
      <c r="B36" s="121" t="s">
        <v>386</v>
      </c>
      <c r="C36" s="10"/>
      <c r="E36">
        <v>200</v>
      </c>
    </row>
    <row r="37" spans="1:5">
      <c r="A37" s="10" t="s">
        <v>608</v>
      </c>
      <c r="B37" s="121" t="s">
        <v>386</v>
      </c>
      <c r="C37" s="10" t="s">
        <v>142</v>
      </c>
      <c r="D37">
        <f>200*13</f>
        <v>2600</v>
      </c>
      <c r="E37">
        <v>200</v>
      </c>
    </row>
    <row r="38" spans="1:5">
      <c r="A38" s="10" t="s">
        <v>609</v>
      </c>
      <c r="B38" s="121" t="s">
        <v>386</v>
      </c>
      <c r="C38" s="10" t="s">
        <v>124</v>
      </c>
      <c r="D38">
        <v>0</v>
      </c>
      <c r="E38">
        <v>200</v>
      </c>
    </row>
    <row r="39" spans="1:5">
      <c r="A39" s="10" t="s">
        <v>610</v>
      </c>
      <c r="B39" s="121" t="s">
        <v>386</v>
      </c>
      <c r="C39" s="10" t="s">
        <v>140</v>
      </c>
      <c r="D39">
        <f>200*12</f>
        <v>2400</v>
      </c>
      <c r="E39">
        <v>200</v>
      </c>
    </row>
    <row r="40" spans="1:5">
      <c r="A40" s="10" t="s">
        <v>611</v>
      </c>
      <c r="B40" s="121" t="s">
        <v>386</v>
      </c>
      <c r="C40" s="10" t="s">
        <v>125</v>
      </c>
      <c r="D40">
        <v>200</v>
      </c>
      <c r="E40">
        <v>200</v>
      </c>
    </row>
    <row r="41" spans="1:5">
      <c r="A41" s="10" t="s">
        <v>612</v>
      </c>
      <c r="B41" s="121" t="s">
        <v>386</v>
      </c>
      <c r="C41" s="10" t="s">
        <v>144</v>
      </c>
      <c r="D41">
        <f>200*5</f>
        <v>1000</v>
      </c>
      <c r="E41">
        <v>200</v>
      </c>
    </row>
    <row r="42" spans="1:5">
      <c r="A42" s="10" t="s">
        <v>613</v>
      </c>
      <c r="B42" s="121" t="s">
        <v>386</v>
      </c>
      <c r="C42" s="10" t="s">
        <v>143</v>
      </c>
      <c r="D42">
        <f>200*12</f>
        <v>2400</v>
      </c>
      <c r="E42">
        <v>200</v>
      </c>
    </row>
    <row r="43" spans="1:5">
      <c r="A43" s="10" t="s">
        <v>614</v>
      </c>
      <c r="B43" s="121" t="s">
        <v>386</v>
      </c>
      <c r="C43" s="10" t="s">
        <v>150</v>
      </c>
      <c r="D43">
        <f>200*2</f>
        <v>400</v>
      </c>
      <c r="E43">
        <v>200</v>
      </c>
    </row>
    <row r="44" spans="1:5">
      <c r="A44" s="10" t="s">
        <v>615</v>
      </c>
      <c r="B44" s="121" t="s">
        <v>386</v>
      </c>
      <c r="C44" s="10" t="s">
        <v>159</v>
      </c>
      <c r="D44">
        <f>200*2</f>
        <v>400</v>
      </c>
      <c r="E44">
        <v>200</v>
      </c>
    </row>
    <row r="45" spans="1:5">
      <c r="A45" s="10" t="s">
        <v>616</v>
      </c>
      <c r="B45" s="121" t="s">
        <v>386</v>
      </c>
      <c r="C45" s="10" t="s">
        <v>126</v>
      </c>
      <c r="D45">
        <v>200</v>
      </c>
      <c r="E45">
        <v>200</v>
      </c>
    </row>
    <row r="46" spans="1:5">
      <c r="A46" s="10" t="s">
        <v>617</v>
      </c>
      <c r="B46" s="121" t="s">
        <v>386</v>
      </c>
      <c r="C46" s="10" t="s">
        <v>151</v>
      </c>
      <c r="D46">
        <f>200*8</f>
        <v>1600</v>
      </c>
      <c r="E46">
        <v>200</v>
      </c>
    </row>
    <row r="47" spans="1:5">
      <c r="A47" s="10" t="s">
        <v>618</v>
      </c>
      <c r="B47" s="121" t="s">
        <v>386</v>
      </c>
      <c r="C47" s="10" t="s">
        <v>116</v>
      </c>
      <c r="D47">
        <v>0</v>
      </c>
      <c r="E47">
        <v>200</v>
      </c>
    </row>
    <row r="48" spans="1:5">
      <c r="A48" s="10" t="s">
        <v>619</v>
      </c>
      <c r="B48" s="121" t="s">
        <v>386</v>
      </c>
      <c r="C48" s="10" t="s">
        <v>135</v>
      </c>
      <c r="D48">
        <f>200*2</f>
        <v>400</v>
      </c>
      <c r="E48">
        <v>200</v>
      </c>
    </row>
    <row r="49" spans="1:6">
      <c r="A49" s="10" t="s">
        <v>620</v>
      </c>
      <c r="B49" s="121" t="s">
        <v>386</v>
      </c>
      <c r="C49" s="10" t="s">
        <v>115</v>
      </c>
      <c r="D49">
        <v>0</v>
      </c>
      <c r="E49">
        <v>200</v>
      </c>
    </row>
    <row r="50" spans="1:6">
      <c r="A50" s="10" t="s">
        <v>621</v>
      </c>
      <c r="B50" s="121" t="s">
        <v>386</v>
      </c>
      <c r="C50" s="10" t="s">
        <v>126</v>
      </c>
      <c r="D50">
        <v>200</v>
      </c>
      <c r="E50">
        <v>200</v>
      </c>
    </row>
    <row r="51" spans="1:6">
      <c r="A51" s="10" t="s">
        <v>622</v>
      </c>
      <c r="B51" s="121" t="s">
        <v>386</v>
      </c>
      <c r="C51" s="10" t="s">
        <v>117</v>
      </c>
      <c r="D51">
        <v>0</v>
      </c>
      <c r="E51">
        <v>200</v>
      </c>
    </row>
    <row r="52" spans="1:6">
      <c r="A52" s="10" t="s">
        <v>623</v>
      </c>
      <c r="B52" s="121" t="s">
        <v>386</v>
      </c>
      <c r="C52" s="10" t="s">
        <v>112</v>
      </c>
      <c r="D52">
        <v>0</v>
      </c>
      <c r="E52">
        <v>200</v>
      </c>
    </row>
    <row r="53" spans="1:6">
      <c r="A53" s="10" t="s">
        <v>624</v>
      </c>
      <c r="B53" s="121" t="s">
        <v>386</v>
      </c>
      <c r="C53" s="10" t="s">
        <v>117</v>
      </c>
      <c r="D53">
        <v>0</v>
      </c>
      <c r="E53">
        <v>200</v>
      </c>
    </row>
    <row r="54" spans="1:6">
      <c r="A54" s="10" t="s">
        <v>625</v>
      </c>
      <c r="B54" s="121" t="s">
        <v>386</v>
      </c>
      <c r="C54" s="10" t="s">
        <v>116</v>
      </c>
      <c r="D54">
        <v>0</v>
      </c>
      <c r="E54">
        <v>200</v>
      </c>
    </row>
    <row r="55" spans="1:6" s="134" customFormat="1">
      <c r="A55" s="10" t="s">
        <v>626</v>
      </c>
      <c r="B55" s="141" t="s">
        <v>386</v>
      </c>
      <c r="C55" s="129" t="s">
        <v>124</v>
      </c>
      <c r="D55" s="134">
        <v>0</v>
      </c>
      <c r="E55">
        <v>200</v>
      </c>
    </row>
    <row r="56" spans="1:6">
      <c r="A56" s="10" t="s">
        <v>627</v>
      </c>
      <c r="B56" s="121" t="s">
        <v>386</v>
      </c>
      <c r="C56" s="10" t="s">
        <v>124</v>
      </c>
      <c r="D56">
        <v>0</v>
      </c>
      <c r="E56">
        <v>200</v>
      </c>
    </row>
    <row r="57" spans="1:6">
      <c r="A57" s="10" t="s">
        <v>628</v>
      </c>
      <c r="B57" s="121" t="s">
        <v>386</v>
      </c>
      <c r="C57" s="10" t="s">
        <v>152</v>
      </c>
      <c r="D57">
        <f>200*16</f>
        <v>3200</v>
      </c>
      <c r="E57">
        <v>200</v>
      </c>
    </row>
    <row r="58" spans="1:6">
      <c r="A58" s="10" t="s">
        <v>629</v>
      </c>
      <c r="B58" s="121" t="s">
        <v>386</v>
      </c>
      <c r="C58" s="10" t="s">
        <v>156</v>
      </c>
      <c r="D58">
        <f>200*13</f>
        <v>2600</v>
      </c>
      <c r="E58">
        <v>200</v>
      </c>
    </row>
    <row r="59" spans="1:6">
      <c r="A59" s="10" t="s">
        <v>630</v>
      </c>
      <c r="B59" s="121" t="s">
        <v>386</v>
      </c>
      <c r="C59" s="10" t="s">
        <v>158</v>
      </c>
      <c r="D59">
        <f>200*19</f>
        <v>3800</v>
      </c>
      <c r="E59">
        <v>200</v>
      </c>
      <c r="F59" s="88"/>
    </row>
    <row r="60" spans="1:6">
      <c r="A60" s="10" t="s">
        <v>631</v>
      </c>
      <c r="B60" s="121" t="s">
        <v>386</v>
      </c>
      <c r="C60" s="10" t="s">
        <v>118</v>
      </c>
      <c r="D60">
        <v>200</v>
      </c>
      <c r="E60">
        <v>200</v>
      </c>
    </row>
    <row r="61" spans="1:6">
      <c r="A61" s="10" t="s">
        <v>632</v>
      </c>
      <c r="B61" s="121" t="s">
        <v>386</v>
      </c>
      <c r="C61" s="10" t="s">
        <v>157</v>
      </c>
      <c r="D61">
        <f>200*13</f>
        <v>2600</v>
      </c>
      <c r="E61">
        <v>200</v>
      </c>
    </row>
    <row r="62" spans="1:6">
      <c r="A62" s="10" t="s">
        <v>633</v>
      </c>
      <c r="B62" s="121" t="s">
        <v>386</v>
      </c>
      <c r="C62" s="10" t="s">
        <v>127</v>
      </c>
      <c r="D62">
        <v>200</v>
      </c>
      <c r="E62">
        <v>200</v>
      </c>
    </row>
    <row r="63" spans="1:6">
      <c r="A63" s="10" t="s">
        <v>634</v>
      </c>
      <c r="B63" s="121" t="s">
        <v>386</v>
      </c>
      <c r="C63" s="10" t="s">
        <v>127</v>
      </c>
      <c r="D63">
        <v>200</v>
      </c>
      <c r="E63">
        <v>200</v>
      </c>
    </row>
    <row r="64" spans="1:6">
      <c r="A64" s="10" t="s">
        <v>635</v>
      </c>
      <c r="B64" s="121" t="s">
        <v>386</v>
      </c>
      <c r="C64" s="10" t="s">
        <v>128</v>
      </c>
      <c r="D64">
        <v>0</v>
      </c>
      <c r="E64">
        <v>200</v>
      </c>
    </row>
    <row r="65" spans="1:5">
      <c r="A65" s="10" t="s">
        <v>636</v>
      </c>
      <c r="B65" s="121" t="s">
        <v>386</v>
      </c>
      <c r="C65" s="10" t="s">
        <v>128</v>
      </c>
      <c r="D65">
        <v>0</v>
      </c>
      <c r="E65">
        <v>200</v>
      </c>
    </row>
    <row r="66" spans="1:5">
      <c r="A66" s="10" t="s">
        <v>637</v>
      </c>
      <c r="B66" s="121" t="s">
        <v>386</v>
      </c>
      <c r="C66" s="10" t="s">
        <v>155</v>
      </c>
      <c r="D66">
        <f>200*3</f>
        <v>600</v>
      </c>
      <c r="E66">
        <v>200</v>
      </c>
    </row>
    <row r="67" spans="1:5">
      <c r="A67" s="10" t="s">
        <v>638</v>
      </c>
      <c r="B67" s="121" t="s">
        <v>386</v>
      </c>
      <c r="C67" s="10" t="s">
        <v>126</v>
      </c>
      <c r="D67">
        <v>200</v>
      </c>
      <c r="E67">
        <v>200</v>
      </c>
    </row>
    <row r="68" spans="1:5">
      <c r="A68" s="10" t="s">
        <v>639</v>
      </c>
      <c r="B68" s="121" t="s">
        <v>386</v>
      </c>
      <c r="C68" s="10" t="s">
        <v>116</v>
      </c>
      <c r="D68">
        <v>0</v>
      </c>
      <c r="E68">
        <v>200</v>
      </c>
    </row>
    <row r="69" spans="1:5">
      <c r="A69" s="10" t="s">
        <v>640</v>
      </c>
      <c r="B69" s="121" t="s">
        <v>386</v>
      </c>
      <c r="C69" s="10" t="s">
        <v>154</v>
      </c>
      <c r="D69">
        <f>200*9</f>
        <v>1800</v>
      </c>
      <c r="E69">
        <v>200</v>
      </c>
    </row>
    <row r="70" spans="1:5">
      <c r="A70" s="10" t="s">
        <v>641</v>
      </c>
      <c r="B70" s="121" t="s">
        <v>386</v>
      </c>
      <c r="C70" s="10" t="s">
        <v>115</v>
      </c>
      <c r="D70">
        <v>0</v>
      </c>
      <c r="E70">
        <v>200</v>
      </c>
    </row>
    <row r="71" spans="1:5">
      <c r="A71" s="10" t="s">
        <v>642</v>
      </c>
      <c r="B71" s="121" t="s">
        <v>386</v>
      </c>
      <c r="C71" s="10" t="s">
        <v>153</v>
      </c>
      <c r="D71">
        <f>200*3</f>
        <v>600</v>
      </c>
      <c r="E71">
        <v>200</v>
      </c>
    </row>
    <row r="72" spans="1:5">
      <c r="A72" s="10" t="s">
        <v>643</v>
      </c>
      <c r="B72" s="121" t="s">
        <v>386</v>
      </c>
      <c r="C72" s="10" t="s">
        <v>122</v>
      </c>
      <c r="D72">
        <v>200</v>
      </c>
      <c r="E72">
        <v>200</v>
      </c>
    </row>
    <row r="73" spans="1:5">
      <c r="A73" s="10" t="s">
        <v>644</v>
      </c>
      <c r="B73" s="121" t="s">
        <v>386</v>
      </c>
      <c r="C73" s="10" t="s">
        <v>129</v>
      </c>
      <c r="D73">
        <v>200</v>
      </c>
      <c r="E73">
        <v>200</v>
      </c>
    </row>
    <row r="74" spans="1:5">
      <c r="A74" s="10" t="s">
        <v>645</v>
      </c>
      <c r="B74" s="121" t="s">
        <v>386</v>
      </c>
      <c r="C74" s="10" t="s">
        <v>130</v>
      </c>
      <c r="D74">
        <f>200*2</f>
        <v>400</v>
      </c>
      <c r="E74">
        <v>200</v>
      </c>
    </row>
    <row r="75" spans="1:5">
      <c r="A75" s="10" t="s">
        <v>646</v>
      </c>
      <c r="B75" s="121" t="s">
        <v>386</v>
      </c>
      <c r="C75" s="10" t="s">
        <v>125</v>
      </c>
      <c r="D75">
        <v>200</v>
      </c>
      <c r="E75">
        <v>200</v>
      </c>
    </row>
    <row r="76" spans="1:5">
      <c r="A76" s="10" t="s">
        <v>647</v>
      </c>
      <c r="B76" s="121" t="s">
        <v>386</v>
      </c>
      <c r="C76" s="10" t="s">
        <v>131</v>
      </c>
      <c r="D76">
        <v>200</v>
      </c>
      <c r="E76">
        <v>200</v>
      </c>
    </row>
    <row r="77" spans="1:5">
      <c r="A77" s="10" t="s">
        <v>648</v>
      </c>
      <c r="B77" s="121" t="s">
        <v>386</v>
      </c>
      <c r="C77" s="10" t="s">
        <v>116</v>
      </c>
      <c r="D77">
        <v>0</v>
      </c>
      <c r="E77">
        <v>200</v>
      </c>
    </row>
    <row r="78" spans="1:5">
      <c r="A78" s="10" t="s">
        <v>649</v>
      </c>
      <c r="B78" s="121" t="s">
        <v>386</v>
      </c>
      <c r="C78" s="10" t="s">
        <v>132</v>
      </c>
      <c r="D78">
        <v>0</v>
      </c>
      <c r="E78">
        <v>200</v>
      </c>
    </row>
    <row r="79" spans="1:5">
      <c r="A79" s="10" t="s">
        <v>650</v>
      </c>
      <c r="B79" s="121" t="s">
        <v>386</v>
      </c>
      <c r="C79" s="10" t="s">
        <v>113</v>
      </c>
      <c r="D79">
        <v>200</v>
      </c>
      <c r="E79">
        <v>200</v>
      </c>
    </row>
    <row r="80" spans="1:5">
      <c r="A80" s="10" t="s">
        <v>651</v>
      </c>
      <c r="B80" s="121" t="s">
        <v>386</v>
      </c>
      <c r="C80" s="10" t="s">
        <v>124</v>
      </c>
      <c r="D80">
        <v>0</v>
      </c>
      <c r="E80">
        <v>200</v>
      </c>
    </row>
    <row r="81" spans="1:5">
      <c r="A81" s="10" t="s">
        <v>652</v>
      </c>
      <c r="B81" s="121" t="s">
        <v>386</v>
      </c>
      <c r="C81" s="10" t="s">
        <v>149</v>
      </c>
      <c r="D81">
        <f>200*3</f>
        <v>600</v>
      </c>
      <c r="E81">
        <v>200</v>
      </c>
    </row>
    <row r="82" spans="1:5">
      <c r="A82" s="10" t="s">
        <v>653</v>
      </c>
      <c r="B82" s="121" t="s">
        <v>386</v>
      </c>
      <c r="C82" s="10" t="s">
        <v>148</v>
      </c>
      <c r="D82">
        <f>200*12</f>
        <v>2400</v>
      </c>
      <c r="E82">
        <v>200</v>
      </c>
    </row>
    <row r="83" spans="1:5">
      <c r="A83" s="10" t="s">
        <v>654</v>
      </c>
      <c r="B83" s="121" t="s">
        <v>386</v>
      </c>
      <c r="C83" s="10" t="s">
        <v>127</v>
      </c>
      <c r="D83">
        <v>200</v>
      </c>
      <c r="E83">
        <v>200</v>
      </c>
    </row>
    <row r="84" spans="1:5">
      <c r="A84" s="10" t="s">
        <v>655</v>
      </c>
      <c r="B84" s="121" t="s">
        <v>386</v>
      </c>
      <c r="C84" s="10" t="s">
        <v>147</v>
      </c>
      <c r="D84">
        <f>200*2</f>
        <v>400</v>
      </c>
      <c r="E84">
        <v>200</v>
      </c>
    </row>
    <row r="85" spans="1:5">
      <c r="A85" s="10" t="s">
        <v>656</v>
      </c>
      <c r="B85" s="121" t="s">
        <v>386</v>
      </c>
      <c r="C85" s="10" t="s">
        <v>121</v>
      </c>
      <c r="D85">
        <v>0</v>
      </c>
      <c r="E85">
        <v>200</v>
      </c>
    </row>
    <row r="86" spans="1:5">
      <c r="A86" s="10" t="s">
        <v>657</v>
      </c>
      <c r="B86" s="121" t="s">
        <v>386</v>
      </c>
      <c r="C86" s="10" t="s">
        <v>145</v>
      </c>
      <c r="D86">
        <f>200*3</f>
        <v>600</v>
      </c>
      <c r="E86">
        <v>200</v>
      </c>
    </row>
    <row r="87" spans="1:5">
      <c r="A87" s="10" t="s">
        <v>658</v>
      </c>
      <c r="B87" s="121" t="s">
        <v>386</v>
      </c>
      <c r="C87" s="10" t="s">
        <v>146</v>
      </c>
      <c r="D87">
        <f>200*17</f>
        <v>3400</v>
      </c>
      <c r="E87">
        <v>200</v>
      </c>
    </row>
    <row r="88" spans="1:5">
      <c r="A88" s="10" t="s">
        <v>659</v>
      </c>
      <c r="B88" s="121" t="s">
        <v>386</v>
      </c>
      <c r="C88" s="10" t="s">
        <v>133</v>
      </c>
      <c r="D88">
        <v>0</v>
      </c>
      <c r="E88">
        <v>200</v>
      </c>
    </row>
    <row r="89" spans="1:5">
      <c r="A89" s="10" t="s">
        <v>660</v>
      </c>
      <c r="B89" s="121" t="s">
        <v>386</v>
      </c>
      <c r="C89" s="10" t="s">
        <v>134</v>
      </c>
      <c r="D89">
        <v>200</v>
      </c>
      <c r="E89">
        <v>200</v>
      </c>
    </row>
    <row r="90" spans="1:5">
      <c r="A90" s="10" t="s">
        <v>661</v>
      </c>
      <c r="B90" s="121" t="s">
        <v>386</v>
      </c>
      <c r="C90" s="10" t="s">
        <v>116</v>
      </c>
      <c r="D90">
        <v>0</v>
      </c>
      <c r="E90">
        <v>200</v>
      </c>
    </row>
  </sheetData>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K24"/>
  <sheetViews>
    <sheetView topLeftCell="A2" zoomScale="90" zoomScaleNormal="90" workbookViewId="0">
      <selection activeCell="E11" sqref="E11"/>
    </sheetView>
  </sheetViews>
  <sheetFormatPr defaultRowHeight="14.25"/>
  <cols>
    <col min="1" max="1" width="22.59765625" style="215" customWidth="1"/>
    <col min="2" max="2" width="19.73046875" customWidth="1"/>
    <col min="3" max="3" width="17.1328125" customWidth="1"/>
    <col min="4" max="4" width="15.86328125" customWidth="1"/>
    <col min="5" max="5" width="19.1328125" customWidth="1"/>
    <col min="6" max="6" width="11.59765625" customWidth="1"/>
    <col min="7" max="7" width="16.3984375" customWidth="1"/>
    <col min="8" max="8" width="11.3984375" customWidth="1"/>
    <col min="9" max="9" width="16.73046875" customWidth="1"/>
    <col min="10" max="10" width="13.73046875" customWidth="1"/>
    <col min="11" max="11" width="12.73046875" customWidth="1"/>
    <col min="12" max="12" width="13" customWidth="1"/>
    <col min="13" max="13" width="14" customWidth="1"/>
    <col min="14" max="14" width="14.265625" customWidth="1"/>
    <col min="15" max="15" width="9.3984375" bestFit="1" customWidth="1"/>
    <col min="16" max="16" width="10.59765625" bestFit="1" customWidth="1"/>
    <col min="17" max="17" width="12.1328125" customWidth="1"/>
    <col min="18" max="18" width="9.3984375" customWidth="1"/>
    <col min="19" max="19" width="9.3984375" bestFit="1" customWidth="1"/>
    <col min="20" max="20" width="9.3984375" customWidth="1"/>
    <col min="21" max="21" width="10.59765625" bestFit="1" customWidth="1"/>
    <col min="22" max="22" width="9.3984375" customWidth="1"/>
    <col min="23" max="23" width="9" customWidth="1"/>
    <col min="24" max="24" width="9.3984375" customWidth="1"/>
    <col min="25" max="25" width="9.3984375" bestFit="1" customWidth="1"/>
    <col min="26" max="26" width="9.1328125" customWidth="1"/>
    <col min="27" max="27" width="9.3984375" bestFit="1" customWidth="1"/>
    <col min="28" max="28" width="9.3984375" customWidth="1"/>
    <col min="29" max="29" width="9" customWidth="1"/>
    <col min="30" max="31" width="9.3984375" bestFit="1" customWidth="1"/>
    <col min="32" max="32" width="9" customWidth="1"/>
    <col min="33" max="34" width="9.3984375" bestFit="1" customWidth="1"/>
    <col min="35" max="35" width="9.3984375" customWidth="1"/>
    <col min="36" max="37" width="9.3984375" bestFit="1" customWidth="1"/>
    <col min="38" max="38" width="9.3984375" customWidth="1"/>
    <col min="39" max="40" width="9.3984375" bestFit="1" customWidth="1"/>
    <col min="41" max="41" width="9.3984375" customWidth="1"/>
    <col min="42" max="43" width="9.3984375" bestFit="1" customWidth="1"/>
    <col min="44" max="44" width="9.3984375" customWidth="1"/>
    <col min="45" max="46" width="9.3984375" bestFit="1" customWidth="1"/>
    <col min="47" max="47" width="9.3984375" customWidth="1"/>
    <col min="48" max="48" width="9.3984375" bestFit="1" customWidth="1"/>
    <col min="49" max="49" width="16.73046875" customWidth="1"/>
    <col min="50" max="50" width="13.73046875" customWidth="1"/>
    <col min="51" max="51" width="10.73046875" bestFit="1" customWidth="1"/>
    <col min="52" max="74" width="9.3984375" hidden="1" customWidth="1"/>
    <col min="75" max="75" width="13" hidden="1" customWidth="1"/>
    <col min="76" max="77" width="9.3984375" hidden="1" customWidth="1"/>
    <col min="78" max="78" width="16.1328125" hidden="1" customWidth="1"/>
    <col min="79" max="83" width="9.3984375" hidden="1" customWidth="1"/>
    <col min="84" max="84" width="12.59765625" hidden="1" customWidth="1"/>
    <col min="85" max="88" width="9.3984375" hidden="1" customWidth="1"/>
    <col min="89" max="92" width="0" hidden="1" customWidth="1"/>
  </cols>
  <sheetData>
    <row r="1" spans="1:89" ht="18.75" hidden="1" customHeight="1">
      <c r="A1" s="315" t="s">
        <v>184</v>
      </c>
    </row>
    <row r="5" spans="1:89" s="14" customFormat="1" ht="123.6" customHeight="1">
      <c r="A5" s="314" t="s">
        <v>0</v>
      </c>
      <c r="B5" s="49" t="s">
        <v>106</v>
      </c>
      <c r="C5" s="50" t="s">
        <v>210</v>
      </c>
      <c r="D5" s="50" t="s">
        <v>533</v>
      </c>
      <c r="E5" s="50" t="s">
        <v>211</v>
      </c>
      <c r="F5" s="50" t="s">
        <v>212</v>
      </c>
      <c r="G5" s="50" t="s">
        <v>101</v>
      </c>
      <c r="H5" s="50" t="s">
        <v>100</v>
      </c>
      <c r="I5" s="50" t="s">
        <v>104</v>
      </c>
      <c r="J5" s="51" t="s">
        <v>98</v>
      </c>
      <c r="K5" s="61" t="s">
        <v>188</v>
      </c>
      <c r="L5" s="52">
        <v>43647</v>
      </c>
      <c r="M5" s="53" t="s">
        <v>99</v>
      </c>
      <c r="N5" s="61" t="s">
        <v>188</v>
      </c>
      <c r="O5" s="52">
        <v>43678</v>
      </c>
      <c r="P5" s="53" t="s">
        <v>99</v>
      </c>
      <c r="Q5" s="61" t="s">
        <v>188</v>
      </c>
      <c r="R5" s="52">
        <v>43709</v>
      </c>
      <c r="S5" s="53" t="s">
        <v>99</v>
      </c>
      <c r="T5" s="61" t="s">
        <v>188</v>
      </c>
      <c r="U5" s="52">
        <v>43739</v>
      </c>
      <c r="V5" s="53" t="s">
        <v>99</v>
      </c>
      <c r="W5" s="61" t="s">
        <v>188</v>
      </c>
      <c r="X5" s="52">
        <v>43770</v>
      </c>
      <c r="Y5" s="53" t="s">
        <v>99</v>
      </c>
      <c r="Z5" s="61" t="s">
        <v>188</v>
      </c>
      <c r="AA5" s="52">
        <v>43800</v>
      </c>
      <c r="AB5" s="53" t="s">
        <v>99</v>
      </c>
      <c r="AC5" s="61" t="s">
        <v>188</v>
      </c>
      <c r="AD5" s="52">
        <v>43831</v>
      </c>
      <c r="AE5" s="53" t="s">
        <v>99</v>
      </c>
      <c r="AF5" s="61" t="s">
        <v>188</v>
      </c>
      <c r="AG5" s="52">
        <v>43862</v>
      </c>
      <c r="AH5" s="53" t="s">
        <v>99</v>
      </c>
      <c r="AI5" s="61" t="s">
        <v>188</v>
      </c>
      <c r="AJ5" s="52">
        <v>43891</v>
      </c>
      <c r="AK5" s="53" t="s">
        <v>99</v>
      </c>
      <c r="AL5" s="61" t="s">
        <v>188</v>
      </c>
      <c r="AM5" s="52">
        <v>43922</v>
      </c>
      <c r="AN5" s="53" t="s">
        <v>99</v>
      </c>
      <c r="AO5" s="61" t="s">
        <v>188</v>
      </c>
      <c r="AP5" s="52">
        <v>43952</v>
      </c>
      <c r="AQ5" s="53" t="s">
        <v>99</v>
      </c>
      <c r="AR5" s="61" t="s">
        <v>188</v>
      </c>
      <c r="AS5" s="52">
        <v>43983</v>
      </c>
      <c r="AT5" s="53" t="s">
        <v>99</v>
      </c>
      <c r="AU5" s="61" t="s">
        <v>188</v>
      </c>
      <c r="AV5" s="52">
        <v>44013</v>
      </c>
      <c r="AW5" s="53" t="s">
        <v>99</v>
      </c>
      <c r="AX5" s="61" t="s">
        <v>188</v>
      </c>
      <c r="AY5" s="52">
        <v>44044</v>
      </c>
      <c r="AZ5" s="53" t="s">
        <v>99</v>
      </c>
      <c r="BA5" s="61" t="s">
        <v>189</v>
      </c>
      <c r="BB5" s="52">
        <v>44075</v>
      </c>
      <c r="BC5" s="53" t="s">
        <v>99</v>
      </c>
      <c r="BD5" s="52">
        <v>44105</v>
      </c>
      <c r="BE5" s="53" t="s">
        <v>99</v>
      </c>
      <c r="BF5" s="52">
        <v>44136</v>
      </c>
      <c r="BG5" s="53" t="s">
        <v>99</v>
      </c>
      <c r="BH5" s="52">
        <v>44166</v>
      </c>
      <c r="BI5" s="53" t="s">
        <v>99</v>
      </c>
      <c r="BJ5" s="52">
        <v>44197</v>
      </c>
      <c r="BK5" s="53" t="s">
        <v>99</v>
      </c>
      <c r="BL5" s="52">
        <v>44228</v>
      </c>
      <c r="BM5" s="53" t="s">
        <v>99</v>
      </c>
      <c r="BN5" s="52">
        <v>44256</v>
      </c>
      <c r="BO5" s="53" t="s">
        <v>99</v>
      </c>
      <c r="BP5" s="52">
        <v>44287</v>
      </c>
      <c r="BQ5" s="53" t="s">
        <v>99</v>
      </c>
      <c r="BR5" s="52">
        <v>44317</v>
      </c>
      <c r="BS5" s="53" t="s">
        <v>99</v>
      </c>
      <c r="BT5" s="13">
        <v>44348</v>
      </c>
      <c r="BU5" s="53" t="s">
        <v>99</v>
      </c>
      <c r="BV5" s="31">
        <v>44378</v>
      </c>
      <c r="BW5" s="40" t="s">
        <v>174</v>
      </c>
      <c r="BX5" s="35" t="s">
        <v>99</v>
      </c>
      <c r="BY5" s="32">
        <v>44409</v>
      </c>
      <c r="BZ5" s="36" t="s">
        <v>174</v>
      </c>
      <c r="CA5" s="37" t="s">
        <v>99</v>
      </c>
      <c r="CB5" s="31">
        <v>44440</v>
      </c>
      <c r="CC5" s="34" t="s">
        <v>174</v>
      </c>
      <c r="CD5" s="35" t="s">
        <v>99</v>
      </c>
      <c r="CE5" s="32">
        <v>44470</v>
      </c>
      <c r="CF5" s="36" t="s">
        <v>174</v>
      </c>
      <c r="CG5" s="38" t="s">
        <v>99</v>
      </c>
      <c r="CH5" s="31">
        <v>44501</v>
      </c>
      <c r="CI5" s="40" t="s">
        <v>174</v>
      </c>
      <c r="CJ5" s="39" t="s">
        <v>180</v>
      </c>
    </row>
    <row r="6" spans="1:89">
      <c r="A6" s="54" t="s">
        <v>674</v>
      </c>
      <c r="B6" s="55" t="s">
        <v>110</v>
      </c>
      <c r="C6" s="18">
        <f>200*26+100</f>
        <v>5300</v>
      </c>
      <c r="D6" s="18">
        <f>I6+G6</f>
        <v>5438.67</v>
      </c>
      <c r="E6" s="18">
        <f>C6-D6</f>
        <v>-138.67000000000007</v>
      </c>
      <c r="F6" s="18">
        <f>E6+J6</f>
        <v>6.4755499999999415</v>
      </c>
      <c r="G6" s="18">
        <v>2500</v>
      </c>
      <c r="H6" s="18">
        <v>0</v>
      </c>
      <c r="I6" s="18">
        <f>L6+O6+R6+U6+X6+AA6+AD6+AG6+AJ6+AM6+AP6+AS6+AV6+AY6+BB6+BD6+BF6+BH6+BJ6+BL6+BN6+BP6+BR6+BT6</f>
        <v>2938.67</v>
      </c>
      <c r="J6" s="18">
        <f>M6+P6+S6+V6+Y6+AB6+AE6+AH6+AK6+AN6+AQ6+AT6+AW6+AZ6+BC6+BE6+BG6+BI6+BK6+BM6+BO6+BQ6+BS6+BU6</f>
        <v>145.14555000000001</v>
      </c>
      <c r="K6" s="18"/>
      <c r="L6" s="18">
        <v>0</v>
      </c>
      <c r="M6" s="18">
        <f>200*0.055</f>
        <v>11</v>
      </c>
      <c r="N6" s="18"/>
      <c r="O6" s="18">
        <v>400</v>
      </c>
      <c r="P6" s="19">
        <f>411*0.055</f>
        <v>22.605</v>
      </c>
      <c r="Q6" s="19"/>
      <c r="R6" s="18">
        <v>200</v>
      </c>
      <c r="S6" s="18"/>
      <c r="T6" s="18"/>
      <c r="U6" s="18">
        <v>200</v>
      </c>
      <c r="V6" s="18">
        <v>0</v>
      </c>
      <c r="W6" s="18"/>
      <c r="X6" s="18">
        <v>0</v>
      </c>
      <c r="Y6" s="19">
        <f>11*0.055</f>
        <v>0.60499999999999998</v>
      </c>
      <c r="Z6" s="19"/>
      <c r="AA6" s="18">
        <v>400</v>
      </c>
      <c r="AB6" s="18">
        <v>0</v>
      </c>
      <c r="AC6" s="18"/>
      <c r="AD6" s="18">
        <v>200</v>
      </c>
      <c r="AE6" s="18">
        <v>0</v>
      </c>
      <c r="AF6" s="18"/>
      <c r="AG6" s="18">
        <v>200</v>
      </c>
      <c r="AH6" s="18">
        <v>0</v>
      </c>
      <c r="AI6" s="18"/>
      <c r="AJ6" s="18">
        <v>250</v>
      </c>
      <c r="AK6" s="18">
        <v>0</v>
      </c>
      <c r="AL6" s="18"/>
      <c r="AM6" s="18">
        <v>0</v>
      </c>
      <c r="AN6" s="56">
        <f>150*0.055</f>
        <v>8.25</v>
      </c>
      <c r="AO6" s="56"/>
      <c r="AP6" s="18">
        <v>0</v>
      </c>
      <c r="AQ6" s="19">
        <f>358.25*0.055</f>
        <v>19.703749999999999</v>
      </c>
      <c r="AR6" s="19"/>
      <c r="AS6" s="18">
        <v>0</v>
      </c>
      <c r="AT6" s="60">
        <f>577.95*0.055</f>
        <v>31.787250000000004</v>
      </c>
      <c r="AU6" s="60"/>
      <c r="AV6" s="18">
        <v>0</v>
      </c>
      <c r="AW6" s="18">
        <f>809.74*0.055</f>
        <v>44.535699999999999</v>
      </c>
      <c r="AX6" s="18"/>
      <c r="AY6" s="60">
        <v>1088.67</v>
      </c>
      <c r="AZ6" s="18">
        <v>0</v>
      </c>
      <c r="BA6" s="18"/>
      <c r="BB6" s="18">
        <v>0</v>
      </c>
      <c r="BC6" s="18">
        <f>121.07*0.055</f>
        <v>6.6588499999999993</v>
      </c>
      <c r="BD6" s="19">
        <v>0</v>
      </c>
      <c r="BE6" s="19">
        <v>0</v>
      </c>
      <c r="BF6" s="19">
        <v>0</v>
      </c>
      <c r="BG6" s="19">
        <v>0</v>
      </c>
      <c r="BH6" s="19">
        <v>0</v>
      </c>
      <c r="BI6" s="19">
        <v>0</v>
      </c>
      <c r="BJ6" s="19">
        <v>0</v>
      </c>
      <c r="BK6" s="19">
        <v>0</v>
      </c>
      <c r="BL6" s="19">
        <v>0</v>
      </c>
      <c r="BM6" s="19">
        <v>0</v>
      </c>
      <c r="BN6" s="19">
        <v>0</v>
      </c>
      <c r="BO6" s="19">
        <v>0</v>
      </c>
      <c r="BP6" s="19">
        <v>0</v>
      </c>
      <c r="BQ6" s="19">
        <v>0</v>
      </c>
      <c r="BR6" s="19">
        <v>0</v>
      </c>
      <c r="BS6" s="19">
        <v>0</v>
      </c>
      <c r="BT6" s="20">
        <v>0</v>
      </c>
      <c r="BU6" s="19">
        <v>0</v>
      </c>
      <c r="BV6" s="33">
        <v>0</v>
      </c>
      <c r="BW6" s="33">
        <f>BV6*1.1%</f>
        <v>0</v>
      </c>
      <c r="BX6" s="33">
        <v>0</v>
      </c>
      <c r="BY6" s="33">
        <v>0</v>
      </c>
      <c r="BZ6" s="33">
        <f>BY6*1.1%</f>
        <v>0</v>
      </c>
      <c r="CA6" s="33">
        <v>0</v>
      </c>
      <c r="CB6" s="33">
        <v>0</v>
      </c>
      <c r="CC6" s="33">
        <f>CB6*1.1%</f>
        <v>0</v>
      </c>
      <c r="CD6" s="33">
        <v>0</v>
      </c>
      <c r="CE6" s="33">
        <v>0</v>
      </c>
      <c r="CF6" s="33">
        <f>CE6*1.1%</f>
        <v>0</v>
      </c>
      <c r="CG6" s="33">
        <v>0</v>
      </c>
      <c r="CH6" s="33">
        <v>0</v>
      </c>
      <c r="CI6" s="33">
        <f>CH6*1.1%</f>
        <v>0</v>
      </c>
      <c r="CJ6" s="33">
        <f>200*7%</f>
        <v>14.000000000000002</v>
      </c>
      <c r="CK6">
        <v>200</v>
      </c>
    </row>
    <row r="7" spans="1:89" s="68" customFormat="1">
      <c r="A7" s="72" t="s">
        <v>674</v>
      </c>
      <c r="B7" s="62"/>
      <c r="C7" s="18">
        <f>200*26+100</f>
        <v>5300</v>
      </c>
      <c r="D7" s="63">
        <f>I7+G7</f>
        <v>4427.8462185101744</v>
      </c>
      <c r="E7" s="63">
        <f>C7-D7</f>
        <v>872.15378148982563</v>
      </c>
      <c r="F7" s="63">
        <f>E7+J7</f>
        <v>1012.2565629796507</v>
      </c>
      <c r="G7" s="63">
        <v>2500</v>
      </c>
      <c r="H7" s="63">
        <v>0</v>
      </c>
      <c r="I7" s="63">
        <f>L7+O7+R7+U7+X7+AA7+AD7+AG7+AJ7+AM7+AP7+AS7+AV7+AY7</f>
        <v>1927.8462185101748</v>
      </c>
      <c r="J7" s="63">
        <f>M7+P7+S7+V7+Y7+AB7+AE7+AH7+AK7+AN7+AQ7+AT7+AW7+AZ7</f>
        <v>140.10278148982499</v>
      </c>
      <c r="K7" s="63">
        <v>0</v>
      </c>
      <c r="L7" s="64">
        <v>200</v>
      </c>
      <c r="M7" s="63">
        <f>200*0.055</f>
        <v>11</v>
      </c>
      <c r="N7" s="63">
        <f>200+M7</f>
        <v>211</v>
      </c>
      <c r="O7" s="69">
        <f>400-N7</f>
        <v>189</v>
      </c>
      <c r="P7" s="63">
        <f>(200-189)*0.055</f>
        <v>0.60499999999999998</v>
      </c>
      <c r="Q7" s="63">
        <f>(200-189)+0.61</f>
        <v>11.61</v>
      </c>
      <c r="R7" s="63">
        <f>200-11.61</f>
        <v>188.39</v>
      </c>
      <c r="S7" s="63">
        <f>(200-188.39)*0.055</f>
        <v>0.63855000000000073</v>
      </c>
      <c r="T7" s="63">
        <f>(200-188.39)+S7</f>
        <v>12.248550000000014</v>
      </c>
      <c r="U7" s="63">
        <f>200-12.25</f>
        <v>187.75</v>
      </c>
      <c r="V7" s="63">
        <f>(200-187.75)*0.055</f>
        <v>0.67374999999999996</v>
      </c>
      <c r="W7" s="63">
        <f>(200-187.75)+V7</f>
        <v>12.92375</v>
      </c>
      <c r="X7" s="64">
        <v>200</v>
      </c>
      <c r="Y7" s="64">
        <f>(200+12.92)*0.055</f>
        <v>11.710599999999999</v>
      </c>
      <c r="Z7" s="64">
        <f>12.92+200+11.71</f>
        <v>224.63</v>
      </c>
      <c r="AA7" s="63">
        <f>400-224.63</f>
        <v>175.37</v>
      </c>
      <c r="AB7" s="63">
        <f>(200-175.37)*0.055</f>
        <v>1.3546499999999997</v>
      </c>
      <c r="AC7" s="63">
        <f>(200-175.37)+AB7</f>
        <v>25.984649999999995</v>
      </c>
      <c r="AD7" s="63">
        <f>200-25.98</f>
        <v>174.02</v>
      </c>
      <c r="AE7" s="63">
        <f>(200-174.02)*0.055</f>
        <v>1.4288999999999994</v>
      </c>
      <c r="AF7" s="63">
        <f>(200-174.02)+1.43</f>
        <v>27.409999999999989</v>
      </c>
      <c r="AG7" s="63">
        <f>200-27.41</f>
        <v>172.59</v>
      </c>
      <c r="AH7" s="63">
        <f>(200-172.59)*0.055</f>
        <v>1.5075499999999997</v>
      </c>
      <c r="AI7" s="63">
        <f>(200-172.59)+AH7</f>
        <v>28.917549999999995</v>
      </c>
      <c r="AJ7" s="63">
        <f>250-28.92</f>
        <v>221.07999999999998</v>
      </c>
      <c r="AK7" s="63">
        <v>0</v>
      </c>
      <c r="AL7" s="63">
        <f>200-221.08</f>
        <v>-21.080000000000013</v>
      </c>
      <c r="AM7" s="63">
        <v>21.08</v>
      </c>
      <c r="AN7" s="65">
        <f>(200-21.08)*0.055</f>
        <v>9.8406000000000002</v>
      </c>
      <c r="AO7" s="65">
        <f>(200-21.08)+AN7</f>
        <v>188.76060000000001</v>
      </c>
      <c r="AP7" s="63">
        <v>0</v>
      </c>
      <c r="AQ7" s="64">
        <f>(AO7+200)*0.055</f>
        <v>21.381833</v>
      </c>
      <c r="AR7" s="64">
        <f>AO7+AQ7+200</f>
        <v>410.14243299999998</v>
      </c>
      <c r="AS7" s="63">
        <v>0</v>
      </c>
      <c r="AT7" s="63">
        <f>(AR7+200)*0.055</f>
        <v>33.557833815000002</v>
      </c>
      <c r="AU7" s="63">
        <f>AR7+AT7+200</f>
        <v>643.70026681499996</v>
      </c>
      <c r="AV7" s="63">
        <v>0</v>
      </c>
      <c r="AW7" s="63">
        <f>(AU7+200)*0.055</f>
        <v>46.403514674824997</v>
      </c>
      <c r="AX7" s="63">
        <f>AU7+AW7+200</f>
        <v>890.103781489825</v>
      </c>
      <c r="AY7" s="63">
        <f>1088.67-AX7</f>
        <v>198.56621851017508</v>
      </c>
      <c r="AZ7" s="63">
        <v>0</v>
      </c>
      <c r="BA7" s="63"/>
      <c r="BB7" s="63"/>
      <c r="BC7" s="63"/>
      <c r="BD7" s="64"/>
      <c r="BE7" s="64"/>
      <c r="BF7" s="64"/>
      <c r="BG7" s="64"/>
      <c r="BH7" s="64"/>
      <c r="BI7" s="64"/>
      <c r="BJ7" s="64"/>
      <c r="BK7" s="64"/>
      <c r="BL7" s="64"/>
      <c r="BM7" s="64"/>
      <c r="BN7" s="64"/>
      <c r="BO7" s="64"/>
      <c r="BP7" s="64"/>
      <c r="BQ7" s="64"/>
      <c r="BR7" s="64"/>
      <c r="BS7" s="64"/>
      <c r="BT7" s="66"/>
      <c r="BU7" s="64"/>
      <c r="BV7" s="67"/>
      <c r="BW7" s="67"/>
      <c r="BX7" s="67"/>
      <c r="BY7" s="67"/>
      <c r="BZ7" s="67"/>
      <c r="CA7" s="67"/>
      <c r="CB7" s="67"/>
      <c r="CC7" s="67"/>
      <c r="CD7" s="67"/>
      <c r="CE7" s="67"/>
      <c r="CF7" s="67"/>
      <c r="CG7" s="67"/>
      <c r="CH7" s="67"/>
      <c r="CI7" s="67"/>
      <c r="CJ7" s="67"/>
    </row>
    <row r="8" spans="1:89">
      <c r="A8" s="54" t="s">
        <v>672</v>
      </c>
      <c r="B8" s="54" t="s">
        <v>130</v>
      </c>
      <c r="C8" s="18">
        <f>200*26+100</f>
        <v>5300</v>
      </c>
      <c r="D8" s="18">
        <f>I8+G8</f>
        <v>5515.15</v>
      </c>
      <c r="E8" s="18">
        <f>C8-D8</f>
        <v>-215.14999999999964</v>
      </c>
      <c r="F8" s="18">
        <f>E8+J8</f>
        <v>-58.942849999999652</v>
      </c>
      <c r="G8" s="18">
        <v>2500</v>
      </c>
      <c r="H8" s="18">
        <v>0</v>
      </c>
      <c r="I8" s="18">
        <f>L8+O8+R8+U8+X8+AA8+AD8+AG8+AJ8+AM8+AP8+AS8+AV8+AY8+BB8+BD8+BF8+BH8+BJ8+BL8+BN8+BP8+BR8+BT8</f>
        <v>3015.15</v>
      </c>
      <c r="J8" s="18">
        <f>M8+P8+S8+V8+Y8+AB8+AE8+AH8+AK8+AN8+AQ8+AT8+AW8+AZ8+BC8+BE8+BG8+BI8+BK8+BM8+BO8+BQ8+BS8+BU8</f>
        <v>156.20714999999998</v>
      </c>
      <c r="K8" s="18">
        <v>0</v>
      </c>
      <c r="L8" s="18">
        <v>0</v>
      </c>
      <c r="M8" s="18">
        <f>200*0.055</f>
        <v>11</v>
      </c>
      <c r="N8" s="18"/>
      <c r="O8" s="18">
        <v>400</v>
      </c>
      <c r="P8" s="18">
        <f>411*0.055</f>
        <v>22.605</v>
      </c>
      <c r="Q8" s="18"/>
      <c r="R8" s="18">
        <v>200</v>
      </c>
      <c r="S8" s="18">
        <v>0</v>
      </c>
      <c r="T8" s="18"/>
      <c r="U8" s="18">
        <v>200</v>
      </c>
      <c r="V8" s="18">
        <v>0</v>
      </c>
      <c r="W8" s="18"/>
      <c r="X8" s="18">
        <v>0</v>
      </c>
      <c r="Y8" s="18">
        <f>11*0.055</f>
        <v>0.60499999999999998</v>
      </c>
      <c r="Z8" s="18"/>
      <c r="AA8" s="18">
        <v>400</v>
      </c>
      <c r="AB8" s="18">
        <v>0</v>
      </c>
      <c r="AC8" s="18"/>
      <c r="AD8" s="18">
        <v>200</v>
      </c>
      <c r="AE8" s="18">
        <v>0</v>
      </c>
      <c r="AF8" s="18"/>
      <c r="AG8" s="18">
        <v>200</v>
      </c>
      <c r="AH8" s="18">
        <v>0</v>
      </c>
      <c r="AI8" s="18"/>
      <c r="AJ8" s="18">
        <v>0</v>
      </c>
      <c r="AK8" s="18">
        <f>0.61*0.055</f>
        <v>3.3549999999999996E-2</v>
      </c>
      <c r="AL8" s="18"/>
      <c r="AM8" s="18">
        <v>0</v>
      </c>
      <c r="AN8" s="18">
        <f>200.61*0.055</f>
        <v>11.03355</v>
      </c>
      <c r="AO8" s="18"/>
      <c r="AP8" s="18">
        <v>0</v>
      </c>
      <c r="AQ8" s="18">
        <f>411.64*0.055</f>
        <v>22.6402</v>
      </c>
      <c r="AR8" s="18"/>
      <c r="AS8" s="18">
        <v>0</v>
      </c>
      <c r="AT8" s="18">
        <f>634.28*0.055</f>
        <v>34.885399999999997</v>
      </c>
      <c r="AU8" s="18"/>
      <c r="AV8" s="18">
        <v>0</v>
      </c>
      <c r="AW8" s="18">
        <f>869.17*0.055</f>
        <v>47.804349999999999</v>
      </c>
      <c r="AX8" s="18"/>
      <c r="AY8" s="60">
        <v>1415.15</v>
      </c>
      <c r="AZ8" s="18">
        <v>0</v>
      </c>
      <c r="BA8" s="18"/>
      <c r="BB8" s="18">
        <v>0</v>
      </c>
      <c r="BC8" s="18">
        <f>101.82*0.055</f>
        <v>5.6000999999999994</v>
      </c>
      <c r="BD8" s="19">
        <v>0</v>
      </c>
      <c r="BE8" s="19">
        <v>0</v>
      </c>
      <c r="BF8" s="19">
        <v>0</v>
      </c>
      <c r="BG8" s="19">
        <v>0</v>
      </c>
      <c r="BH8" s="19">
        <v>0</v>
      </c>
      <c r="BI8" s="19">
        <v>0</v>
      </c>
      <c r="BJ8" s="19">
        <v>0</v>
      </c>
      <c r="BK8" s="19">
        <v>0</v>
      </c>
      <c r="BL8" s="19">
        <v>0</v>
      </c>
      <c r="BM8" s="19">
        <v>0</v>
      </c>
      <c r="BN8" s="19">
        <v>0</v>
      </c>
      <c r="BO8" s="19">
        <v>0</v>
      </c>
      <c r="BP8" s="19">
        <v>0</v>
      </c>
      <c r="BQ8" s="19">
        <v>0</v>
      </c>
      <c r="BR8" s="19">
        <v>0</v>
      </c>
      <c r="BS8" s="19">
        <v>0</v>
      </c>
      <c r="BT8" s="19">
        <v>0</v>
      </c>
      <c r="BU8" s="19">
        <v>0</v>
      </c>
      <c r="BV8" s="33">
        <v>0</v>
      </c>
      <c r="BW8" s="33">
        <f>BV8*1.1%</f>
        <v>0</v>
      </c>
      <c r="BX8" s="33">
        <v>0</v>
      </c>
      <c r="BY8" s="33">
        <v>0</v>
      </c>
      <c r="BZ8" s="33">
        <f>BY8*1.1%</f>
        <v>0</v>
      </c>
      <c r="CA8" s="33">
        <v>0</v>
      </c>
      <c r="CB8" s="33">
        <v>0</v>
      </c>
      <c r="CC8" s="33">
        <f>CB8*1.1%</f>
        <v>0</v>
      </c>
      <c r="CD8" s="33">
        <v>0</v>
      </c>
      <c r="CE8" s="33">
        <v>0</v>
      </c>
      <c r="CF8" s="33">
        <f>CE8*1.1%</f>
        <v>0</v>
      </c>
      <c r="CG8" s="33">
        <v>0</v>
      </c>
      <c r="CH8" s="33">
        <v>0</v>
      </c>
      <c r="CI8" s="33">
        <f>CH8*1.1%</f>
        <v>0</v>
      </c>
      <c r="CJ8" s="33">
        <f>200*7%</f>
        <v>14.000000000000002</v>
      </c>
      <c r="CK8">
        <v>200</v>
      </c>
    </row>
    <row r="9" spans="1:89" s="71" customFormat="1">
      <c r="A9" s="72" t="s">
        <v>672</v>
      </c>
      <c r="B9" s="72" t="s">
        <v>130</v>
      </c>
      <c r="C9" s="18">
        <f>200*26+100</f>
        <v>5300</v>
      </c>
      <c r="D9" s="63">
        <f>I9+G9</f>
        <v>4754.3233982601751</v>
      </c>
      <c r="E9" s="63">
        <f>C9-D9</f>
        <v>545.67660173982495</v>
      </c>
      <c r="F9" s="63">
        <f>E9+J9</f>
        <v>691.37940347964991</v>
      </c>
      <c r="G9" s="63">
        <v>2500</v>
      </c>
      <c r="H9" s="63">
        <v>0</v>
      </c>
      <c r="I9" s="63">
        <f>L9+O9+R9+U9+X9+AA9+AD9+AG9+AJ9+AM9+AP9+AS9+AV9+AY9+BB9+BD9+BF9+BH9+BJ9+BL9+BN9+BP9+BR9+BT9</f>
        <v>2254.3233982601751</v>
      </c>
      <c r="J9" s="63">
        <f>M9+P9+S9+V9+Y9+AB9+AE9+AH9+AK9+AN9+AQ9+AT9+AW9+AZ9+BC9+BE9+BG9+BI9+BK9+BM9+BO9+BQ9+BS9+BU9</f>
        <v>145.70280173982499</v>
      </c>
      <c r="K9" s="63">
        <v>0</v>
      </c>
      <c r="L9" s="64">
        <v>200</v>
      </c>
      <c r="M9" s="63">
        <f>200*0.055</f>
        <v>11</v>
      </c>
      <c r="N9" s="63">
        <f>200+M9</f>
        <v>211</v>
      </c>
      <c r="O9" s="69">
        <f>400-N9</f>
        <v>189</v>
      </c>
      <c r="P9" s="63">
        <f>(N9-200)*0.055</f>
        <v>0.60499999999999998</v>
      </c>
      <c r="Q9" s="63">
        <f>(200-189)+P9</f>
        <v>11.605</v>
      </c>
      <c r="R9" s="63">
        <f>200-11.61</f>
        <v>188.39</v>
      </c>
      <c r="S9" s="63">
        <f>(200-R9)*0.055</f>
        <v>0.63855000000000073</v>
      </c>
      <c r="T9" s="63">
        <f>(200-R9)+S9</f>
        <v>12.248550000000014</v>
      </c>
      <c r="U9" s="63">
        <f>200-T9</f>
        <v>187.75144999999998</v>
      </c>
      <c r="V9" s="63">
        <f>(200-U9)*0.055</f>
        <v>0.67367025000000125</v>
      </c>
      <c r="W9" s="63">
        <f>(200-187.75)+V9</f>
        <v>12.923670250000001</v>
      </c>
      <c r="X9" s="64">
        <v>200</v>
      </c>
      <c r="Y9" s="64">
        <f>(200+12.92)*0.055</f>
        <v>11.710599999999999</v>
      </c>
      <c r="Z9" s="70">
        <f>W9+X9+Y9</f>
        <v>224.63427024999999</v>
      </c>
      <c r="AA9" s="69">
        <f>400-Z9</f>
        <v>175.36572975000001</v>
      </c>
      <c r="AB9" s="63">
        <f>(200-175.37)*0.055</f>
        <v>1.3546499999999997</v>
      </c>
      <c r="AC9" s="63">
        <f>(200-AA9+1.35)</f>
        <v>25.984270249999987</v>
      </c>
      <c r="AD9" s="63">
        <f>200-25.98</f>
        <v>174.02</v>
      </c>
      <c r="AE9" s="63">
        <f>(200-174.02)*0.055</f>
        <v>1.4288999999999994</v>
      </c>
      <c r="AF9" s="63">
        <f>200-174.02+1.43</f>
        <v>27.409999999999989</v>
      </c>
      <c r="AG9" s="63">
        <f>200-AF9</f>
        <v>172.59</v>
      </c>
      <c r="AH9" s="63">
        <f>(200-172.59)*0.055</f>
        <v>1.5075499999999997</v>
      </c>
      <c r="AI9" s="63">
        <f>(200-AG9)+AH9</f>
        <v>28.917549999999995</v>
      </c>
      <c r="AJ9" s="63">
        <f>250-28.92</f>
        <v>221.07999999999998</v>
      </c>
      <c r="AK9" s="63">
        <v>0</v>
      </c>
      <c r="AL9" s="63">
        <f>(200-221.08)</f>
        <v>-21.080000000000013</v>
      </c>
      <c r="AM9" s="63">
        <v>21.08</v>
      </c>
      <c r="AN9" s="63">
        <f>(200-21.08)*0.055</f>
        <v>9.8406000000000002</v>
      </c>
      <c r="AO9" s="63">
        <f>200-21.08+AN9</f>
        <v>188.76060000000001</v>
      </c>
      <c r="AP9" s="63">
        <v>0</v>
      </c>
      <c r="AQ9" s="64">
        <f>(AO9+200)*0.055</f>
        <v>21.381833</v>
      </c>
      <c r="AR9" s="63">
        <f>AO9+AQ9+200</f>
        <v>410.14243299999998</v>
      </c>
      <c r="AS9" s="63">
        <v>0</v>
      </c>
      <c r="AT9" s="63">
        <f>(AR9+200)*0.055</f>
        <v>33.557833815000002</v>
      </c>
      <c r="AU9" s="63">
        <f>AR9+AT9+200</f>
        <v>643.70026681499996</v>
      </c>
      <c r="AV9" s="63">
        <v>0</v>
      </c>
      <c r="AW9" s="63">
        <f>(AU9+200)*0.055</f>
        <v>46.403514674824997</v>
      </c>
      <c r="AX9" s="63">
        <f>AU9+AW9+200</f>
        <v>890.103781489825</v>
      </c>
      <c r="AY9" s="63">
        <f>1415.15-AX9</f>
        <v>525.04621851017509</v>
      </c>
      <c r="AZ9" s="63">
        <v>0</v>
      </c>
      <c r="BA9" s="63"/>
      <c r="BB9" s="63">
        <v>0</v>
      </c>
      <c r="BC9" s="63">
        <f>101.82*0.055</f>
        <v>5.6000999999999994</v>
      </c>
      <c r="BD9" s="64">
        <v>0</v>
      </c>
      <c r="BE9" s="64">
        <v>0</v>
      </c>
      <c r="BF9" s="64">
        <v>0</v>
      </c>
      <c r="BG9" s="64">
        <v>0</v>
      </c>
      <c r="BH9" s="64">
        <v>0</v>
      </c>
      <c r="BI9" s="64">
        <v>0</v>
      </c>
      <c r="BJ9" s="64">
        <v>0</v>
      </c>
      <c r="BK9" s="64">
        <v>0</v>
      </c>
      <c r="BL9" s="64">
        <v>0</v>
      </c>
      <c r="BM9" s="64">
        <v>0</v>
      </c>
      <c r="BN9" s="64">
        <v>0</v>
      </c>
      <c r="BO9" s="64">
        <v>0</v>
      </c>
      <c r="BP9" s="64">
        <v>0</v>
      </c>
      <c r="BQ9" s="64">
        <v>0</v>
      </c>
      <c r="BR9" s="64">
        <v>0</v>
      </c>
      <c r="BS9" s="64">
        <v>0</v>
      </c>
      <c r="BT9" s="64">
        <v>0</v>
      </c>
      <c r="BU9" s="64">
        <v>0</v>
      </c>
      <c r="BV9" s="67">
        <v>0</v>
      </c>
      <c r="BW9" s="67">
        <f>BV9*1.1%</f>
        <v>0</v>
      </c>
      <c r="BX9" s="67">
        <v>0</v>
      </c>
      <c r="BY9" s="67">
        <v>0</v>
      </c>
    </row>
    <row r="10" spans="1:89">
      <c r="K10" s="47"/>
      <c r="O10" s="47"/>
      <c r="P10" s="47"/>
      <c r="AA10" s="47"/>
      <c r="AY10" s="21"/>
    </row>
    <row r="11" spans="1:89" ht="57">
      <c r="A11" s="316" t="s">
        <v>0</v>
      </c>
      <c r="B11" s="57" t="s">
        <v>213</v>
      </c>
      <c r="C11" s="57" t="s">
        <v>190</v>
      </c>
      <c r="D11" s="57" t="s">
        <v>209</v>
      </c>
      <c r="E11" s="57" t="s">
        <v>191</v>
      </c>
      <c r="F11" s="57" t="s">
        <v>208</v>
      </c>
      <c r="G11" s="57" t="s">
        <v>192</v>
      </c>
      <c r="H11" s="57" t="s">
        <v>103</v>
      </c>
      <c r="I11" s="57" t="s">
        <v>193</v>
      </c>
      <c r="J11" s="57" t="s">
        <v>187</v>
      </c>
      <c r="K11" s="84" t="s">
        <v>216</v>
      </c>
      <c r="L11" s="57" t="s">
        <v>214</v>
      </c>
      <c r="M11" s="57" t="s">
        <v>215</v>
      </c>
    </row>
    <row r="12" spans="1:89">
      <c r="A12" s="218" t="s">
        <v>674</v>
      </c>
      <c r="B12" s="43">
        <f>(200*26)+100</f>
        <v>5300</v>
      </c>
      <c r="C12" s="78">
        <f>G6</f>
        <v>2500</v>
      </c>
      <c r="D12" s="79">
        <f>I6</f>
        <v>2938.67</v>
      </c>
      <c r="E12" s="59">
        <f>C12+D12</f>
        <v>5438.67</v>
      </c>
      <c r="F12" s="43">
        <f>E6</f>
        <v>-138.67000000000007</v>
      </c>
      <c r="G12" s="43">
        <v>50.64</v>
      </c>
      <c r="H12" s="43">
        <f>J6</f>
        <v>145.14555000000001</v>
      </c>
      <c r="I12" s="45">
        <f>E12-G12-H12</f>
        <v>5242.8844499999996</v>
      </c>
      <c r="J12" s="77">
        <v>44044</v>
      </c>
      <c r="K12" s="83">
        <f>E12-H12</f>
        <v>5293.5244499999999</v>
      </c>
      <c r="L12" s="45">
        <f>I12*0.055</f>
        <v>288.35864475</v>
      </c>
      <c r="M12" s="45">
        <f>I12-L12</f>
        <v>4954.5258052499994</v>
      </c>
      <c r="N12" s="58">
        <f>E12-M12</f>
        <v>484.14419475000068</v>
      </c>
    </row>
    <row r="13" spans="1:89" hidden="1">
      <c r="A13" s="317" t="s">
        <v>10</v>
      </c>
      <c r="B13" s="80">
        <f>(200*26)+100</f>
        <v>5300</v>
      </c>
      <c r="C13" s="74">
        <v>2500</v>
      </c>
      <c r="D13" s="73">
        <f>I7</f>
        <v>1927.8462185101748</v>
      </c>
      <c r="E13" s="74">
        <f>C13+D13</f>
        <v>4427.8462185101744</v>
      </c>
      <c r="F13" s="73">
        <f>B13-E13</f>
        <v>872.15378148982563</v>
      </c>
      <c r="G13" s="73">
        <v>50.64</v>
      </c>
      <c r="H13" s="73"/>
      <c r="I13" s="75">
        <f>E13-F13-G13-H13</f>
        <v>3505.0524370203489</v>
      </c>
      <c r="J13" s="76">
        <v>44044</v>
      </c>
      <c r="L13" s="45">
        <f>I13*0.055</f>
        <v>192.77788403611919</v>
      </c>
      <c r="M13" s="45">
        <f>I13-L13</f>
        <v>3312.2745529842296</v>
      </c>
      <c r="N13" s="58">
        <f>E13-M13</f>
        <v>1115.5716655259448</v>
      </c>
      <c r="AX13" s="47"/>
    </row>
    <row r="14" spans="1:89">
      <c r="A14" s="54" t="s">
        <v>672</v>
      </c>
      <c r="B14" s="43">
        <f>(200*26)+100</f>
        <v>5300</v>
      </c>
      <c r="C14" s="78">
        <f>G8</f>
        <v>2500</v>
      </c>
      <c r="D14" s="79">
        <f>I8</f>
        <v>3015.15</v>
      </c>
      <c r="E14" s="59">
        <f>C14+D14</f>
        <v>5515.15</v>
      </c>
      <c r="F14" s="43">
        <f>E8</f>
        <v>-215.14999999999964</v>
      </c>
      <c r="G14" s="43">
        <v>52.7</v>
      </c>
      <c r="H14" s="43">
        <f>J8</f>
        <v>156.20714999999998</v>
      </c>
      <c r="I14" s="45">
        <f>E14-G14-H14</f>
        <v>5306.2428499999996</v>
      </c>
      <c r="J14" s="77">
        <v>44044</v>
      </c>
      <c r="K14" s="82">
        <f>E14-H14</f>
        <v>5358.9428499999995</v>
      </c>
      <c r="L14" s="45">
        <f>I14*0.055</f>
        <v>291.84335675</v>
      </c>
      <c r="M14" s="45">
        <f>I14-L14</f>
        <v>5014.39949325</v>
      </c>
      <c r="N14" s="58">
        <f>E14-M14</f>
        <v>500.75050674999966</v>
      </c>
    </row>
    <row r="15" spans="1:89" hidden="1">
      <c r="A15" s="72" t="s">
        <v>57</v>
      </c>
      <c r="B15" s="80">
        <f>(200*26)+100</f>
        <v>5300</v>
      </c>
      <c r="C15" s="74">
        <v>2500</v>
      </c>
      <c r="D15" s="73">
        <f>I9</f>
        <v>2254.3233982601751</v>
      </c>
      <c r="E15" s="74">
        <f>C15+D15</f>
        <v>4754.3233982601751</v>
      </c>
      <c r="F15" s="73">
        <f>B15-E15</f>
        <v>545.67660173982495</v>
      </c>
      <c r="G15" s="73">
        <v>52.7</v>
      </c>
      <c r="H15" s="73"/>
      <c r="I15" s="75">
        <f>E15-F15-G15-H15</f>
        <v>4155.9467965203503</v>
      </c>
      <c r="J15" s="76">
        <v>44044</v>
      </c>
      <c r="K15" s="58"/>
      <c r="M15" s="58">
        <f>K15*0.055</f>
        <v>0</v>
      </c>
      <c r="N15" s="58">
        <f>I15-M15</f>
        <v>4155.9467965203503</v>
      </c>
    </row>
    <row r="16" spans="1:89" ht="14.65" thickBot="1">
      <c r="G16" s="58"/>
      <c r="M16" s="117">
        <f>M12+M14</f>
        <v>9968.9252984999985</v>
      </c>
    </row>
    <row r="17" spans="1:14" ht="14.65" thickTop="1">
      <c r="F17" s="1"/>
      <c r="G17" s="2"/>
      <c r="I17" s="58"/>
    </row>
    <row r="18" spans="1:14" ht="23.25">
      <c r="A18" s="318" t="s">
        <v>525</v>
      </c>
      <c r="F18" s="1"/>
      <c r="G18" s="2"/>
      <c r="I18" s="58"/>
    </row>
    <row r="19" spans="1:14">
      <c r="F19" s="1"/>
      <c r="G19" s="30"/>
      <c r="I19" s="81"/>
    </row>
    <row r="20" spans="1:14" ht="57">
      <c r="A20" s="316" t="s">
        <v>0</v>
      </c>
      <c r="B20" s="57" t="s">
        <v>534</v>
      </c>
      <c r="C20" s="57" t="s">
        <v>190</v>
      </c>
      <c r="D20" s="57" t="s">
        <v>535</v>
      </c>
      <c r="E20" s="57" t="s">
        <v>191</v>
      </c>
      <c r="F20" s="57" t="s">
        <v>536</v>
      </c>
      <c r="G20" s="57" t="s">
        <v>537</v>
      </c>
      <c r="H20" s="57" t="s">
        <v>103</v>
      </c>
      <c r="I20" s="57" t="s">
        <v>193</v>
      </c>
      <c r="J20" s="57" t="s">
        <v>187</v>
      </c>
      <c r="K20" s="57" t="s">
        <v>216</v>
      </c>
      <c r="L20" s="57" t="s">
        <v>214</v>
      </c>
      <c r="M20" s="57" t="s">
        <v>215</v>
      </c>
    </row>
    <row r="21" spans="1:14" ht="14.65" thickBot="1">
      <c r="A21" s="319" t="s">
        <v>673</v>
      </c>
      <c r="B21" s="271">
        <v>10100</v>
      </c>
      <c r="C21" s="272">
        <v>2300</v>
      </c>
      <c r="D21" s="273">
        <v>7800</v>
      </c>
      <c r="E21" s="274">
        <f>C21+D21</f>
        <v>10100</v>
      </c>
      <c r="F21" s="271">
        <v>0</v>
      </c>
      <c r="G21" s="271">
        <f>E21*1.1%</f>
        <v>111.10000000000001</v>
      </c>
      <c r="H21" s="272">
        <f>'2021-2022 (B)'!M73+'2022-2023'!R73+'2022-2023'!V73</f>
        <v>84.764202000000012</v>
      </c>
      <c r="I21" s="275">
        <f>E21-G21-H21</f>
        <v>9904.1357979999993</v>
      </c>
      <c r="J21" s="276">
        <v>44774</v>
      </c>
      <c r="K21" s="83">
        <f>E21-H21</f>
        <v>10015.235798</v>
      </c>
      <c r="L21" s="275">
        <f>I21*0.055</f>
        <v>544.72746888999995</v>
      </c>
      <c r="M21" s="277">
        <f>I21-L21</f>
        <v>9359.4083291099996</v>
      </c>
      <c r="N21" s="58">
        <f>E21-M21</f>
        <v>740.59167089000039</v>
      </c>
    </row>
    <row r="22" spans="1:14" ht="14.65" thickTop="1"/>
    <row r="23" spans="1:14">
      <c r="F23" s="284">
        <f>51400+544.73+'Interest Earned'!N15</f>
        <v>83248.86</v>
      </c>
    </row>
    <row r="24" spans="1:14">
      <c r="E24" s="47"/>
    </row>
  </sheetData>
  <phoneticPr fontId="4"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2:G6"/>
  <sheetViews>
    <sheetView workbookViewId="0">
      <selection activeCell="D6" sqref="D6"/>
    </sheetView>
  </sheetViews>
  <sheetFormatPr defaultRowHeight="14.25"/>
  <cols>
    <col min="3" max="3" width="15.1328125" customWidth="1"/>
    <col min="4" max="5" width="12" bestFit="1" customWidth="1"/>
    <col min="6" max="7" width="12.1328125" bestFit="1" customWidth="1"/>
  </cols>
  <sheetData>
    <row r="2" spans="3:7" ht="81.400000000000006">
      <c r="C2" s="22" t="s">
        <v>160</v>
      </c>
      <c r="D2" s="22" t="s">
        <v>105</v>
      </c>
      <c r="E2" s="22" t="s">
        <v>161</v>
      </c>
      <c r="F2" s="22" t="s">
        <v>162</v>
      </c>
      <c r="G2" s="22" t="s">
        <v>98</v>
      </c>
    </row>
    <row r="3" spans="3:7" ht="15.75">
      <c r="C3" s="24" t="e">
        <f>#REF!</f>
        <v>#REF!</v>
      </c>
      <c r="D3" s="24" t="e">
        <f>#REF!</f>
        <v>#REF!</v>
      </c>
      <c r="E3" s="24" t="e">
        <f>#REF!</f>
        <v>#REF!</v>
      </c>
      <c r="F3" s="23" t="e">
        <f>#REF!</f>
        <v>#REF!</v>
      </c>
      <c r="G3" s="23" t="e">
        <f>#REF!</f>
        <v>#REF!</v>
      </c>
    </row>
    <row r="6" spans="3:7">
      <c r="D6" s="48"/>
    </row>
  </sheetData>
  <pageMargins left="0.7" right="0.7" top="0.75" bottom="0.75" header="0.3" footer="0.3"/>
  <pageSetup paperSize="9"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
  <sheetViews>
    <sheetView workbookViewId="0">
      <selection sqref="A1:I10"/>
    </sheetView>
  </sheetViews>
  <sheetFormatPr defaultRowHeight="14.25"/>
  <cols>
    <col min="1" max="1" width="4.86328125" customWidth="1"/>
    <col min="2" max="2" width="31.265625" bestFit="1" customWidth="1"/>
    <col min="3" max="8" width="17.1328125" hidden="1" customWidth="1"/>
    <col min="9" max="9" width="17.1328125" customWidth="1"/>
  </cols>
  <sheetData>
    <row r="1" spans="1:9" ht="42.75">
      <c r="A1" s="106" t="s">
        <v>223</v>
      </c>
      <c r="B1" s="106" t="s">
        <v>0</v>
      </c>
      <c r="C1" s="107" t="s">
        <v>220</v>
      </c>
      <c r="D1" s="108" t="s">
        <v>218</v>
      </c>
      <c r="E1" s="108" t="s">
        <v>221</v>
      </c>
      <c r="F1" s="108" t="s">
        <v>102</v>
      </c>
      <c r="G1" s="109" t="s">
        <v>89</v>
      </c>
      <c r="H1" s="110" t="s">
        <v>90</v>
      </c>
      <c r="I1" s="109" t="s">
        <v>222</v>
      </c>
    </row>
    <row r="2" spans="1:9">
      <c r="A2" s="54">
        <v>1</v>
      </c>
      <c r="B2" s="101" t="s">
        <v>62</v>
      </c>
      <c r="C2" s="102">
        <v>-4100</v>
      </c>
      <c r="D2" s="103">
        <v>2000</v>
      </c>
      <c r="E2" s="103">
        <v>-2100</v>
      </c>
      <c r="F2" s="103">
        <v>1500</v>
      </c>
      <c r="G2" s="111">
        <v>0</v>
      </c>
      <c r="H2" s="104">
        <v>0</v>
      </c>
      <c r="I2" s="25">
        <v>3600</v>
      </c>
    </row>
    <row r="3" spans="1:9">
      <c r="A3" s="54">
        <v>2</v>
      </c>
      <c r="B3" s="46" t="s">
        <v>54</v>
      </c>
      <c r="C3" s="105">
        <v>-1130</v>
      </c>
      <c r="D3" s="98">
        <v>2000</v>
      </c>
      <c r="E3" s="98">
        <v>870</v>
      </c>
      <c r="F3" s="98">
        <v>2500</v>
      </c>
      <c r="G3" s="98">
        <v>0</v>
      </c>
      <c r="H3" s="8">
        <v>0</v>
      </c>
      <c r="I3" s="25">
        <v>1630</v>
      </c>
    </row>
    <row r="4" spans="1:9">
      <c r="A4" s="54">
        <v>3</v>
      </c>
      <c r="B4" s="101" t="s">
        <v>53</v>
      </c>
      <c r="C4" s="102">
        <v>-710</v>
      </c>
      <c r="D4" s="103">
        <v>2000</v>
      </c>
      <c r="E4" s="103">
        <v>1290</v>
      </c>
      <c r="F4" s="103">
        <v>2000</v>
      </c>
      <c r="G4" s="103">
        <v>0</v>
      </c>
      <c r="H4" s="104">
        <v>0</v>
      </c>
      <c r="I4" s="25">
        <v>1420</v>
      </c>
    </row>
    <row r="5" spans="1:9">
      <c r="A5" s="54">
        <v>4</v>
      </c>
      <c r="B5" s="46" t="s">
        <v>74</v>
      </c>
      <c r="C5" s="105">
        <v>0</v>
      </c>
      <c r="D5" s="98">
        <v>2000</v>
      </c>
      <c r="E5" s="98">
        <v>2000</v>
      </c>
      <c r="F5" s="98">
        <v>2700</v>
      </c>
      <c r="G5" s="98">
        <v>0</v>
      </c>
      <c r="H5" s="8">
        <v>0</v>
      </c>
      <c r="I5" s="25">
        <v>700</v>
      </c>
    </row>
    <row r="6" spans="1:9">
      <c r="A6" s="54">
        <v>5</v>
      </c>
      <c r="B6" s="46" t="s">
        <v>19</v>
      </c>
      <c r="C6" s="105">
        <v>90</v>
      </c>
      <c r="D6" s="98">
        <v>2000</v>
      </c>
      <c r="E6" s="98">
        <v>2090</v>
      </c>
      <c r="F6" s="98">
        <v>2750</v>
      </c>
      <c r="G6" s="98">
        <v>0</v>
      </c>
      <c r="H6" s="8">
        <v>0</v>
      </c>
      <c r="I6" s="25">
        <v>660</v>
      </c>
    </row>
    <row r="7" spans="1:9">
      <c r="A7" s="54">
        <v>6</v>
      </c>
      <c r="B7" s="101" t="s">
        <v>20</v>
      </c>
      <c r="C7" s="102">
        <v>150</v>
      </c>
      <c r="D7" s="103">
        <v>2000</v>
      </c>
      <c r="E7" s="103">
        <v>2150</v>
      </c>
      <c r="F7" s="103">
        <v>2700</v>
      </c>
      <c r="G7" s="103">
        <v>0</v>
      </c>
      <c r="H7" s="104">
        <v>0</v>
      </c>
      <c r="I7" s="25">
        <v>550</v>
      </c>
    </row>
    <row r="8" spans="1:9">
      <c r="A8" s="54">
        <v>7</v>
      </c>
      <c r="B8" s="101" t="s">
        <v>2</v>
      </c>
      <c r="C8" s="102">
        <v>350</v>
      </c>
      <c r="D8" s="103">
        <v>2000</v>
      </c>
      <c r="E8" s="103">
        <v>2350</v>
      </c>
      <c r="F8" s="103">
        <v>2700</v>
      </c>
      <c r="G8" s="103">
        <v>0</v>
      </c>
      <c r="H8" s="104">
        <v>0</v>
      </c>
      <c r="I8" s="25">
        <v>350</v>
      </c>
    </row>
    <row r="9" spans="1:9">
      <c r="A9" s="54">
        <v>8</v>
      </c>
      <c r="B9" s="46" t="s">
        <v>7</v>
      </c>
      <c r="C9" s="105">
        <v>1100</v>
      </c>
      <c r="D9" s="98">
        <v>2000</v>
      </c>
      <c r="E9" s="98">
        <v>3100</v>
      </c>
      <c r="F9" s="98">
        <v>3300</v>
      </c>
      <c r="G9" s="98">
        <v>0</v>
      </c>
      <c r="H9" s="8">
        <v>0</v>
      </c>
      <c r="I9" s="25">
        <v>200</v>
      </c>
    </row>
    <row r="10" spans="1:9">
      <c r="A10" s="54">
        <v>9</v>
      </c>
      <c r="B10" s="101" t="s">
        <v>176</v>
      </c>
      <c r="C10" s="102">
        <v>400</v>
      </c>
      <c r="D10" s="103">
        <v>2000</v>
      </c>
      <c r="E10" s="103">
        <v>2400</v>
      </c>
      <c r="F10" s="103">
        <v>2500</v>
      </c>
      <c r="G10" s="103">
        <v>0</v>
      </c>
      <c r="H10" s="104">
        <v>0</v>
      </c>
      <c r="I10" s="25">
        <v>100</v>
      </c>
    </row>
  </sheetData>
  <autoFilter ref="B1:I1" xr:uid="{00000000-0009-0000-0000-000013000000}">
    <sortState xmlns:xlrd2="http://schemas.microsoft.com/office/spreadsheetml/2017/richdata2" ref="B2:I10">
      <sortCondition descending="1" ref="I1"/>
    </sortState>
  </autoFilter>
  <sortState xmlns:xlrd2="http://schemas.microsoft.com/office/spreadsheetml/2017/richdata2" ref="B2:E10">
    <sortCondition ref="B2:B10"/>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D17"/>
  <sheetViews>
    <sheetView workbookViewId="0">
      <selection activeCell="A19" sqref="A19:XFD19"/>
    </sheetView>
  </sheetViews>
  <sheetFormatPr defaultRowHeight="14.25"/>
  <cols>
    <col min="1" max="1" width="17.73046875" customWidth="1"/>
    <col min="2" max="2" width="16.1328125" customWidth="1"/>
    <col min="3" max="3" width="15.265625" customWidth="1"/>
  </cols>
  <sheetData>
    <row r="3" spans="1:4">
      <c r="B3" t="s">
        <v>206</v>
      </c>
      <c r="C3" t="s">
        <v>179</v>
      </c>
      <c r="D3" t="s">
        <v>207</v>
      </c>
    </row>
    <row r="4" spans="1:4">
      <c r="A4" t="s">
        <v>194</v>
      </c>
      <c r="B4">
        <v>0</v>
      </c>
      <c r="C4">
        <v>11</v>
      </c>
      <c r="D4">
        <f>B4-C4</f>
        <v>-11</v>
      </c>
    </row>
    <row r="5" spans="1:4">
      <c r="A5" t="s">
        <v>195</v>
      </c>
      <c r="B5">
        <v>400</v>
      </c>
      <c r="C5">
        <v>0.61</v>
      </c>
      <c r="D5">
        <f t="shared" ref="D5:D12" si="0">D4+B5-C5</f>
        <v>388.39</v>
      </c>
    </row>
    <row r="6" spans="1:4">
      <c r="A6" t="s">
        <v>196</v>
      </c>
      <c r="B6">
        <v>200</v>
      </c>
      <c r="C6">
        <v>0.64</v>
      </c>
      <c r="D6">
        <f t="shared" si="0"/>
        <v>587.75</v>
      </c>
    </row>
    <row r="7" spans="1:4">
      <c r="A7" t="s">
        <v>197</v>
      </c>
      <c r="B7">
        <v>200</v>
      </c>
      <c r="C7">
        <v>0.67</v>
      </c>
      <c r="D7">
        <f t="shared" si="0"/>
        <v>787.08</v>
      </c>
    </row>
    <row r="8" spans="1:4">
      <c r="A8" t="s">
        <v>198</v>
      </c>
      <c r="B8">
        <v>0</v>
      </c>
      <c r="C8">
        <v>11.71</v>
      </c>
      <c r="D8">
        <f t="shared" si="0"/>
        <v>775.37</v>
      </c>
    </row>
    <row r="9" spans="1:4">
      <c r="A9" t="s">
        <v>199</v>
      </c>
      <c r="B9">
        <v>400</v>
      </c>
      <c r="C9">
        <v>1.35</v>
      </c>
      <c r="D9">
        <f t="shared" si="0"/>
        <v>1174.02</v>
      </c>
    </row>
    <row r="10" spans="1:4">
      <c r="A10" t="s">
        <v>200</v>
      </c>
      <c r="B10">
        <v>200</v>
      </c>
      <c r="C10">
        <v>1.43</v>
      </c>
      <c r="D10">
        <f t="shared" si="0"/>
        <v>1372.59</v>
      </c>
    </row>
    <row r="11" spans="1:4">
      <c r="A11" t="s">
        <v>201</v>
      </c>
      <c r="B11">
        <v>200</v>
      </c>
      <c r="C11">
        <v>1.51</v>
      </c>
      <c r="D11">
        <f t="shared" si="0"/>
        <v>1571.08</v>
      </c>
    </row>
    <row r="12" spans="1:4">
      <c r="A12" t="s">
        <v>202</v>
      </c>
      <c r="B12">
        <v>250</v>
      </c>
      <c r="C12">
        <v>0</v>
      </c>
      <c r="D12">
        <f t="shared" si="0"/>
        <v>1821.08</v>
      </c>
    </row>
    <row r="13" spans="1:4">
      <c r="A13" t="s">
        <v>203</v>
      </c>
      <c r="B13">
        <v>0</v>
      </c>
      <c r="C13">
        <v>9.84</v>
      </c>
      <c r="D13">
        <f>D12+B13-C13</f>
        <v>1811.24</v>
      </c>
    </row>
    <row r="14" spans="1:4">
      <c r="A14" t="s">
        <v>204</v>
      </c>
      <c r="B14">
        <v>0</v>
      </c>
      <c r="C14">
        <v>21.38</v>
      </c>
      <c r="D14">
        <f>D13+B14-C14</f>
        <v>1789.86</v>
      </c>
    </row>
    <row r="15" spans="1:4">
      <c r="A15" t="s">
        <v>205</v>
      </c>
      <c r="B15">
        <v>0</v>
      </c>
      <c r="C15">
        <v>33.56</v>
      </c>
      <c r="D15">
        <f>D14+B15-C15</f>
        <v>1756.3</v>
      </c>
    </row>
    <row r="16" spans="1:4">
      <c r="A16" t="s">
        <v>186</v>
      </c>
      <c r="B16">
        <v>0</v>
      </c>
      <c r="C16">
        <v>35.4</v>
      </c>
      <c r="D16">
        <f>D15+B16-C16</f>
        <v>1720.8999999999999</v>
      </c>
    </row>
    <row r="17" spans="1:4">
      <c r="A17" t="s">
        <v>195</v>
      </c>
      <c r="B17">
        <v>1080.67</v>
      </c>
      <c r="C17">
        <v>0</v>
      </c>
      <c r="D17">
        <f>D16+B17-C17</f>
        <v>2801.5699999999997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Recon</vt:lpstr>
      <vt:lpstr>2018-2019 B STATEMENT </vt:lpstr>
      <vt:lpstr> 2018-2019</vt:lpstr>
      <vt:lpstr>2019-2020 New</vt:lpstr>
      <vt:lpstr>2020-2021 New</vt:lpstr>
      <vt:lpstr>2021-2022 (A) New</vt:lpstr>
      <vt:lpstr>2021-2022 (B)</vt:lpstr>
      <vt:lpstr>2022-2023</vt:lpstr>
      <vt:lpstr>2022 Mar-Jun</vt:lpstr>
      <vt:lpstr>2023-2024</vt:lpstr>
      <vt:lpstr>2024-2025</vt:lpstr>
      <vt:lpstr>Claims Processed</vt:lpstr>
      <vt:lpstr>FNB PLF </vt:lpstr>
      <vt:lpstr>Interest Earned</vt:lpstr>
      <vt:lpstr>Dashboard</vt:lpstr>
      <vt:lpstr>Capped Penalties</vt:lpstr>
      <vt:lpstr>Catch up Fee</vt:lpstr>
      <vt:lpstr>Terminations</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Lineo</dc:creator>
  <cp:lastModifiedBy>Oratile-wa-Boitumelo Itumeleng</cp:lastModifiedBy>
  <cp:lastPrinted>2021-09-08T17:45:03Z</cp:lastPrinted>
  <dcterms:created xsi:type="dcterms:W3CDTF">2021-07-27T08:35:34Z</dcterms:created>
  <dcterms:modified xsi:type="dcterms:W3CDTF">2025-09-18T23:39:37Z</dcterms:modified>
</cp:coreProperties>
</file>